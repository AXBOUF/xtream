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Chatswood B2\Downloads\"/>
    </mc:Choice>
  </mc:AlternateContent>
  <xr:revisionPtr revIDLastSave="0" documentId="13_ncr:1_{F63BE6C0-3F2C-465C-95B3-85FBB52FA9D5}" xr6:coauthVersionLast="47" xr6:coauthVersionMax="47" xr10:uidLastSave="{00000000-0000-0000-0000-000000000000}"/>
  <bookViews>
    <workbookView xWindow="-120" yWindow="-120" windowWidth="29040" windowHeight="16440" activeTab="7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J11" i="2"/>
  <c r="K10" i="2"/>
  <c r="J10" i="2"/>
  <c r="K9" i="2"/>
  <c r="J9" i="2"/>
  <c r="K8" i="2"/>
  <c r="J8" i="2"/>
  <c r="K7" i="2"/>
  <c r="J7" i="2"/>
  <c r="K6" i="2"/>
  <c r="J6" i="2"/>
  <c r="K26" i="1"/>
  <c r="J26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J10" i="1"/>
  <c r="K9" i="1"/>
  <c r="J9" i="1"/>
  <c r="K8" i="1"/>
  <c r="J8" i="1"/>
  <c r="K7" i="1"/>
  <c r="J7" i="1"/>
  <c r="K6" i="1"/>
  <c r="J6" i="1"/>
  <c r="K5" i="1"/>
  <c r="J5" i="1"/>
  <c r="M94" i="2" l="1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A66" i="2"/>
  <c r="M62" i="2"/>
  <c r="L62" i="2"/>
  <c r="I62" i="2"/>
  <c r="H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H32" i="2"/>
  <c r="Z31" i="2"/>
  <c r="Q31" i="2"/>
  <c r="P31" i="2"/>
  <c r="O31" i="2"/>
  <c r="N31" i="2"/>
  <c r="M30" i="2"/>
  <c r="M31" i="2" s="1"/>
  <c r="L30" i="2"/>
  <c r="L31" i="2" s="1"/>
  <c r="I30" i="2"/>
  <c r="I31" i="2" s="1"/>
  <c r="S32" i="2" s="1"/>
  <c r="H33" i="8" s="1"/>
  <c r="H30" i="2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K30" i="2" s="1"/>
  <c r="J12" i="2"/>
  <c r="U11" i="2"/>
  <c r="U10" i="2"/>
  <c r="U9" i="2"/>
  <c r="U8" i="2"/>
  <c r="U7" i="2"/>
  <c r="U6" i="2"/>
  <c r="U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J66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A34" i="1"/>
  <c r="A66" i="1" s="1"/>
  <c r="H32" i="1"/>
  <c r="Z31" i="1"/>
  <c r="Q31" i="1"/>
  <c r="P31" i="1"/>
  <c r="O31" i="1"/>
  <c r="N31" i="1"/>
  <c r="I31" i="1"/>
  <c r="M30" i="1"/>
  <c r="M31" i="1" s="1"/>
  <c r="L30" i="1"/>
  <c r="L31" i="1" s="1"/>
  <c r="I30" i="1"/>
  <c r="H30" i="1"/>
  <c r="H31" i="1" s="1"/>
  <c r="K29" i="1"/>
  <c r="J29" i="1"/>
  <c r="K28" i="1"/>
  <c r="J28" i="1"/>
  <c r="K27" i="1"/>
  <c r="J27" i="1"/>
  <c r="AH25" i="1"/>
  <c r="T25" i="1"/>
  <c r="T26" i="1" s="1"/>
  <c r="S25" i="1"/>
  <c r="S26" i="1" s="1"/>
  <c r="R25" i="1"/>
  <c r="R26" i="1" s="1"/>
  <c r="AR22" i="1"/>
  <c r="AQ22" i="1"/>
  <c r="AG25" i="1" s="1"/>
  <c r="AP22" i="1"/>
  <c r="AF25" i="1" s="1"/>
  <c r="AG22" i="1"/>
  <c r="AF22" i="1"/>
  <c r="AE22" i="1"/>
  <c r="AE25" i="1" s="1"/>
  <c r="T19" i="1"/>
  <c r="S19" i="1"/>
  <c r="U15" i="1"/>
  <c r="U14" i="1"/>
  <c r="U13" i="1"/>
  <c r="U12" i="1"/>
  <c r="U11" i="1"/>
  <c r="U10" i="1"/>
  <c r="U9" i="1"/>
  <c r="U8" i="1"/>
  <c r="U7" i="1"/>
  <c r="U6" i="1"/>
  <c r="U5" i="1"/>
  <c r="K30" i="1"/>
  <c r="K31" i="1" s="1"/>
  <c r="J30" i="1"/>
  <c r="J31" i="1" s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T66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O34" i="3"/>
  <c r="O66" i="3" s="1"/>
  <c r="J34" i="3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23" i="8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1" i="4"/>
  <c r="L31" i="4"/>
  <c r="I31" i="4"/>
  <c r="S32" i="4" s="1"/>
  <c r="H18" i="8" s="1"/>
  <c r="M30" i="4"/>
  <c r="L30" i="4"/>
  <c r="I30" i="4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J19" i="4"/>
  <c r="K18" i="4"/>
  <c r="J18" i="4"/>
  <c r="K17" i="4"/>
  <c r="J17" i="4"/>
  <c r="K16" i="4"/>
  <c r="J16" i="4"/>
  <c r="U15" i="4"/>
  <c r="K15" i="4"/>
  <c r="J15" i="4"/>
  <c r="U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L31" i="5"/>
  <c r="M30" i="5"/>
  <c r="M31" i="5" s="1"/>
  <c r="L30" i="5"/>
  <c r="I30" i="5"/>
  <c r="I31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J7" i="5"/>
  <c r="U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S32" i="6" s="1"/>
  <c r="H8" i="8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K30" i="6" s="1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H31" i="2" l="1"/>
  <c r="S31" i="2" s="1"/>
  <c r="H32" i="8" s="1"/>
  <c r="J62" i="2"/>
  <c r="K62" i="2"/>
  <c r="K31" i="2" s="1"/>
  <c r="H34" i="8" s="1"/>
  <c r="J30" i="2"/>
  <c r="U16" i="2"/>
  <c r="R16" i="2" s="1"/>
  <c r="U16" i="1"/>
  <c r="S32" i="1"/>
  <c r="H28" i="8" s="1"/>
  <c r="U16" i="3"/>
  <c r="S16" i="3" s="1"/>
  <c r="J30" i="3"/>
  <c r="J31" i="3" s="1"/>
  <c r="K30" i="3"/>
  <c r="K31" i="3" s="1"/>
  <c r="K30" i="4"/>
  <c r="K31" i="4" s="1"/>
  <c r="J30" i="4"/>
  <c r="J31" i="4" s="1"/>
  <c r="U16" i="4"/>
  <c r="R16" i="4" s="1"/>
  <c r="S32" i="5"/>
  <c r="H13" i="8" s="1"/>
  <c r="J30" i="5"/>
  <c r="J31" i="5" s="1"/>
  <c r="K30" i="5"/>
  <c r="K31" i="5" s="1"/>
  <c r="U16" i="5"/>
  <c r="S16" i="5" s="1"/>
  <c r="J30" i="6"/>
  <c r="J31" i="6" s="1"/>
  <c r="U16" i="6"/>
  <c r="E11" i="8" s="1"/>
  <c r="AD25" i="2"/>
  <c r="AI25" i="2"/>
  <c r="Z32" i="2"/>
  <c r="Z33" i="2" s="1"/>
  <c r="AD25" i="1"/>
  <c r="AI25" i="1"/>
  <c r="S16" i="1"/>
  <c r="R16" i="1"/>
  <c r="C32" i="1"/>
  <c r="P32" i="1" s="1"/>
  <c r="O32" i="1"/>
  <c r="Z32" i="1"/>
  <c r="Z33" i="1" s="1"/>
  <c r="S31" i="1"/>
  <c r="T31" i="1"/>
  <c r="AD25" i="3"/>
  <c r="AI25" i="3"/>
  <c r="Z32" i="3"/>
  <c r="Z33" i="3" s="1"/>
  <c r="S31" i="3"/>
  <c r="T31" i="3"/>
  <c r="AD25" i="4"/>
  <c r="AI25" i="4"/>
  <c r="Z32" i="4"/>
  <c r="Z33" i="4" s="1"/>
  <c r="S31" i="4"/>
  <c r="H17" i="8" s="1"/>
  <c r="Y39" i="8"/>
  <c r="T31" i="4"/>
  <c r="AI25" i="5"/>
  <c r="AD25" i="5"/>
  <c r="Z33" i="5"/>
  <c r="S31" i="5"/>
  <c r="H12" i="8" s="1"/>
  <c r="Z32" i="5"/>
  <c r="T31" i="5"/>
  <c r="K31" i="6"/>
  <c r="AD25" i="6"/>
  <c r="AI25" i="6"/>
  <c r="S31" i="6"/>
  <c r="H7" i="8" s="1"/>
  <c r="Z32" i="6"/>
  <c r="Z33" i="6" s="1"/>
  <c r="T31" i="6"/>
  <c r="H27" i="8"/>
  <c r="H22" i="8"/>
  <c r="L36" i="8"/>
  <c r="L31" i="8"/>
  <c r="L26" i="8"/>
  <c r="L21" i="8"/>
  <c r="L16" i="8"/>
  <c r="L11" i="8"/>
  <c r="L6" i="8"/>
  <c r="E31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U15" i="7"/>
  <c r="K15" i="7"/>
  <c r="U14" i="7"/>
  <c r="K14" i="7"/>
  <c r="U13" i="7"/>
  <c r="K13" i="7"/>
  <c r="U12" i="7"/>
  <c r="K12" i="7"/>
  <c r="U11" i="7"/>
  <c r="K11" i="7"/>
  <c r="U10" i="7"/>
  <c r="U9" i="7"/>
  <c r="K9" i="7"/>
  <c r="U8" i="7"/>
  <c r="K8" i="7"/>
  <c r="U7" i="7"/>
  <c r="K7" i="7"/>
  <c r="U6" i="7"/>
  <c r="U5" i="7"/>
  <c r="J30" i="7"/>
  <c r="A34" i="7"/>
  <c r="A66" i="7" s="1"/>
  <c r="E34" i="8"/>
  <c r="E33" i="8"/>
  <c r="E32" i="8"/>
  <c r="E24" i="8"/>
  <c r="E23" i="8"/>
  <c r="E22" i="8"/>
  <c r="E9" i="8"/>
  <c r="E8" i="8"/>
  <c r="E7" i="8"/>
  <c r="T31" i="2" l="1"/>
  <c r="J31" i="2"/>
  <c r="E36" i="8"/>
  <c r="S16" i="2"/>
  <c r="E26" i="8"/>
  <c r="R16" i="3"/>
  <c r="C32" i="3"/>
  <c r="O32" i="3" s="1"/>
  <c r="C32" i="4"/>
  <c r="P32" i="4" s="1"/>
  <c r="S16" i="4"/>
  <c r="C32" i="5"/>
  <c r="P32" i="5" s="1"/>
  <c r="R16" i="5"/>
  <c r="R16" i="6"/>
  <c r="S16" i="6"/>
  <c r="U25" i="1"/>
  <c r="K32" i="1"/>
  <c r="T16" i="1"/>
  <c r="N32" i="1"/>
  <c r="Q32" i="1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H35" i="8" l="1"/>
  <c r="V32" i="8" s="1"/>
  <c r="C32" i="2"/>
  <c r="K32" i="3"/>
  <c r="N32" i="3"/>
  <c r="L22" i="8" s="1"/>
  <c r="T16" i="3"/>
  <c r="Q32" i="3"/>
  <c r="L25" i="8" s="1"/>
  <c r="U25" i="3"/>
  <c r="P32" i="3"/>
  <c r="L24" i="8" s="1"/>
  <c r="Q32" i="4"/>
  <c r="T16" i="4"/>
  <c r="N32" i="4"/>
  <c r="K32" i="4"/>
  <c r="O32" i="4"/>
  <c r="U25" i="4"/>
  <c r="K32" i="5"/>
  <c r="T16" i="5"/>
  <c r="N32" i="5"/>
  <c r="Q32" i="5"/>
  <c r="U25" i="5"/>
  <c r="O32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H14" i="8"/>
  <c r="H9" i="8"/>
  <c r="L9" i="8"/>
  <c r="E30" i="8"/>
  <c r="E29" i="8"/>
  <c r="E28" i="8"/>
  <c r="E27" i="8"/>
  <c r="O32" i="2" l="1"/>
  <c r="L33" i="8" s="1"/>
  <c r="Q32" i="2"/>
  <c r="L35" i="8" s="1"/>
  <c r="T16" i="2"/>
  <c r="U25" i="2"/>
  <c r="N32" i="2"/>
  <c r="L32" i="8" s="1"/>
  <c r="K32" i="2"/>
  <c r="P32" i="2"/>
  <c r="L34" i="8" s="1"/>
  <c r="U49" i="8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<sst xmlns="http://schemas.openxmlformats.org/spreadsheetml/2006/main" count="1724" uniqueCount="423">
  <si>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</si>
  <si>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</si>
  <si>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</si>
  <si>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</si>
  <si>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</si>
  <si>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</si>
  <si>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</si>
  <si>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</si>
  <si>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</si>
  <si>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</si>
  <si>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</si>
  <si>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</si>
  <si>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</si>
  <si>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</si>
  <si>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</si>
  <si>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</si>
  <si>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</si>
  <si>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</si>
  <si>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4" type="noConversion"/>
  </si>
  <si>
    <t>RMKS</t>
    <phoneticPr fontId="4" type="noConversion"/>
  </si>
  <si>
    <t>CARD</t>
    <phoneticPr fontId="4" type="noConversion"/>
  </si>
  <si>
    <t>Docket No</t>
    <phoneticPr fontId="4" type="noConversion"/>
  </si>
  <si>
    <t>CASH</t>
    <phoneticPr fontId="4" type="noConversion"/>
  </si>
  <si>
    <t>ITEM</t>
    <phoneticPr fontId="4" type="noConversion"/>
  </si>
  <si>
    <t>Daily Report</t>
    <phoneticPr fontId="4" type="noConversion"/>
  </si>
  <si>
    <t>TIME</t>
    <phoneticPr fontId="4" type="noConversion"/>
  </si>
  <si>
    <t>NAME</t>
    <phoneticPr fontId="4" type="noConversion"/>
  </si>
  <si>
    <t>B2 card</t>
    <phoneticPr fontId="4" type="noConversion"/>
  </si>
  <si>
    <t>Subtotal</t>
    <phoneticPr fontId="4" type="noConversion"/>
  </si>
  <si>
    <t>Settlement</t>
    <phoneticPr fontId="4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</si>
  <si>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</si>
  <si>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</si>
  <si>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</si>
  <si>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</si>
  <si>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</si>
  <si>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</si>
  <si>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</si>
  <si>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</si>
  <si>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</si>
  <si>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</si>
  <si>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</si>
  <si>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4" type="noConversion"/>
  </si>
  <si>
    <t>EXCL RSL</t>
    <phoneticPr fontId="4" type="noConversion"/>
  </si>
  <si>
    <t>NOV</t>
    <phoneticPr fontId="4" type="noConversion"/>
  </si>
  <si>
    <t>RSL</t>
    <phoneticPr fontId="4" type="noConversion"/>
  </si>
  <si>
    <t>GV</t>
    <phoneticPr fontId="4" type="noConversion"/>
  </si>
  <si>
    <t>GV CARD</t>
    <phoneticPr fontId="4" type="noConversion"/>
  </si>
  <si>
    <t>GV CASH</t>
    <phoneticPr fontId="4" type="noConversion"/>
  </si>
  <si>
    <t>Page total</t>
    <phoneticPr fontId="4" type="noConversion"/>
  </si>
  <si>
    <t>WEATHER</t>
    <phoneticPr fontId="4" type="noConversion"/>
  </si>
  <si>
    <t>REPORT by</t>
    <phoneticPr fontId="4" type="noConversion"/>
  </si>
  <si>
    <t>TOTAL STAFF</t>
    <phoneticPr fontId="4" type="noConversion"/>
  </si>
  <si>
    <t>Page: 3</t>
    <phoneticPr fontId="4" type="noConversion"/>
  </si>
  <si>
    <t>No of Cars</t>
    <phoneticPr fontId="4" type="noConversion"/>
  </si>
  <si>
    <t>Average</t>
    <phoneticPr fontId="4" type="noConversion"/>
  </si>
  <si>
    <t>TOTAL SALES</t>
    <phoneticPr fontId="4" type="noConversion"/>
  </si>
  <si>
    <t>Expense</t>
    <phoneticPr fontId="4" type="noConversion"/>
  </si>
  <si>
    <t>Cash</t>
    <phoneticPr fontId="4" type="noConversion"/>
  </si>
  <si>
    <t>Card</t>
    <phoneticPr fontId="4" type="noConversion"/>
  </si>
  <si>
    <t>CARS</t>
    <phoneticPr fontId="4" type="noConversion"/>
  </si>
  <si>
    <t>AMOUNT</t>
    <phoneticPr fontId="4" type="noConversion"/>
  </si>
  <si>
    <t>PERCENTAGE</t>
    <phoneticPr fontId="4" type="noConversion"/>
  </si>
  <si>
    <t>TOTAL CARS</t>
    <phoneticPr fontId="4" type="noConversion"/>
  </si>
  <si>
    <t>TOTAL AMOUNT</t>
    <phoneticPr fontId="4" type="noConversion"/>
  </si>
  <si>
    <t>AVERAGE</t>
    <phoneticPr fontId="4" type="noConversion"/>
  </si>
  <si>
    <t>RSL</t>
    <phoneticPr fontId="4" type="noConversion"/>
  </si>
  <si>
    <t>MON</t>
    <phoneticPr fontId="4" type="noConversion"/>
  </si>
  <si>
    <t>TUE</t>
    <phoneticPr fontId="4" type="noConversion"/>
  </si>
  <si>
    <t>WED</t>
    <phoneticPr fontId="4" type="noConversion"/>
  </si>
  <si>
    <t>THU</t>
    <phoneticPr fontId="4" type="noConversion"/>
  </si>
  <si>
    <t>SAT</t>
    <phoneticPr fontId="4" type="noConversion"/>
  </si>
  <si>
    <t>SUN</t>
    <phoneticPr fontId="4" type="noConversion"/>
  </si>
  <si>
    <t>TOTAL CARS</t>
  </si>
  <si>
    <t>TOTAL SALES</t>
    <phoneticPr fontId="4" type="noConversion"/>
  </si>
  <si>
    <t>AVERAGE</t>
    <phoneticPr fontId="4" type="noConversion"/>
  </si>
  <si>
    <t>GV</t>
    <phoneticPr fontId="4" type="noConversion"/>
  </si>
  <si>
    <t>GV SOLD</t>
    <phoneticPr fontId="4" type="noConversion"/>
  </si>
  <si>
    <t>B2 Daily Report</t>
    <phoneticPr fontId="4" type="noConversion"/>
  </si>
  <si>
    <t>SMALL</t>
    <phoneticPr fontId="4" type="noConversion"/>
  </si>
  <si>
    <t>MEDIUM</t>
    <phoneticPr fontId="4" type="noConversion"/>
  </si>
  <si>
    <t>LARGE</t>
    <phoneticPr fontId="4" type="noConversion"/>
  </si>
  <si>
    <t>TOTAL</t>
    <phoneticPr fontId="4" type="noConversion"/>
  </si>
  <si>
    <t>CARD CLOSING</t>
    <phoneticPr fontId="4" type="noConversion"/>
  </si>
  <si>
    <t>CASH CLOSING</t>
    <phoneticPr fontId="4" type="noConversion"/>
  </si>
  <si>
    <t>TOTAL CASH</t>
    <phoneticPr fontId="4" type="noConversion"/>
  </si>
  <si>
    <t>TOTAL CARD</t>
    <phoneticPr fontId="4" type="noConversion"/>
  </si>
  <si>
    <t>TOTAL RSL</t>
    <phoneticPr fontId="4" type="noConversion"/>
  </si>
  <si>
    <t>TOTAL GV</t>
    <phoneticPr fontId="4" type="noConversion"/>
  </si>
  <si>
    <t>Mobile</t>
    <phoneticPr fontId="4" type="noConversion"/>
  </si>
  <si>
    <t>Gender</t>
    <phoneticPr fontId="4" type="noConversion"/>
  </si>
  <si>
    <t>STAFF HRS</t>
    <phoneticPr fontId="4" type="noConversion"/>
  </si>
  <si>
    <t>M</t>
    <phoneticPr fontId="4" type="noConversion"/>
  </si>
  <si>
    <t>F</t>
    <phoneticPr fontId="4" type="noConversion"/>
  </si>
  <si>
    <t>FR I</t>
    <phoneticPr fontId="4" type="noConversion"/>
  </si>
  <si>
    <t xml:space="preserve">hrs </t>
    <phoneticPr fontId="4" type="noConversion"/>
  </si>
  <si>
    <t>no. staff</t>
    <phoneticPr fontId="4" type="noConversion"/>
  </si>
  <si>
    <t>REPORT BY</t>
    <phoneticPr fontId="4" type="noConversion"/>
  </si>
  <si>
    <t>08-08-2022</t>
    <phoneticPr fontId="4" type="noConversion"/>
  </si>
  <si>
    <t>JOHN</t>
    <phoneticPr fontId="4" type="noConversion"/>
  </si>
  <si>
    <t>HENDRA</t>
    <phoneticPr fontId="4" type="noConversion"/>
  </si>
  <si>
    <t>ARIANTO</t>
    <phoneticPr fontId="4" type="noConversion"/>
  </si>
  <si>
    <t>KUROSH</t>
    <phoneticPr fontId="4" type="noConversion"/>
  </si>
  <si>
    <t>SUNNY</t>
    <phoneticPr fontId="4" type="noConversion"/>
  </si>
  <si>
    <t>EJA08P</t>
    <phoneticPr fontId="4" type="noConversion"/>
  </si>
  <si>
    <t>0430144838</t>
    <phoneticPr fontId="4" type="noConversion"/>
  </si>
  <si>
    <t>F</t>
  </si>
  <si>
    <t>PCL</t>
    <phoneticPr fontId="4" type="noConversion"/>
  </si>
  <si>
    <t>22019(2/6)</t>
    <phoneticPr fontId="4" type="noConversion"/>
  </si>
  <si>
    <t>ELV87K</t>
    <phoneticPr fontId="4" type="noConversion"/>
  </si>
  <si>
    <t>0416046782</t>
    <phoneticPr fontId="4" type="noConversion"/>
  </si>
  <si>
    <t>X</t>
    <phoneticPr fontId="4" type="noConversion"/>
  </si>
  <si>
    <t>CALAN</t>
    <phoneticPr fontId="4" type="noConversion"/>
  </si>
  <si>
    <t>KAAL</t>
    <phoneticPr fontId="4" type="noConversion"/>
  </si>
  <si>
    <t>0431321786</t>
    <phoneticPr fontId="4" type="noConversion"/>
  </si>
  <si>
    <t>22031(3/6)</t>
    <phoneticPr fontId="4" type="noConversion"/>
  </si>
  <si>
    <t>ERH14K</t>
    <phoneticPr fontId="4" type="noConversion"/>
  </si>
  <si>
    <t>0424560995</t>
    <phoneticPr fontId="4" type="noConversion"/>
  </si>
  <si>
    <t>D</t>
    <phoneticPr fontId="4" type="noConversion"/>
  </si>
  <si>
    <t>MG2077</t>
    <phoneticPr fontId="4" type="noConversion"/>
  </si>
  <si>
    <t>0416000655</t>
    <phoneticPr fontId="4" type="noConversion"/>
  </si>
  <si>
    <t>KLF723</t>
    <phoneticPr fontId="4" type="noConversion"/>
  </si>
  <si>
    <t>0425777003</t>
    <phoneticPr fontId="4" type="noConversion"/>
  </si>
  <si>
    <t>22006(3/6)</t>
    <phoneticPr fontId="4" type="noConversion"/>
  </si>
  <si>
    <t>CZY84V</t>
    <phoneticPr fontId="4" type="noConversion"/>
  </si>
  <si>
    <t>0409587073</t>
    <phoneticPr fontId="4" type="noConversion"/>
  </si>
  <si>
    <t>H</t>
    <phoneticPr fontId="4" type="noConversion"/>
  </si>
  <si>
    <t>CYD23W</t>
    <phoneticPr fontId="4" type="noConversion"/>
  </si>
  <si>
    <t>0409363593</t>
    <phoneticPr fontId="4" type="noConversion"/>
  </si>
  <si>
    <t>EJC90H</t>
    <phoneticPr fontId="4" type="noConversion"/>
  </si>
  <si>
    <t>0418522174</t>
    <phoneticPr fontId="4" type="noConversion"/>
  </si>
  <si>
    <t>DMJ87J</t>
    <phoneticPr fontId="4" type="noConversion"/>
  </si>
  <si>
    <t>0403665058</t>
    <phoneticPr fontId="4" type="noConversion"/>
  </si>
  <si>
    <t>W/O</t>
    <phoneticPr fontId="4" type="noConversion"/>
  </si>
  <si>
    <t>AN51DJ</t>
    <phoneticPr fontId="4" type="noConversion"/>
  </si>
  <si>
    <t>0415993338</t>
    <phoneticPr fontId="4" type="noConversion"/>
  </si>
  <si>
    <t>PCS</t>
    <phoneticPr fontId="4" type="noConversion"/>
  </si>
  <si>
    <t>LAU777</t>
    <phoneticPr fontId="4" type="noConversion"/>
  </si>
  <si>
    <t>0416462000</t>
    <phoneticPr fontId="4" type="noConversion"/>
  </si>
  <si>
    <t>22037(2/6)</t>
    <phoneticPr fontId="4" type="noConversion"/>
  </si>
  <si>
    <t>JCL138</t>
    <phoneticPr fontId="4" type="noConversion"/>
  </si>
  <si>
    <t>0406120826</t>
    <phoneticPr fontId="4" type="noConversion"/>
  </si>
  <si>
    <t>21122810(3/6)</t>
    <phoneticPr fontId="4" type="noConversion"/>
  </si>
  <si>
    <t>9 - 8 - 2022</t>
    <phoneticPr fontId="4" type="noConversion"/>
  </si>
  <si>
    <t>SHOWER</t>
    <phoneticPr fontId="4" type="noConversion"/>
  </si>
  <si>
    <t>JUNIOR</t>
    <phoneticPr fontId="4" type="noConversion"/>
  </si>
  <si>
    <t>DYR29R</t>
    <phoneticPr fontId="4" type="noConversion"/>
  </si>
  <si>
    <t>KAMAL</t>
    <phoneticPr fontId="4" type="noConversion"/>
  </si>
  <si>
    <t>0417733573</t>
    <phoneticPr fontId="4" type="noConversion"/>
  </si>
  <si>
    <t>DTG73C</t>
    <phoneticPr fontId="4" type="noConversion"/>
  </si>
  <si>
    <t>0416232086</t>
    <phoneticPr fontId="4" type="noConversion"/>
  </si>
  <si>
    <t>D/ST</t>
    <phoneticPr fontId="4" type="noConversion"/>
  </si>
  <si>
    <t>CXV87C</t>
    <phoneticPr fontId="4" type="noConversion"/>
  </si>
  <si>
    <t>0411262108</t>
    <phoneticPr fontId="4" type="noConversion"/>
  </si>
  <si>
    <t>DVA51P</t>
    <phoneticPr fontId="4" type="noConversion"/>
  </si>
  <si>
    <t>0400447345</t>
    <phoneticPr fontId="4" type="noConversion"/>
  </si>
  <si>
    <t>DMX77H</t>
    <phoneticPr fontId="4" type="noConversion"/>
  </si>
  <si>
    <t>0405116280</t>
    <phoneticPr fontId="4" type="noConversion"/>
  </si>
  <si>
    <t>DBC55Y</t>
    <phoneticPr fontId="4" type="noConversion"/>
  </si>
  <si>
    <t>0425277988</t>
    <phoneticPr fontId="4" type="noConversion"/>
  </si>
  <si>
    <t>CQA58A</t>
    <phoneticPr fontId="4" type="noConversion"/>
  </si>
  <si>
    <t>0404011806</t>
    <phoneticPr fontId="4" type="noConversion"/>
  </si>
  <si>
    <t>CGL32S</t>
    <phoneticPr fontId="4" type="noConversion"/>
  </si>
  <si>
    <t>0417738188</t>
    <phoneticPr fontId="4" type="noConversion"/>
  </si>
  <si>
    <t>DMP81M</t>
    <phoneticPr fontId="4" type="noConversion"/>
  </si>
  <si>
    <t>0417773207</t>
    <phoneticPr fontId="4" type="noConversion"/>
  </si>
  <si>
    <t>NBV95C</t>
    <phoneticPr fontId="4" type="noConversion"/>
  </si>
  <si>
    <t>0433818333</t>
    <phoneticPr fontId="4" type="noConversion"/>
  </si>
  <si>
    <t>AK70YH</t>
    <phoneticPr fontId="4" type="noConversion"/>
  </si>
  <si>
    <t>0400188148</t>
    <phoneticPr fontId="4" type="noConversion"/>
  </si>
  <si>
    <t>202206035 - 36</t>
    <phoneticPr fontId="4" type="noConversion"/>
  </si>
  <si>
    <t>JB0212</t>
    <phoneticPr fontId="4" type="noConversion"/>
  </si>
  <si>
    <t>0401704628</t>
    <phoneticPr fontId="4" type="noConversion"/>
  </si>
  <si>
    <t>BIJ59M</t>
    <phoneticPr fontId="4" type="noConversion"/>
  </si>
  <si>
    <t>0419705507</t>
    <phoneticPr fontId="4" type="noConversion"/>
  </si>
  <si>
    <t>10-08-2022</t>
    <phoneticPr fontId="4" type="noConversion"/>
  </si>
  <si>
    <t>MIX</t>
    <phoneticPr fontId="4" type="noConversion"/>
  </si>
  <si>
    <t>DWW70C</t>
    <phoneticPr fontId="4" type="noConversion"/>
  </si>
  <si>
    <t>EAE28E</t>
    <phoneticPr fontId="4" type="noConversion"/>
  </si>
  <si>
    <t>0406816699</t>
    <phoneticPr fontId="4" type="noConversion"/>
  </si>
  <si>
    <t>22050(3/6)</t>
    <phoneticPr fontId="4" type="noConversion"/>
  </si>
  <si>
    <t>21057(6/6),22065(NEW)</t>
    <phoneticPr fontId="4" type="noConversion"/>
  </si>
  <si>
    <t>M</t>
  </si>
  <si>
    <t>DVW72Q</t>
    <phoneticPr fontId="4" type="noConversion"/>
  </si>
  <si>
    <t>0418881485</t>
    <phoneticPr fontId="4" type="noConversion"/>
  </si>
  <si>
    <t>DQX55H</t>
    <phoneticPr fontId="4" type="noConversion"/>
  </si>
  <si>
    <t>0404273932</t>
    <phoneticPr fontId="4" type="noConversion"/>
  </si>
  <si>
    <t>D/ID</t>
    <phoneticPr fontId="4" type="noConversion"/>
  </si>
  <si>
    <t>GB35SL</t>
    <phoneticPr fontId="4" type="noConversion"/>
  </si>
  <si>
    <t>0410636286</t>
    <phoneticPr fontId="4" type="noConversion"/>
  </si>
  <si>
    <t>EDJ28H</t>
    <phoneticPr fontId="4" type="noConversion"/>
  </si>
  <si>
    <t>0412366550</t>
    <phoneticPr fontId="4" type="noConversion"/>
  </si>
  <si>
    <t>F/D</t>
    <phoneticPr fontId="4" type="noConversion"/>
  </si>
  <si>
    <t>ERM06D</t>
    <phoneticPr fontId="4" type="noConversion"/>
  </si>
  <si>
    <t>0401567734</t>
    <phoneticPr fontId="4" type="noConversion"/>
  </si>
  <si>
    <t>CTO96Z</t>
    <phoneticPr fontId="4" type="noConversion"/>
  </si>
  <si>
    <t>0414544295</t>
    <phoneticPr fontId="4" type="noConversion"/>
  </si>
  <si>
    <t>ECI37U</t>
    <phoneticPr fontId="4" type="noConversion"/>
  </si>
  <si>
    <t>0418606935</t>
    <phoneticPr fontId="4" type="noConversion"/>
  </si>
  <si>
    <t>NBR70A</t>
    <phoneticPr fontId="4" type="noConversion"/>
  </si>
  <si>
    <t>0408400671</t>
    <phoneticPr fontId="4" type="noConversion"/>
  </si>
  <si>
    <t>EML343</t>
    <phoneticPr fontId="4" type="noConversion"/>
  </si>
  <si>
    <t>0414660109</t>
    <phoneticPr fontId="4" type="noConversion"/>
  </si>
  <si>
    <t>JA03JA</t>
    <phoneticPr fontId="4" type="noConversion"/>
  </si>
  <si>
    <t>0415033153</t>
    <phoneticPr fontId="4" type="noConversion"/>
  </si>
  <si>
    <t>TWT888</t>
    <phoneticPr fontId="4" type="noConversion"/>
  </si>
  <si>
    <t>0433036969</t>
    <phoneticPr fontId="4" type="noConversion"/>
  </si>
  <si>
    <t>DTB90E</t>
    <phoneticPr fontId="4" type="noConversion"/>
  </si>
  <si>
    <t>0426221001</t>
    <phoneticPr fontId="4" type="noConversion"/>
  </si>
  <si>
    <t>11 - 8 - 2022</t>
    <phoneticPr fontId="4" type="noConversion"/>
  </si>
  <si>
    <t>CLOUDY</t>
    <phoneticPr fontId="4" type="noConversion"/>
  </si>
  <si>
    <t>ARiANTO</t>
    <phoneticPr fontId="4" type="noConversion"/>
  </si>
  <si>
    <t>88BMWM</t>
    <phoneticPr fontId="4" type="noConversion"/>
  </si>
  <si>
    <t>0479077545</t>
    <phoneticPr fontId="4" type="noConversion"/>
  </si>
  <si>
    <t>XS66</t>
    <phoneticPr fontId="4" type="noConversion"/>
  </si>
  <si>
    <t>0431875858</t>
    <phoneticPr fontId="4" type="noConversion"/>
  </si>
  <si>
    <t>22013(4/6)</t>
    <phoneticPr fontId="4" type="noConversion"/>
  </si>
  <si>
    <t>NBZ26D</t>
    <phoneticPr fontId="4" type="noConversion"/>
  </si>
  <si>
    <t>BTH95P</t>
    <phoneticPr fontId="4" type="noConversion"/>
  </si>
  <si>
    <t>0409039026</t>
    <phoneticPr fontId="4" type="noConversion"/>
  </si>
  <si>
    <t>0432622241</t>
    <phoneticPr fontId="4" type="noConversion"/>
  </si>
  <si>
    <t>BLT62Y</t>
    <phoneticPr fontId="4" type="noConversion"/>
  </si>
  <si>
    <t>0419462536</t>
    <phoneticPr fontId="4" type="noConversion"/>
  </si>
  <si>
    <t>DLZ79Y</t>
    <phoneticPr fontId="4" type="noConversion"/>
  </si>
  <si>
    <t>0451023447</t>
    <phoneticPr fontId="4" type="noConversion"/>
  </si>
  <si>
    <t>NBR33K</t>
    <phoneticPr fontId="4" type="noConversion"/>
  </si>
  <si>
    <t>0412442242</t>
    <phoneticPr fontId="4" type="noConversion"/>
  </si>
  <si>
    <t>EBY25B</t>
    <phoneticPr fontId="4" type="noConversion"/>
  </si>
  <si>
    <t>0411598160</t>
    <phoneticPr fontId="4" type="noConversion"/>
  </si>
  <si>
    <t>JCL139</t>
    <phoneticPr fontId="4" type="noConversion"/>
  </si>
  <si>
    <t>0406120820</t>
    <phoneticPr fontId="4" type="noConversion"/>
  </si>
  <si>
    <t>21122811(3/6)</t>
    <phoneticPr fontId="4" type="noConversion"/>
  </si>
  <si>
    <t>DFY68C</t>
    <phoneticPr fontId="4" type="noConversion"/>
  </si>
  <si>
    <t>0405157977</t>
    <phoneticPr fontId="4" type="noConversion"/>
  </si>
  <si>
    <t>IN</t>
    <phoneticPr fontId="4" type="noConversion"/>
  </si>
  <si>
    <t>EED08L</t>
    <phoneticPr fontId="4" type="noConversion"/>
  </si>
  <si>
    <t>0422073987</t>
    <phoneticPr fontId="4" type="noConversion"/>
  </si>
  <si>
    <t>DPU71K</t>
    <phoneticPr fontId="4" type="noConversion"/>
  </si>
  <si>
    <t>0414363986</t>
    <phoneticPr fontId="4" type="noConversion"/>
  </si>
  <si>
    <t>GV3</t>
    <phoneticPr fontId="4" type="noConversion"/>
  </si>
  <si>
    <t>202879(6/7)</t>
    <phoneticPr fontId="4" type="noConversion"/>
  </si>
  <si>
    <t>EQC32U</t>
    <phoneticPr fontId="4" type="noConversion"/>
  </si>
  <si>
    <t>0451330881</t>
    <phoneticPr fontId="4" type="noConversion"/>
  </si>
  <si>
    <t>DXF86Q</t>
    <phoneticPr fontId="4" type="noConversion"/>
  </si>
  <si>
    <t>0425889988</t>
    <phoneticPr fontId="4" type="noConversion"/>
  </si>
  <si>
    <t>21051(6/6)</t>
    <phoneticPr fontId="4" type="noConversion"/>
  </si>
  <si>
    <t>CQA58C</t>
    <phoneticPr fontId="4" type="noConversion"/>
  </si>
  <si>
    <t>0402105896</t>
    <phoneticPr fontId="4" type="noConversion"/>
  </si>
  <si>
    <t>EDJ54E</t>
    <phoneticPr fontId="4" type="noConversion"/>
  </si>
  <si>
    <t>0434380489</t>
    <phoneticPr fontId="4" type="noConversion"/>
  </si>
  <si>
    <t>EPZ96K</t>
    <phoneticPr fontId="4" type="noConversion"/>
  </si>
  <si>
    <t>0416106480</t>
    <phoneticPr fontId="4" type="noConversion"/>
  </si>
  <si>
    <t>EIZ87P</t>
    <phoneticPr fontId="4" type="noConversion"/>
  </si>
  <si>
    <t>0439000026</t>
    <phoneticPr fontId="4" type="noConversion"/>
  </si>
  <si>
    <t>DG0000</t>
    <phoneticPr fontId="4" type="noConversion"/>
  </si>
  <si>
    <t>0405207477</t>
    <phoneticPr fontId="4" type="noConversion"/>
  </si>
  <si>
    <t>ANDREW</t>
    <phoneticPr fontId="4" type="noConversion"/>
  </si>
  <si>
    <t>12 - 8 - 2022</t>
    <phoneticPr fontId="4" type="noConversion"/>
  </si>
  <si>
    <t>CHARLIE</t>
    <phoneticPr fontId="4" type="noConversion"/>
  </si>
  <si>
    <t>DJJ65U</t>
    <phoneticPr fontId="4" type="noConversion"/>
  </si>
  <si>
    <t>0416232880</t>
    <phoneticPr fontId="4" type="noConversion"/>
  </si>
  <si>
    <t>JY5</t>
    <phoneticPr fontId="4" type="noConversion"/>
  </si>
  <si>
    <t>0421255535</t>
    <phoneticPr fontId="4" type="noConversion"/>
  </si>
  <si>
    <t>DFJ79Y</t>
    <phoneticPr fontId="4" type="noConversion"/>
  </si>
  <si>
    <t>0416702854</t>
    <phoneticPr fontId="4" type="noConversion"/>
  </si>
  <si>
    <t>D/CLAY</t>
    <phoneticPr fontId="4" type="noConversion"/>
  </si>
  <si>
    <t>EOG19M</t>
    <phoneticPr fontId="4" type="noConversion"/>
  </si>
  <si>
    <t>0499630435</t>
    <phoneticPr fontId="4" type="noConversion"/>
  </si>
  <si>
    <t>ACT187</t>
    <phoneticPr fontId="4" type="noConversion"/>
  </si>
  <si>
    <t>0422901449</t>
    <phoneticPr fontId="4" type="noConversion"/>
  </si>
  <si>
    <t>IN/ST</t>
    <phoneticPr fontId="4" type="noConversion"/>
  </si>
  <si>
    <t>SV212</t>
    <phoneticPr fontId="4" type="noConversion"/>
  </si>
  <si>
    <t>0403257868</t>
    <phoneticPr fontId="4" type="noConversion"/>
  </si>
  <si>
    <t>CRQ96X</t>
    <phoneticPr fontId="4" type="noConversion"/>
  </si>
  <si>
    <t>0408062082</t>
    <phoneticPr fontId="4" type="noConversion"/>
  </si>
  <si>
    <t>CXQ71T</t>
    <phoneticPr fontId="4" type="noConversion"/>
  </si>
  <si>
    <t>0413734793</t>
    <phoneticPr fontId="4" type="noConversion"/>
  </si>
  <si>
    <t>CMP98K</t>
    <phoneticPr fontId="4" type="noConversion"/>
  </si>
  <si>
    <t>0466545967</t>
    <phoneticPr fontId="4" type="noConversion"/>
  </si>
  <si>
    <t>EOB91L</t>
    <phoneticPr fontId="4" type="noConversion"/>
  </si>
  <si>
    <t>0406553212</t>
    <phoneticPr fontId="4" type="noConversion"/>
  </si>
  <si>
    <t>BSK85F</t>
    <phoneticPr fontId="4" type="noConversion"/>
  </si>
  <si>
    <t>0413460071</t>
    <phoneticPr fontId="4" type="noConversion"/>
  </si>
  <si>
    <t>EMM47P</t>
    <phoneticPr fontId="4" type="noConversion"/>
  </si>
  <si>
    <t>0470029053</t>
    <phoneticPr fontId="4" type="noConversion"/>
  </si>
  <si>
    <t>2 SEATS STEAM ONLY</t>
    <phoneticPr fontId="4" type="noConversion"/>
  </si>
  <si>
    <t>DTS62P</t>
    <phoneticPr fontId="4" type="noConversion"/>
  </si>
  <si>
    <t>0449886933</t>
    <phoneticPr fontId="4" type="noConversion"/>
  </si>
  <si>
    <t>DCN13Y</t>
    <phoneticPr fontId="4" type="noConversion"/>
  </si>
  <si>
    <t>0418637350</t>
    <phoneticPr fontId="4" type="noConversion"/>
  </si>
  <si>
    <t>13-08-2022</t>
    <phoneticPr fontId="4" type="noConversion"/>
  </si>
  <si>
    <t>DQA39U</t>
    <phoneticPr fontId="30" type="noConversion"/>
  </si>
  <si>
    <t>0404869355</t>
    <phoneticPr fontId="30" type="noConversion"/>
  </si>
  <si>
    <t>X</t>
    <phoneticPr fontId="30" type="noConversion"/>
  </si>
  <si>
    <t>HENDRA</t>
    <phoneticPr fontId="30" type="noConversion"/>
  </si>
  <si>
    <t>BKI56F</t>
    <phoneticPr fontId="30" type="noConversion"/>
  </si>
  <si>
    <t>0415523212</t>
    <phoneticPr fontId="30" type="noConversion"/>
  </si>
  <si>
    <t>F</t>
    <phoneticPr fontId="30" type="noConversion"/>
  </si>
  <si>
    <t>D</t>
    <phoneticPr fontId="30" type="noConversion"/>
  </si>
  <si>
    <t>JOHN</t>
    <phoneticPr fontId="30" type="noConversion"/>
  </si>
  <si>
    <t>NPS689</t>
    <phoneticPr fontId="30" type="noConversion"/>
  </si>
  <si>
    <t>0402256606</t>
    <phoneticPr fontId="30" type="noConversion"/>
  </si>
  <si>
    <t>NBV00P</t>
    <phoneticPr fontId="30" type="noConversion"/>
  </si>
  <si>
    <t>0416128840</t>
    <phoneticPr fontId="30" type="noConversion"/>
  </si>
  <si>
    <t>F/D</t>
    <phoneticPr fontId="30" type="noConversion"/>
  </si>
  <si>
    <t>DBO68M</t>
    <phoneticPr fontId="30" type="noConversion"/>
  </si>
  <si>
    <t>0433594928</t>
    <phoneticPr fontId="30" type="noConversion"/>
  </si>
  <si>
    <t>M</t>
    <phoneticPr fontId="30" type="noConversion"/>
  </si>
  <si>
    <t>S/D</t>
    <phoneticPr fontId="30" type="noConversion"/>
  </si>
  <si>
    <t>YSY52D</t>
    <phoneticPr fontId="30" type="noConversion"/>
  </si>
  <si>
    <t>0405016017</t>
    <phoneticPr fontId="30" type="noConversion"/>
  </si>
  <si>
    <t>PCL</t>
    <phoneticPr fontId="30" type="noConversion"/>
  </si>
  <si>
    <t>22017(2/6)</t>
    <phoneticPr fontId="30" type="noConversion"/>
  </si>
  <si>
    <t>ERH03D</t>
    <phoneticPr fontId="30" type="noConversion"/>
  </si>
  <si>
    <t>0400016674</t>
    <phoneticPr fontId="30" type="noConversion"/>
  </si>
  <si>
    <t>EPA86U</t>
    <phoneticPr fontId="30" type="noConversion"/>
  </si>
  <si>
    <t>0411928818</t>
    <phoneticPr fontId="30" type="noConversion"/>
  </si>
  <si>
    <t>ETY15P</t>
    <phoneticPr fontId="30" type="noConversion"/>
  </si>
  <si>
    <t>0456909424</t>
    <phoneticPr fontId="30" type="noConversion"/>
  </si>
  <si>
    <t>YKG56E</t>
    <phoneticPr fontId="30" type="noConversion"/>
  </si>
  <si>
    <t>0416632353</t>
    <phoneticPr fontId="30" type="noConversion"/>
  </si>
  <si>
    <t>DYN78U</t>
    <phoneticPr fontId="30" type="noConversion"/>
  </si>
  <si>
    <t>0407106470</t>
    <phoneticPr fontId="30" type="noConversion"/>
  </si>
  <si>
    <t>AC428</t>
    <phoneticPr fontId="30" type="noConversion"/>
  </si>
  <si>
    <t>0402871814</t>
    <phoneticPr fontId="30" type="noConversion"/>
  </si>
  <si>
    <t>H</t>
    <phoneticPr fontId="30" type="noConversion"/>
  </si>
  <si>
    <t>FLU64N</t>
    <phoneticPr fontId="30" type="noConversion"/>
  </si>
  <si>
    <t>0410539190</t>
    <phoneticPr fontId="30" type="noConversion"/>
  </si>
  <si>
    <t>22AAAA</t>
    <phoneticPr fontId="30" type="noConversion"/>
  </si>
  <si>
    <t>0410437232</t>
    <phoneticPr fontId="30" type="noConversion"/>
  </si>
  <si>
    <t>ERF68M</t>
    <phoneticPr fontId="30" type="noConversion"/>
  </si>
  <si>
    <t>0428061117</t>
    <phoneticPr fontId="30" type="noConversion"/>
  </si>
  <si>
    <t>FLX47K</t>
    <phoneticPr fontId="30" type="noConversion"/>
  </si>
  <si>
    <t>0407697190</t>
    <phoneticPr fontId="30" type="noConversion"/>
  </si>
  <si>
    <t>ESX02Y</t>
    <phoneticPr fontId="30" type="noConversion"/>
  </si>
  <si>
    <t>0419290060</t>
    <phoneticPr fontId="30" type="noConversion"/>
  </si>
  <si>
    <t>DKK55S</t>
    <phoneticPr fontId="30" type="noConversion"/>
  </si>
  <si>
    <t>0424527474</t>
    <phoneticPr fontId="30" type="noConversion"/>
  </si>
  <si>
    <t>EGT11K</t>
    <phoneticPr fontId="30" type="noConversion"/>
  </si>
  <si>
    <t>0422892378</t>
    <phoneticPr fontId="30" type="noConversion"/>
  </si>
  <si>
    <t>DHH55C</t>
    <phoneticPr fontId="30" type="noConversion"/>
  </si>
  <si>
    <t>0420963228</t>
    <phoneticPr fontId="30" type="noConversion"/>
  </si>
  <si>
    <t>NSZ899</t>
    <phoneticPr fontId="30" type="noConversion"/>
  </si>
  <si>
    <t>0422028291</t>
    <phoneticPr fontId="30" type="noConversion"/>
  </si>
  <si>
    <t>21048(5/6)</t>
    <phoneticPr fontId="30" type="noConversion"/>
  </si>
  <si>
    <t>OZ300</t>
    <phoneticPr fontId="30" type="noConversion"/>
  </si>
  <si>
    <t>0412694757</t>
    <phoneticPr fontId="30" type="noConversion"/>
  </si>
  <si>
    <t>JUNIOR</t>
    <phoneticPr fontId="30" type="noConversion"/>
  </si>
  <si>
    <t>ARIANTO</t>
    <phoneticPr fontId="30" type="noConversion"/>
  </si>
  <si>
    <t>KUROSH</t>
    <phoneticPr fontId="30" type="noConversion"/>
  </si>
  <si>
    <t>KEVIN</t>
    <phoneticPr fontId="30" type="noConversion"/>
  </si>
  <si>
    <t>KADAM</t>
    <phoneticPr fontId="30" type="noConversion"/>
  </si>
  <si>
    <t>SUVASH</t>
    <phoneticPr fontId="30" type="noConversion"/>
  </si>
  <si>
    <t>JOHN</t>
  </si>
  <si>
    <t>14-08-2022</t>
    <phoneticPr fontId="4" type="noConversion"/>
  </si>
  <si>
    <t>BSD55R</t>
  </si>
  <si>
    <t>0432713177</t>
  </si>
  <si>
    <t>RSL</t>
  </si>
  <si>
    <t>202207009,202205035(D)</t>
  </si>
  <si>
    <t>HENDRA</t>
  </si>
  <si>
    <t>JUNIOR</t>
  </si>
  <si>
    <t>KUROSH</t>
  </si>
  <si>
    <t>KEVIN</t>
  </si>
  <si>
    <t>KADAM</t>
  </si>
  <si>
    <t>SUVASH</t>
  </si>
  <si>
    <t>CYR12D</t>
    <phoneticPr fontId="4" type="noConversion"/>
  </si>
  <si>
    <t>0452138599</t>
    <phoneticPr fontId="4" type="noConversion"/>
  </si>
  <si>
    <t>IN/ID</t>
    <phoneticPr fontId="4" type="noConversion"/>
  </si>
  <si>
    <t>LEE68B</t>
    <phoneticPr fontId="4" type="noConversion"/>
  </si>
  <si>
    <t>0416212689</t>
    <phoneticPr fontId="4" type="noConversion"/>
  </si>
  <si>
    <t>X/LEATHER</t>
    <phoneticPr fontId="4" type="noConversion"/>
  </si>
  <si>
    <t>NBS90G</t>
    <phoneticPr fontId="4" type="noConversion"/>
  </si>
  <si>
    <t>0411439769</t>
    <phoneticPr fontId="4" type="noConversion"/>
  </si>
  <si>
    <t>244ZFO</t>
    <phoneticPr fontId="4" type="noConversion"/>
  </si>
  <si>
    <t>0477076667</t>
    <phoneticPr fontId="4" type="noConversion"/>
  </si>
  <si>
    <t>CK16ZR</t>
    <phoneticPr fontId="4" type="noConversion"/>
  </si>
  <si>
    <t>0420776089</t>
    <phoneticPr fontId="4" type="noConversion"/>
  </si>
  <si>
    <t>ENI11L</t>
    <phoneticPr fontId="4" type="noConversion"/>
  </si>
  <si>
    <t>0433966747</t>
    <phoneticPr fontId="4" type="noConversion"/>
  </si>
  <si>
    <t>168BBB</t>
    <phoneticPr fontId="4" type="noConversion"/>
  </si>
  <si>
    <t>0499889999</t>
    <phoneticPr fontId="4" type="noConversion"/>
  </si>
  <si>
    <t>BJP82L</t>
    <phoneticPr fontId="4" type="noConversion"/>
  </si>
  <si>
    <t>0406710753</t>
    <phoneticPr fontId="4" type="noConversion"/>
  </si>
  <si>
    <t>H/ST</t>
    <phoneticPr fontId="4" type="noConversion"/>
  </si>
  <si>
    <t>EIY83T</t>
    <phoneticPr fontId="4" type="noConversion"/>
  </si>
  <si>
    <t>0481116379</t>
    <phoneticPr fontId="4" type="noConversion"/>
  </si>
  <si>
    <t>DKC55E</t>
    <phoneticPr fontId="4" type="noConversion"/>
  </si>
  <si>
    <t>0407331456</t>
    <phoneticPr fontId="4" type="noConversion"/>
  </si>
  <si>
    <t>PVG87L</t>
    <phoneticPr fontId="4" type="noConversion"/>
  </si>
  <si>
    <t>0416681099</t>
    <phoneticPr fontId="4" type="noConversion"/>
  </si>
  <si>
    <t>NBW64A</t>
    <phoneticPr fontId="4" type="noConversion"/>
  </si>
  <si>
    <t>0416331881</t>
    <phoneticPr fontId="4" type="noConversion"/>
  </si>
  <si>
    <t>DPY72P</t>
    <phoneticPr fontId="4" type="noConversion"/>
  </si>
  <si>
    <t>0420571075</t>
    <phoneticPr fontId="4" type="noConversion"/>
  </si>
  <si>
    <t>CEO38X</t>
    <phoneticPr fontId="4" type="noConversion"/>
  </si>
  <si>
    <t>0408942735</t>
    <phoneticPr fontId="4" type="noConversion"/>
  </si>
  <si>
    <t>CTQ57V</t>
    <phoneticPr fontId="4" type="noConversion"/>
  </si>
  <si>
    <t>0433452880</t>
    <phoneticPr fontId="4" type="noConversion"/>
  </si>
  <si>
    <t>AU158G</t>
    <phoneticPr fontId="4" type="noConversion"/>
  </si>
  <si>
    <t>0434342613</t>
    <phoneticPr fontId="4" type="noConversion"/>
  </si>
  <si>
    <t>MCD10J</t>
    <phoneticPr fontId="4" type="noConversion"/>
  </si>
  <si>
    <t>0416112883</t>
    <phoneticPr fontId="4" type="noConversion"/>
  </si>
  <si>
    <t>YGT52W</t>
    <phoneticPr fontId="4" type="noConversion"/>
  </si>
  <si>
    <t>0413581675</t>
    <phoneticPr fontId="4" type="noConversion"/>
  </si>
  <si>
    <t>CYZ48J</t>
    <phoneticPr fontId="4" type="noConversion"/>
  </si>
  <si>
    <t>CJH36Z</t>
    <phoneticPr fontId="4" type="noConversion"/>
  </si>
  <si>
    <t>0426730334</t>
    <phoneticPr fontId="4" type="noConversion"/>
  </si>
  <si>
    <t>EJV62K</t>
    <phoneticPr fontId="4" type="noConversion"/>
  </si>
  <si>
    <t>0415362280</t>
    <phoneticPr fontId="4" type="noConversion"/>
  </si>
  <si>
    <t>159YDP</t>
    <phoneticPr fontId="4" type="noConversion"/>
  </si>
  <si>
    <t>0410136917</t>
    <phoneticPr fontId="4" type="noConversion"/>
  </si>
  <si>
    <t>EMC80C</t>
    <phoneticPr fontId="4" type="noConversion"/>
  </si>
  <si>
    <t>0402013630</t>
    <phoneticPr fontId="4" type="noConversion"/>
  </si>
  <si>
    <t>202850(6/6)</t>
    <phoneticPr fontId="4" type="noConversion"/>
  </si>
  <si>
    <t>DZV96B</t>
    <phoneticPr fontId="4" type="noConversion"/>
  </si>
  <si>
    <t>0419141090</t>
    <phoneticPr fontId="4" type="noConversion"/>
  </si>
  <si>
    <t>EEP37M</t>
    <phoneticPr fontId="4" type="noConversion"/>
  </si>
  <si>
    <t>0448122708</t>
    <phoneticPr fontId="4" type="noConversion"/>
  </si>
  <si>
    <t>CNN96W</t>
    <phoneticPr fontId="4" type="noConversion"/>
  </si>
  <si>
    <t>0414899682</t>
    <phoneticPr fontId="4" type="noConversion"/>
  </si>
  <si>
    <t>NCE60E</t>
    <phoneticPr fontId="4" type="noConversion"/>
  </si>
  <si>
    <t>0424619766</t>
    <phoneticPr fontId="4" type="noConversion"/>
  </si>
  <si>
    <t>YID03N</t>
    <phoneticPr fontId="4" type="noConversion"/>
  </si>
  <si>
    <t>0411310566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</si>
</sst>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3" borderId="33" applyNumberFormat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4" borderId="36" applyNumberFormat="0" applyAlignment="0" applyProtection="0">
      <alignment vertical="center"/>
    </xf>
    <xf numFmtId="0" fontId="24" fillId="14" borderId="0" applyNumberFormat="0" applyBorder="0" applyAlignment="0" applyProtection="0">
      <alignment vertical="center"/>
    </xf>
  </cellStyleXfs>
  <cellXfs count="758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7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6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6" fillId="0" borderId="1" xfId="3" applyFont="1" applyFill="1" applyBorder="1" applyAlignment="1">
      <alignment horizontal="left" shrinkToFit="1"/>
    </xf>
    <xf numFmtId="0" fontId="16" fillId="0" borderId="1" xfId="3" applyFont="1" applyFill="1" applyBorder="1" applyAlignment="1">
      <alignment shrinkToFit="1"/>
    </xf>
    <xf numFmtId="26" fontId="14" fillId="0" borderId="0" xfId="0" applyNumberFormat="1" applyFont="1" applyFill="1" applyBorder="1" applyAlignment="1">
      <alignment shrinkToFit="1"/>
    </xf>
    <xf numFmtId="0" fontId="16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6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5" fillId="0" borderId="1" xfId="0" applyFont="1" applyBorder="1" applyAlignment="1">
      <alignment shrinkToFit="1"/>
    </xf>
    <xf numFmtId="26" fontId="5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5" fillId="0" borderId="13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1" fillId="0" borderId="1" xfId="0" applyFont="1" applyBorder="1" applyAlignment="1">
      <alignment horizontal="left" shrinkToFit="1"/>
    </xf>
    <xf numFmtId="0" fontId="14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6" fillId="0" borderId="4" xfId="0" applyNumberFormat="1" applyFont="1" applyBorder="1" applyAlignment="1">
      <alignment horizontal="center" shrinkToFit="1"/>
    </xf>
    <xf numFmtId="0" fontId="5" fillId="0" borderId="28" xfId="0" applyFont="1" applyBorder="1" applyAlignment="1">
      <alignment shrinkToFit="1"/>
    </xf>
    <xf numFmtId="176" fontId="7" fillId="0" borderId="1" xfId="0" applyNumberFormat="1" applyFont="1" applyBorder="1" applyAlignment="1">
      <alignment vertical="center" shrinkToFit="1"/>
    </xf>
    <xf numFmtId="176" fontId="7" fillId="0" borderId="15" xfId="0" applyNumberFormat="1" applyFont="1" applyBorder="1" applyAlignment="1">
      <alignment vertical="center" shrinkToFit="1"/>
    </xf>
    <xf numFmtId="26" fontId="7" fillId="0" borderId="1" xfId="0" applyNumberFormat="1" applyFont="1" applyBorder="1" applyAlignment="1">
      <alignment vertical="center" shrinkToFit="1"/>
    </xf>
    <xf numFmtId="26" fontId="7" fillId="0" borderId="15" xfId="0" applyNumberFormat="1" applyFont="1" applyBorder="1" applyAlignment="1">
      <alignment vertical="center" shrinkToFit="1"/>
    </xf>
    <xf numFmtId="24" fontId="7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7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7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5" fillId="6" borderId="12" xfId="0" applyNumberFormat="1" applyFont="1" applyFill="1" applyBorder="1" applyAlignment="1">
      <alignment shrinkToFit="1"/>
    </xf>
    <xf numFmtId="178" fontId="5" fillId="6" borderId="12" xfId="0" applyNumberFormat="1" applyFont="1" applyFill="1" applyBorder="1" applyAlignment="1">
      <alignment horizontal="center" shrinkToFit="1"/>
    </xf>
    <xf numFmtId="177" fontId="5" fillId="6" borderId="12" xfId="0" applyNumberFormat="1" applyFont="1" applyFill="1" applyBorder="1" applyAlignment="1">
      <alignment shrinkToFit="1"/>
    </xf>
    <xf numFmtId="177" fontId="5" fillId="6" borderId="12" xfId="0" applyNumberFormat="1" applyFont="1" applyFill="1" applyBorder="1" applyAlignment="1">
      <alignment horizontal="center" shrinkToFit="1"/>
    </xf>
    <xf numFmtId="0" fontId="5" fillId="6" borderId="41" xfId="0" applyFont="1" applyFill="1" applyBorder="1" applyAlignment="1">
      <alignment horizontal="center" shrinkToFit="1"/>
    </xf>
    <xf numFmtId="177" fontId="5" fillId="6" borderId="41" xfId="0" applyNumberFormat="1" applyFont="1" applyFill="1" applyBorder="1" applyAlignment="1">
      <alignment horizontal="center" shrinkToFit="1"/>
    </xf>
    <xf numFmtId="178" fontId="5" fillId="6" borderId="41" xfId="0" applyNumberFormat="1" applyFont="1" applyFill="1" applyBorder="1" applyAlignment="1">
      <alignment horizontal="center" shrinkToFit="1"/>
    </xf>
    <xf numFmtId="178" fontId="16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4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4" fillId="6" borderId="52" xfId="0" applyFont="1" applyFill="1" applyBorder="1" applyAlignment="1">
      <alignment horizontal="left" shrinkToFit="1"/>
    </xf>
    <xf numFmtId="179" fontId="14" fillId="6" borderId="50" xfId="0" applyNumberFormat="1" applyFont="1" applyFill="1" applyBorder="1" applyAlignment="1">
      <alignment horizontal="center" vertical="center" shrinkToFit="1"/>
    </xf>
    <xf numFmtId="179" fontId="11" fillId="6" borderId="53" xfId="0" applyNumberFormat="1" applyFont="1" applyFill="1" applyBorder="1" applyAlignment="1">
      <alignment horizontal="left" shrinkToFit="1"/>
    </xf>
    <xf numFmtId="0" fontId="5" fillId="6" borderId="28" xfId="0" applyFont="1" applyFill="1" applyBorder="1" applyAlignment="1">
      <alignment horizontal="center" shrinkToFit="1"/>
    </xf>
    <xf numFmtId="178" fontId="5" fillId="6" borderId="1" xfId="0" applyNumberFormat="1" applyFont="1" applyFill="1" applyBorder="1" applyAlignment="1">
      <alignment horizontal="center" shrinkToFit="1"/>
    </xf>
    <xf numFmtId="176" fontId="5" fillId="6" borderId="13" xfId="0" applyNumberFormat="1" applyFont="1" applyFill="1" applyBorder="1" applyAlignment="1">
      <alignment horizontal="center" vertical="center" shrinkToFit="1"/>
    </xf>
    <xf numFmtId="176" fontId="5" fillId="6" borderId="10" xfId="0" applyNumberFormat="1" applyFont="1" applyFill="1" applyBorder="1" applyAlignment="1">
      <alignment horizontal="center" vertical="center" shrinkToFit="1"/>
    </xf>
    <xf numFmtId="0" fontId="14" fillId="6" borderId="19" xfId="0" applyFont="1" applyFill="1" applyBorder="1" applyAlignment="1">
      <alignment horizontal="center" shrinkToFit="1"/>
    </xf>
    <xf numFmtId="0" fontId="14" fillId="6" borderId="4" xfId="0" applyFont="1" applyFill="1" applyBorder="1" applyAlignment="1">
      <alignment horizontal="center" shrinkToFit="1"/>
    </xf>
    <xf numFmtId="0" fontId="15" fillId="6" borderId="3" xfId="0" applyFont="1" applyFill="1" applyBorder="1" applyAlignment="1">
      <alignment horizontal="center" shrinkToFit="1"/>
    </xf>
    <xf numFmtId="180" fontId="5" fillId="6" borderId="1" xfId="0" applyNumberFormat="1" applyFont="1" applyFill="1" applyBorder="1" applyAlignment="1">
      <alignment horizontal="center" shrinkToFit="1"/>
    </xf>
    <xf numFmtId="179" fontId="5" fillId="6" borderId="1" xfId="0" applyNumberFormat="1" applyFont="1" applyFill="1" applyBorder="1" applyAlignment="1">
      <alignment horizontal="center" shrinkToFit="1"/>
    </xf>
    <xf numFmtId="180" fontId="5" fillId="6" borderId="14" xfId="0" applyNumberFormat="1" applyFont="1" applyFill="1" applyBorder="1" applyAlignment="1">
      <alignment horizontal="center" shrinkToFit="1"/>
    </xf>
    <xf numFmtId="178" fontId="5" fillId="6" borderId="14" xfId="0" applyNumberFormat="1" applyFont="1" applyFill="1" applyBorder="1" applyAlignment="1">
      <alignment horizontal="center" shrinkToFit="1"/>
    </xf>
    <xf numFmtId="176" fontId="5" fillId="6" borderId="3" xfId="0" applyNumberFormat="1" applyFont="1" applyFill="1" applyBorder="1" applyAlignment="1">
      <alignment horizontal="center" shrinkToFit="1"/>
    </xf>
    <xf numFmtId="180" fontId="5" fillId="6" borderId="3" xfId="0" applyNumberFormat="1" applyFont="1" applyFill="1" applyBorder="1" applyAlignment="1">
      <alignment horizontal="center" shrinkToFit="1"/>
    </xf>
    <xf numFmtId="179" fontId="9" fillId="6" borderId="3" xfId="1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center" shrinkToFit="1"/>
    </xf>
    <xf numFmtId="178" fontId="17" fillId="6" borderId="28" xfId="0" applyNumberFormat="1" applyFont="1" applyFill="1" applyBorder="1" applyAlignment="1">
      <alignment horizontal="center" vertical="center" shrinkToFit="1"/>
    </xf>
    <xf numFmtId="180" fontId="15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4" fillId="6" borderId="50" xfId="0" applyNumberFormat="1" applyFont="1" applyFill="1" applyBorder="1" applyAlignment="1">
      <alignment shrinkToFit="1"/>
    </xf>
    <xf numFmtId="179" fontId="5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4" fillId="0" borderId="1" xfId="0" applyFont="1" applyBorder="1" applyAlignment="1">
      <alignment horizontal="center" shrinkToFit="1"/>
    </xf>
    <xf numFmtId="0" fontId="14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1" fillId="0" borderId="4" xfId="0" applyFont="1" applyBorder="1" applyAlignment="1">
      <alignment horizontal="center" shrinkToFit="1"/>
    </xf>
    <xf numFmtId="178" fontId="16" fillId="0" borderId="1" xfId="3" applyNumberFormat="1" applyFont="1" applyFill="1" applyBorder="1" applyAlignment="1">
      <alignment horizontal="center" shrinkToFit="1"/>
    </xf>
    <xf numFmtId="178" fontId="2" fillId="0" borderId="4" xfId="0" applyNumberFormat="1" applyFont="1" applyBorder="1" applyAlignment="1">
      <alignment horizontal="center" shrinkToFit="1"/>
    </xf>
    <xf numFmtId="178" fontId="2" fillId="0" borderId="1" xfId="0" applyNumberFormat="1" applyFont="1" applyBorder="1" applyAlignment="1">
      <alignment horizontal="center" shrinkToFit="1"/>
    </xf>
    <xf numFmtId="178" fontId="16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3" fillId="0" borderId="19" xfId="0" applyFont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178" fontId="2" fillId="6" borderId="4" xfId="0" applyNumberFormat="1" applyFont="1" applyFill="1" applyBorder="1" applyAlignment="1">
      <alignment horizontal="center" shrinkToFit="1"/>
    </xf>
    <xf numFmtId="178" fontId="16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left" shrinkToFit="1"/>
    </xf>
    <xf numFmtId="0" fontId="3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4" fillId="0" borderId="13" xfId="0" applyFont="1" applyBorder="1" applyAlignment="1">
      <alignment horizontal="left" shrinkToFit="1"/>
    </xf>
    <xf numFmtId="179" fontId="14" fillId="0" borderId="14" xfId="0" applyNumberFormat="1" applyFont="1" applyBorder="1" applyAlignment="1">
      <alignment horizontal="center" vertical="center" shrinkToFit="1"/>
    </xf>
    <xf numFmtId="26" fontId="14" fillId="0" borderId="14" xfId="0" applyNumberFormat="1" applyFont="1" applyBorder="1" applyAlignment="1">
      <alignment shrinkToFit="1"/>
    </xf>
    <xf numFmtId="179" fontId="7" fillId="0" borderId="28" xfId="0" applyNumberFormat="1" applyFont="1" applyBorder="1" applyAlignment="1">
      <alignment vertical="center" shrinkToFit="1"/>
    </xf>
    <xf numFmtId="178" fontId="2" fillId="2" borderId="1" xfId="0" applyNumberFormat="1" applyFont="1" applyFill="1" applyBorder="1" applyAlignment="1">
      <alignment horizontal="center" shrinkToFit="1"/>
    </xf>
    <xf numFmtId="0" fontId="3" fillId="2" borderId="9" xfId="0" applyFont="1" applyFill="1" applyBorder="1" applyAlignment="1">
      <alignment horizontal="center" shrinkToFit="1"/>
    </xf>
    <xf numFmtId="0" fontId="17" fillId="6" borderId="7" xfId="0" applyFont="1" applyFill="1" applyBorder="1" applyAlignment="1">
      <alignment horizontal="center" shrinkToFit="1"/>
    </xf>
    <xf numFmtId="0" fontId="17" fillId="6" borderId="8" xfId="0" applyFont="1" applyFill="1" applyBorder="1" applyAlignment="1">
      <alignment horizontal="center" shrinkToFit="1"/>
    </xf>
    <xf numFmtId="178" fontId="5" fillId="6" borderId="48" xfId="0" applyNumberFormat="1" applyFont="1" applyFill="1" applyBorder="1" applyAlignment="1">
      <alignment vertical="center" shrinkToFit="1"/>
    </xf>
    <xf numFmtId="178" fontId="14" fillId="0" borderId="47" xfId="0" applyNumberFormat="1" applyFont="1" applyBorder="1" applyAlignment="1">
      <alignment shrinkToFit="1"/>
    </xf>
    <xf numFmtId="0" fontId="3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6" fillId="0" borderId="40" xfId="0" applyNumberFormat="1" applyFont="1" applyBorder="1" applyAlignment="1">
      <alignment horizontal="center" shrinkToFit="1"/>
    </xf>
    <xf numFmtId="178" fontId="14" fillId="0" borderId="17" xfId="0" applyNumberFormat="1" applyFont="1" applyBorder="1" applyAlignment="1">
      <alignment shrinkToFit="1"/>
    </xf>
    <xf numFmtId="178" fontId="14" fillId="0" borderId="49" xfId="0" applyNumberFormat="1" applyFont="1" applyBorder="1" applyAlignment="1">
      <alignment shrinkToFit="1"/>
    </xf>
    <xf numFmtId="0" fontId="3" fillId="0" borderId="13" xfId="0" applyFont="1" applyBorder="1" applyAlignment="1">
      <alignment horizontal="center" shrinkToFit="1"/>
    </xf>
    <xf numFmtId="0" fontId="23" fillId="0" borderId="1" xfId="0" applyFont="1" applyBorder="1" applyAlignment="1">
      <alignment horizontal="center"/>
    </xf>
    <xf numFmtId="0" fontId="17" fillId="13" borderId="7" xfId="0" applyFont="1" applyFill="1" applyBorder="1" applyAlignment="1">
      <alignment horizontal="center" shrinkToFit="1"/>
    </xf>
    <xf numFmtId="177" fontId="17" fillId="13" borderId="8" xfId="0" applyNumberFormat="1" applyFont="1" applyFill="1" applyBorder="1" applyAlignment="1">
      <alignment horizontal="center" shrinkToFit="1"/>
    </xf>
    <xf numFmtId="178" fontId="17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7" fillId="13" borderId="50" xfId="0" applyFont="1" applyFill="1" applyBorder="1" applyAlignment="1">
      <alignment horizontal="center" shrinkToFit="1"/>
    </xf>
    <xf numFmtId="178" fontId="2" fillId="0" borderId="26" xfId="0" applyNumberFormat="1" applyFont="1" applyBorder="1" applyAlignment="1">
      <alignment horizontal="center" shrinkToFit="1"/>
    </xf>
    <xf numFmtId="178" fontId="16" fillId="0" borderId="61" xfId="3" applyNumberFormat="1" applyFont="1" applyFill="1" applyBorder="1" applyAlignment="1">
      <alignment horizontal="center" shrinkToFit="1"/>
    </xf>
    <xf numFmtId="179" fontId="7" fillId="0" borderId="39" xfId="0" applyNumberFormat="1" applyFont="1" applyBorder="1" applyAlignment="1">
      <alignment horizontal="left"/>
    </xf>
    <xf numFmtId="179" fontId="7" fillId="0" borderId="26" xfId="0" applyNumberFormat="1" applyFont="1" applyBorder="1" applyAlignment="1">
      <alignment horizontal="left"/>
    </xf>
    <xf numFmtId="179" fontId="14" fillId="0" borderId="26" xfId="0" applyNumberFormat="1" applyFont="1" applyBorder="1" applyAlignment="1">
      <alignment horizontal="left"/>
    </xf>
    <xf numFmtId="0" fontId="14" fillId="0" borderId="26" xfId="0" applyFont="1" applyBorder="1" applyAlignment="1">
      <alignment horizontal="left" shrinkToFit="1"/>
    </xf>
    <xf numFmtId="0" fontId="7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6" fillId="0" borderId="26" xfId="3" applyFont="1" applyFill="1" applyBorder="1" applyAlignment="1">
      <alignment horizontal="left" shrinkToFit="1"/>
    </xf>
    <xf numFmtId="0" fontId="16" fillId="0" borderId="46" xfId="3" applyFont="1" applyFill="1" applyBorder="1" applyAlignment="1">
      <alignment horizontal="left" shrinkToFit="1"/>
    </xf>
    <xf numFmtId="0" fontId="7" fillId="0" borderId="26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6" fillId="0" borderId="2" xfId="3" applyNumberFormat="1" applyFont="1" applyFill="1" applyBorder="1" applyAlignment="1">
      <alignment horizontal="left" shrinkToFit="1"/>
    </xf>
    <xf numFmtId="49" fontId="11" fillId="0" borderId="2" xfId="0" applyNumberFormat="1" applyFont="1" applyBorder="1" applyAlignment="1">
      <alignment horizontal="left" shrinkToFit="1"/>
    </xf>
    <xf numFmtId="49" fontId="16" fillId="0" borderId="2" xfId="3" applyNumberFormat="1" applyFont="1" applyFill="1" applyBorder="1" applyAlignment="1">
      <alignment shrinkToFit="1"/>
    </xf>
    <xf numFmtId="49" fontId="14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6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7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5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6" fillId="0" borderId="40" xfId="3" applyNumberFormat="1" applyFont="1" applyFill="1" applyBorder="1" applyAlignment="1">
      <alignment horizontal="left" shrinkToFit="1"/>
    </xf>
    <xf numFmtId="49" fontId="16" fillId="0" borderId="45" xfId="3" applyNumberFormat="1" applyFont="1" applyFill="1" applyBorder="1" applyAlignment="1">
      <alignment horizontal="left" shrinkToFit="1"/>
    </xf>
    <xf numFmtId="49" fontId="25" fillId="0" borderId="2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shrinkToFit="1"/>
    </xf>
    <xf numFmtId="49" fontId="25" fillId="0" borderId="29" xfId="0" applyNumberFormat="1" applyFont="1" applyBorder="1"/>
    <xf numFmtId="49" fontId="26" fillId="0" borderId="2" xfId="0" applyNumberFormat="1" applyFont="1" applyBorder="1" applyAlignment="1">
      <alignment shrinkToFit="1"/>
    </xf>
    <xf numFmtId="49" fontId="25" fillId="0" borderId="37" xfId="0" applyNumberFormat="1" applyFont="1" applyBorder="1" applyAlignment="1">
      <alignment horizontal="left" shrinkToFit="1"/>
    </xf>
    <xf numFmtId="49" fontId="25" fillId="0" borderId="2" xfId="0" applyNumberFormat="1" applyFont="1" applyBorder="1" applyAlignment="1">
      <alignment shrinkToFit="1"/>
    </xf>
    <xf numFmtId="49" fontId="25" fillId="2" borderId="2" xfId="0" applyNumberFormat="1" applyFont="1" applyFill="1" applyBorder="1" applyAlignment="1">
      <alignment shrinkToFit="1"/>
    </xf>
    <xf numFmtId="49" fontId="25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horizontal="left" shrinkToFit="1"/>
    </xf>
    <xf numFmtId="49" fontId="26" fillId="0" borderId="29" xfId="3" applyNumberFormat="1" applyFont="1" applyFill="1" applyBorder="1" applyAlignment="1">
      <alignment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178" fontId="24" fillId="2" borderId="4" xfId="4" applyNumberFormat="1" applyFill="1" applyBorder="1" applyAlignment="1">
      <alignment horizontal="center" shrinkToFit="1"/>
    </xf>
    <xf numFmtId="178" fontId="24" fillId="2" borderId="6" xfId="4" applyNumberFormat="1" applyFill="1" applyBorder="1" applyAlignment="1">
      <alignment horizontal="center" shrinkToFit="1"/>
    </xf>
    <xf numFmtId="178" fontId="11" fillId="6" borderId="4" xfId="4" applyNumberFormat="1" applyFont="1" applyFill="1" applyBorder="1" applyAlignment="1">
      <alignment horizont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49" fontId="29" fillId="0" borderId="2" xfId="0" applyNumberFormat="1" applyFont="1" applyBorder="1"/>
    <xf numFmtId="0" fontId="17" fillId="13" borderId="8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24" fillId="14" borderId="4" xfId="4" applyBorder="1" applyAlignment="1">
      <alignment horizontal="center" shrinkToFit="1"/>
    </xf>
    <xf numFmtId="0" fontId="24" fillId="14" borderId="1" xfId="4" applyBorder="1" applyAlignment="1">
      <alignment horizontal="left"/>
    </xf>
    <xf numFmtId="49" fontId="24" fillId="14" borderId="2" xfId="4" applyNumberFormat="1" applyBorder="1" applyAlignment="1">
      <alignment horizontal="left"/>
    </xf>
    <xf numFmtId="0" fontId="24" fillId="14" borderId="62" xfId="4" applyBorder="1" applyAlignment="1">
      <alignment horizontal="center" shrinkToFit="1"/>
    </xf>
    <xf numFmtId="179" fontId="24" fillId="14" borderId="26" xfId="4" applyNumberFormat="1" applyBorder="1" applyAlignment="1">
      <alignment horizontal="left"/>
    </xf>
    <xf numFmtId="178" fontId="24" fillId="14" borderId="4" xfId="4" applyNumberFormat="1" applyBorder="1" applyAlignment="1">
      <alignment horizontal="center" shrinkToFit="1"/>
    </xf>
    <xf numFmtId="178" fontId="24" fillId="14" borderId="6" xfId="4" applyNumberFormat="1" applyBorder="1" applyAlignment="1">
      <alignment horizontal="center" shrinkToFit="1"/>
    </xf>
    <xf numFmtId="0" fontId="24" fillId="14" borderId="1" xfId="4" applyBorder="1" applyAlignment="1">
      <alignment horizontal="left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4" fillId="0" borderId="2" xfId="0" applyFont="1" applyBorder="1" applyAlignment="1">
      <alignment horizontal="center" shrinkToFit="1"/>
    </xf>
    <xf numFmtId="0" fontId="14" fillId="0" borderId="29" xfId="0" applyFont="1" applyBorder="1" applyAlignment="1">
      <alignment horizontal="center" shrinkToFit="1"/>
    </xf>
    <xf numFmtId="0" fontId="14" fillId="0" borderId="17" xfId="0" applyFont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5" fillId="0" borderId="27" xfId="0" applyFont="1" applyBorder="1" applyAlignment="1">
      <alignment horizontal="center" shrinkToFit="1"/>
    </xf>
    <xf numFmtId="0" fontId="5" fillId="0" borderId="25" xfId="0" applyFont="1" applyBorder="1" applyAlignment="1">
      <alignment horizontal="center" shrinkToFit="1"/>
    </xf>
    <xf numFmtId="0" fontId="5" fillId="0" borderId="24" xfId="0" applyFont="1" applyBorder="1" applyAlignment="1">
      <alignment horizontal="center" shrinkToFit="1"/>
    </xf>
    <xf numFmtId="0" fontId="5" fillId="0" borderId="31" xfId="0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32" xfId="0" applyFont="1" applyBorder="1" applyAlignment="1">
      <alignment horizontal="center" shrinkToFit="1"/>
    </xf>
    <xf numFmtId="0" fontId="5" fillId="0" borderId="21" xfId="0" applyFont="1" applyBorder="1" applyAlignment="1">
      <alignment horizontal="center" shrinkToFit="1"/>
    </xf>
    <xf numFmtId="0" fontId="5" fillId="0" borderId="22" xfId="0" applyFont="1" applyBorder="1" applyAlignment="1">
      <alignment horizontal="center" shrinkToFit="1"/>
    </xf>
    <xf numFmtId="0" fontId="5" fillId="0" borderId="23" xfId="0" applyFont="1" applyBorder="1" applyAlignment="1">
      <alignment horizontal="center" shrinkToFit="1"/>
    </xf>
    <xf numFmtId="0" fontId="3" fillId="6" borderId="34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5" fillId="6" borderId="13" xfId="0" applyFont="1" applyFill="1" applyBorder="1" applyAlignment="1">
      <alignment horizontal="center" vertic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4" xfId="0" applyFont="1" applyFill="1" applyBorder="1" applyAlignment="1">
      <alignment horizontal="center" vertical="center" shrinkToFit="1"/>
    </xf>
    <xf numFmtId="0" fontId="5" fillId="6" borderId="9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0" fontId="5" fillId="6" borderId="10" xfId="0" applyFont="1" applyFill="1" applyBorder="1" applyAlignment="1">
      <alignment horizontal="center" vertical="center" shrinkToFit="1"/>
    </xf>
    <xf numFmtId="0" fontId="5" fillId="6" borderId="3" xfId="0" applyFont="1" applyFill="1" applyBorder="1" applyAlignment="1">
      <alignment horizontal="center" vertical="center" shrinkToFit="1"/>
    </xf>
    <xf numFmtId="180" fontId="5" fillId="6" borderId="14" xfId="0" applyNumberFormat="1" applyFont="1" applyFill="1" applyBorder="1" applyAlignment="1">
      <alignment horizontal="center" vertical="center" shrinkToFit="1"/>
    </xf>
    <xf numFmtId="180" fontId="5" fillId="6" borderId="1" xfId="0" applyNumberFormat="1" applyFont="1" applyFill="1" applyBorder="1" applyAlignment="1">
      <alignment horizontal="center" vertical="center" shrinkToFit="1"/>
    </xf>
    <xf numFmtId="180" fontId="5" fillId="6" borderId="3" xfId="0" applyNumberFormat="1" applyFont="1" applyFill="1" applyBorder="1" applyAlignment="1">
      <alignment horizontal="center" vertical="center" shrinkToFit="1"/>
    </xf>
    <xf numFmtId="178" fontId="5" fillId="6" borderId="14" xfId="0" applyNumberFormat="1" applyFont="1" applyFill="1" applyBorder="1" applyAlignment="1">
      <alignment horizontal="center" vertical="center" shrinkToFit="1"/>
    </xf>
    <xf numFmtId="178" fontId="5" fillId="6" borderId="1" xfId="0" applyNumberFormat="1" applyFont="1" applyFill="1" applyBorder="1" applyAlignment="1">
      <alignment horizontal="center" vertical="center" shrinkToFit="1"/>
    </xf>
    <xf numFmtId="178" fontId="5" fillId="6" borderId="3" xfId="0" applyNumberFormat="1" applyFont="1" applyFill="1" applyBorder="1" applyAlignment="1">
      <alignment horizontal="center" vertical="center" shrinkToFit="1"/>
    </xf>
    <xf numFmtId="178" fontId="5" fillId="6" borderId="28" xfId="0" applyNumberFormat="1" applyFont="1" applyFill="1" applyBorder="1" applyAlignment="1">
      <alignment horizontal="center" vertical="center" shrinkToFit="1"/>
    </xf>
    <xf numFmtId="178" fontId="5" fillId="6" borderId="15" xfId="0" applyNumberFormat="1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179" fontId="5" fillId="0" borderId="12" xfId="0" applyNumberFormat="1" applyFont="1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4" fillId="0" borderId="2" xfId="0" applyFont="1" applyBorder="1" applyAlignment="1">
      <alignment horizontal="center" shrinkToFit="1"/>
    </xf>
    <xf numFmtId="0" fontId="14" fillId="0" borderId="29" xfId="0" applyFont="1" applyBorder="1" applyAlignment="1">
      <alignment horizontal="center" shrinkToFit="1"/>
    </xf>
    <xf numFmtId="0" fontId="14" fillId="0" borderId="17" xfId="0" applyFont="1" applyBorder="1" applyAlignment="1">
      <alignment horizontal="center" shrinkToFit="1"/>
    </xf>
    <xf numFmtId="0" fontId="5" fillId="0" borderId="34" xfId="0" applyFont="1" applyBorder="1" applyAlignment="1">
      <alignment horizontal="center" shrinkToFit="1"/>
    </xf>
    <xf numFmtId="0" fontId="5" fillId="0" borderId="35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6" borderId="18" xfId="0" applyFont="1" applyFill="1" applyBorder="1" applyAlignment="1">
      <alignment horizontal="center" shrinkToFit="1"/>
    </xf>
    <xf numFmtId="0" fontId="5" fillId="6" borderId="34" xfId="0" applyFont="1" applyFill="1" applyBorder="1" applyAlignment="1">
      <alignment horizontal="center" shrinkToFit="1"/>
    </xf>
    <xf numFmtId="0" fontId="5" fillId="6" borderId="35" xfId="0" applyFont="1" applyFill="1" applyBorder="1" applyAlignment="1">
      <alignment horizontal="center" shrinkToFit="1"/>
    </xf>
    <xf numFmtId="178" fontId="17" fillId="6" borderId="25" xfId="0" applyNumberFormat="1" applyFont="1" applyFill="1" applyBorder="1" applyAlignment="1">
      <alignment horizontal="center" vertical="center" shrinkToFit="1"/>
    </xf>
    <xf numFmtId="178" fontId="17" fillId="6" borderId="24" xfId="0" applyNumberFormat="1" applyFont="1" applyFill="1" applyBorder="1" applyAlignment="1">
      <alignment horizontal="center" vertical="center" shrinkToFit="1"/>
    </xf>
    <xf numFmtId="178" fontId="17" fillId="6" borderId="22" xfId="0" applyNumberFormat="1" applyFont="1" applyFill="1" applyBorder="1" applyAlignment="1">
      <alignment horizontal="center" vertical="center" shrinkToFit="1"/>
    </xf>
    <xf numFmtId="178" fontId="17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5" fillId="0" borderId="42" xfId="0" applyFont="1" applyBorder="1" applyAlignment="1">
      <alignment horizontal="left" shrinkToFit="1"/>
    </xf>
    <xf numFmtId="0" fontId="15" fillId="0" borderId="29" xfId="0" applyFont="1" applyBorder="1" applyAlignment="1">
      <alignment horizontal="left" shrinkToFit="1"/>
    </xf>
    <xf numFmtId="0" fontId="15" fillId="0" borderId="17" xfId="0" applyFont="1" applyBorder="1" applyAlignment="1">
      <alignment horizontal="left" shrinkToFit="1"/>
    </xf>
    <xf numFmtId="0" fontId="5" fillId="6" borderId="13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4" xfId="0" applyFont="1" applyFill="1" applyBorder="1" applyAlignment="1">
      <alignment horizontal="center" shrinkToFit="1"/>
    </xf>
    <xf numFmtId="0" fontId="15" fillId="0" borderId="43" xfId="0" applyFont="1" applyBorder="1" applyAlignment="1">
      <alignment horizontal="left" shrinkToFit="1"/>
    </xf>
    <xf numFmtId="0" fontId="15" fillId="0" borderId="49" xfId="0" applyFont="1" applyBorder="1" applyAlignment="1">
      <alignment horizontal="left" shrinkToFit="1"/>
    </xf>
    <xf numFmtId="0" fontId="5" fillId="6" borderId="9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15" fillId="0" borderId="51" xfId="0" applyFont="1" applyBorder="1" applyAlignment="1">
      <alignment horizontal="left" shrinkToFit="1"/>
    </xf>
    <xf numFmtId="0" fontId="15" fillId="0" borderId="37" xfId="0" applyFont="1" applyBorder="1" applyAlignment="1">
      <alignment horizontal="left" shrinkToFit="1"/>
    </xf>
    <xf numFmtId="0" fontId="15" fillId="0" borderId="47" xfId="0" applyFont="1" applyBorder="1" applyAlignment="1">
      <alignment horizontal="left" shrinkToFit="1"/>
    </xf>
    <xf numFmtId="0" fontId="5" fillId="6" borderId="10" xfId="0" applyFont="1" applyFill="1" applyBorder="1" applyAlignment="1">
      <alignment horizontal="center" shrinkToFit="1"/>
    </xf>
    <xf numFmtId="0" fontId="5" fillId="6" borderId="3" xfId="0" applyFont="1" applyFill="1" applyBorder="1" applyAlignment="1">
      <alignment horizontal="center" shrinkToFit="1"/>
    </xf>
    <xf numFmtId="179" fontId="5" fillId="6" borderId="3" xfId="0" applyNumberFormat="1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18" fillId="6" borderId="34" xfId="0" applyFont="1" applyFill="1" applyBorder="1" applyAlignment="1">
      <alignment horizontal="center" shrinkToFit="1"/>
    </xf>
    <xf numFmtId="0" fontId="18" fillId="6" borderId="35" xfId="0" applyFont="1" applyFill="1" applyBorder="1" applyAlignment="1">
      <alignment horizontal="center" shrinkToFit="1"/>
    </xf>
    <xf numFmtId="0" fontId="18" fillId="6" borderId="18" xfId="0" applyFont="1" applyFill="1" applyBorder="1" applyAlignment="1">
      <alignment horizontal="center" shrinkToFit="1"/>
    </xf>
    <xf numFmtId="176" fontId="14" fillId="0" borderId="0" xfId="0" applyNumberFormat="1" applyFont="1" applyFill="1" applyBorder="1" applyAlignment="1">
      <alignment horizontal="center" shrinkToFit="1"/>
    </xf>
    <xf numFmtId="26" fontId="14" fillId="0" borderId="0" xfId="0" applyNumberFormat="1" applyFont="1" applyFill="1" applyBorder="1" applyAlignment="1">
      <alignment horizontal="center" shrinkToFit="1"/>
    </xf>
    <xf numFmtId="0" fontId="24" fillId="2" borderId="2" xfId="4" applyFill="1" applyBorder="1" applyAlignment="1">
      <alignment horizontal="center" shrinkToFit="1"/>
    </xf>
    <xf numFmtId="0" fontId="24" fillId="2" borderId="29" xfId="4" applyFill="1" applyBorder="1" applyAlignment="1">
      <alignment horizontal="center" shrinkToFit="1"/>
    </xf>
    <xf numFmtId="179" fontId="5" fillId="6" borderId="53" xfId="0" applyNumberFormat="1" applyFont="1" applyFill="1" applyBorder="1" applyAlignment="1">
      <alignment horizontal="center" vertical="center" shrinkToFit="1"/>
    </xf>
    <xf numFmtId="179" fontId="5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4" fillId="14" borderId="2" xfId="4" applyBorder="1" applyAlignment="1">
      <alignment horizontal="center" shrinkToFit="1"/>
    </xf>
    <xf numFmtId="0" fontId="24" fillId="14" borderId="29" xfId="4" applyBorder="1" applyAlignment="1">
      <alignment horizontal="center" shrinkToFit="1"/>
    </xf>
    <xf numFmtId="0" fontId="24" fillId="14" borderId="17" xfId="4" applyBorder="1" applyAlignment="1">
      <alignment horizontal="center" shrinkToFit="1"/>
    </xf>
    <xf numFmtId="0" fontId="22" fillId="8" borderId="13" xfId="0" applyFont="1" applyFill="1" applyBorder="1" applyAlignment="1">
      <alignment horizontal="center" vertical="center" shrinkToFit="1"/>
    </xf>
    <xf numFmtId="0" fontId="22" fillId="8" borderId="14" xfId="0" applyFont="1" applyFill="1" applyBorder="1" applyAlignment="1">
      <alignment horizontal="center" vertical="center" shrinkToFit="1"/>
    </xf>
    <xf numFmtId="0" fontId="22" fillId="8" borderId="9" xfId="0" applyFont="1" applyFill="1" applyBorder="1" applyAlignment="1">
      <alignment horizontal="center" vertical="center" shrinkToFit="1"/>
    </xf>
    <xf numFmtId="0" fontId="22" fillId="8" borderId="1" xfId="0" applyFont="1" applyFill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183" fontId="21" fillId="0" borderId="1" xfId="0" applyNumberFormat="1" applyFont="1" applyBorder="1" applyAlignment="1">
      <alignment horizontal="center" vertical="center" shrinkToFit="1"/>
    </xf>
    <xf numFmtId="183" fontId="21" fillId="12" borderId="1" xfId="0" applyNumberFormat="1" applyFont="1" applyFill="1" applyBorder="1" applyAlignment="1">
      <alignment horizontal="center" vertical="center" shrinkToFit="1"/>
    </xf>
    <xf numFmtId="0" fontId="5" fillId="12" borderId="26" xfId="0" applyFont="1" applyFill="1" applyBorder="1" applyAlignment="1">
      <alignment horizontal="center" vertical="center" shrinkToFit="1"/>
    </xf>
    <xf numFmtId="0" fontId="5" fillId="12" borderId="1" xfId="0" applyFont="1" applyFill="1" applyBorder="1" applyAlignment="1">
      <alignment horizontal="center" vertical="center" shrinkToFit="1"/>
    </xf>
    <xf numFmtId="0" fontId="22" fillId="8" borderId="28" xfId="0" applyFont="1" applyFill="1" applyBorder="1" applyAlignment="1">
      <alignment horizontal="center" vertical="center" shrinkToFit="1"/>
    </xf>
    <xf numFmtId="0" fontId="22" fillId="8" borderId="15" xfId="0" applyFont="1" applyFill="1" applyBorder="1" applyAlignment="1">
      <alignment horizontal="center" vertical="center" shrinkToFit="1"/>
    </xf>
    <xf numFmtId="0" fontId="5" fillId="12" borderId="5" xfId="0" applyFont="1" applyFill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" fillId="12" borderId="64" xfId="0" applyFont="1" applyFill="1" applyBorder="1" applyAlignment="1">
      <alignment horizontal="center" vertical="center" shrinkToFit="1"/>
    </xf>
    <xf numFmtId="183" fontId="21" fillId="12" borderId="5" xfId="0" applyNumberFormat="1" applyFont="1" applyFill="1" applyBorder="1" applyAlignment="1">
      <alignment horizontal="center" vertical="center" shrinkToFit="1"/>
    </xf>
    <xf numFmtId="183" fontId="21" fillId="12" borderId="56" xfId="0" applyNumberFormat="1" applyFont="1" applyFill="1" applyBorder="1" applyAlignment="1">
      <alignment horizontal="center" vertical="center" shrinkToFit="1"/>
    </xf>
    <xf numFmtId="183" fontId="21" fillId="12" borderId="64" xfId="0" applyNumberFormat="1" applyFont="1" applyFill="1" applyBorder="1" applyAlignment="1">
      <alignment horizontal="center" vertical="center" shrinkToFit="1"/>
    </xf>
    <xf numFmtId="26" fontId="21" fillId="12" borderId="5" xfId="0" applyNumberFormat="1" applyFont="1" applyFill="1" applyBorder="1" applyAlignment="1">
      <alignment horizontal="center" vertical="center" shrinkToFit="1"/>
    </xf>
    <xf numFmtId="26" fontId="21" fillId="12" borderId="56" xfId="0" applyNumberFormat="1" applyFont="1" applyFill="1" applyBorder="1" applyAlignment="1">
      <alignment horizontal="center" vertical="center" shrinkToFit="1"/>
    </xf>
    <xf numFmtId="26" fontId="21" fillId="12" borderId="64" xfId="0" applyNumberFormat="1" applyFont="1" applyFill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1" fillId="0" borderId="3" xfId="0" applyNumberFormat="1" applyFont="1" applyBorder="1" applyAlignment="1">
      <alignment horizontal="center" vertical="center" shrinkToFit="1"/>
    </xf>
    <xf numFmtId="0" fontId="21" fillId="0" borderId="15" xfId="0" applyFont="1" applyBorder="1" applyAlignment="1">
      <alignment horizontal="center" vertical="center" shrinkToFit="1"/>
    </xf>
    <xf numFmtId="176" fontId="21" fillId="0" borderId="15" xfId="0" applyNumberFormat="1" applyFont="1" applyBorder="1" applyAlignment="1">
      <alignment horizontal="center" vertical="center" shrinkToFit="1"/>
    </xf>
    <xf numFmtId="176" fontId="21" fillId="0" borderId="16" xfId="0" applyNumberFormat="1" applyFont="1" applyBorder="1" applyAlignment="1">
      <alignment horizontal="center" vertical="center" shrinkToFit="1"/>
    </xf>
    <xf numFmtId="0" fontId="21" fillId="12" borderId="1" xfId="0" applyNumberFormat="1" applyFont="1" applyFill="1" applyBorder="1" applyAlignment="1">
      <alignment horizontal="center" vertical="center" shrinkToFit="1"/>
    </xf>
    <xf numFmtId="26" fontId="21" fillId="12" borderId="1" xfId="0" applyNumberFormat="1" applyFont="1" applyFill="1" applyBorder="1" applyAlignment="1">
      <alignment horizontal="center" vertical="center" shrinkToFit="1"/>
    </xf>
    <xf numFmtId="0" fontId="28" fillId="12" borderId="5" xfId="0" applyFont="1" applyFill="1" applyBorder="1" applyAlignment="1">
      <alignment horizontal="center" vertical="center" shrinkToFit="1"/>
    </xf>
    <xf numFmtId="0" fontId="28" fillId="12" borderId="56" xfId="0" applyFont="1" applyFill="1" applyBorder="1" applyAlignment="1">
      <alignment horizontal="center" vertical="center" shrinkToFit="1"/>
    </xf>
    <xf numFmtId="0" fontId="28" fillId="12" borderId="64" xfId="0" applyFont="1" applyFill="1" applyBorder="1" applyAlignment="1">
      <alignment horizontal="center" vertical="center" shrinkToFit="1"/>
    </xf>
    <xf numFmtId="0" fontId="20" fillId="12" borderId="5" xfId="0" applyFont="1" applyFill="1" applyBorder="1" applyAlignment="1">
      <alignment horizontal="center" vertical="center" shrinkToFit="1"/>
    </xf>
    <xf numFmtId="0" fontId="20" fillId="12" borderId="56" xfId="0" applyFont="1" applyFill="1" applyBorder="1" applyAlignment="1">
      <alignment horizontal="center" vertical="center" shrinkToFit="1"/>
    </xf>
    <xf numFmtId="0" fontId="20" fillId="12" borderId="64" xfId="0" applyFont="1" applyFill="1" applyBorder="1" applyAlignment="1">
      <alignment horizontal="center" vertical="center" shrinkToFit="1"/>
    </xf>
    <xf numFmtId="176" fontId="5" fillId="12" borderId="1" xfId="0" applyNumberFormat="1" applyFont="1" applyFill="1" applyBorder="1" applyAlignment="1">
      <alignment horizontal="center" vertical="center" shrinkToFit="1"/>
    </xf>
    <xf numFmtId="9" fontId="5" fillId="12" borderId="1" xfId="0" applyNumberFormat="1" applyFont="1" applyFill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7" borderId="1" xfId="0" applyFont="1" applyFill="1" applyBorder="1" applyAlignment="1">
      <alignment horizontal="center" vertical="center" shrinkToFit="1"/>
    </xf>
    <xf numFmtId="0" fontId="28" fillId="10" borderId="2" xfId="0" applyFont="1" applyFill="1" applyBorder="1" applyAlignment="1">
      <alignment horizontal="center" vertical="center" shrinkToFit="1"/>
    </xf>
    <xf numFmtId="0" fontId="28" fillId="10" borderId="29" xfId="0" applyFont="1" applyFill="1" applyBorder="1" applyAlignment="1">
      <alignment horizontal="center" vertical="center" shrinkToFit="1"/>
    </xf>
    <xf numFmtId="0" fontId="28" fillId="10" borderId="26" xfId="0" applyFont="1" applyFill="1" applyBorder="1" applyAlignment="1">
      <alignment horizontal="center" vertical="center" shrinkToFit="1"/>
    </xf>
    <xf numFmtId="0" fontId="28" fillId="7" borderId="2" xfId="0" applyFont="1" applyFill="1" applyBorder="1" applyAlignment="1">
      <alignment horizontal="center" vertical="center" shrinkToFit="1"/>
    </xf>
    <xf numFmtId="0" fontId="28" fillId="7" borderId="29" xfId="0" applyFont="1" applyFill="1" applyBorder="1" applyAlignment="1">
      <alignment horizontal="center" vertical="center" shrinkToFit="1"/>
    </xf>
    <xf numFmtId="0" fontId="28" fillId="7" borderId="26" xfId="0" applyFont="1" applyFill="1" applyBorder="1" applyAlignment="1">
      <alignment horizontal="center" vertical="center" shrinkToFit="1"/>
    </xf>
    <xf numFmtId="26" fontId="21" fillId="7" borderId="30" xfId="0" applyNumberFormat="1" applyFont="1" applyFill="1" applyBorder="1" applyAlignment="1">
      <alignment horizontal="center" vertical="center" shrinkToFit="1"/>
    </xf>
    <xf numFmtId="26" fontId="21" fillId="7" borderId="43" xfId="0" applyNumberFormat="1" applyFont="1" applyFill="1" applyBorder="1" applyAlignment="1">
      <alignment horizontal="center" vertical="center" shrinkToFit="1"/>
    </xf>
    <xf numFmtId="26" fontId="21" fillId="7" borderId="44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7" borderId="6" xfId="0" applyNumberFormat="1" applyFont="1" applyFill="1" applyBorder="1" applyAlignment="1">
      <alignment horizontal="center" vertical="center" shrinkToFit="1"/>
    </xf>
    <xf numFmtId="26" fontId="21" fillId="7" borderId="37" xfId="0" applyNumberFormat="1" applyFont="1" applyFill="1" applyBorder="1" applyAlignment="1">
      <alignment horizontal="center" vertical="center" shrinkToFit="1"/>
    </xf>
    <xf numFmtId="26" fontId="21" fillId="7" borderId="39" xfId="0" applyNumberFormat="1" applyFont="1" applyFill="1" applyBorder="1" applyAlignment="1">
      <alignment horizontal="center" vertical="center" shrinkToFit="1"/>
    </xf>
    <xf numFmtId="26" fontId="21" fillId="11" borderId="30" xfId="0" applyNumberFormat="1" applyFont="1" applyFill="1" applyBorder="1" applyAlignment="1">
      <alignment horizontal="center" vertical="center" shrinkToFit="1"/>
    </xf>
    <xf numFmtId="26" fontId="21" fillId="11" borderId="43" xfId="0" applyNumberFormat="1" applyFont="1" applyFill="1" applyBorder="1" applyAlignment="1">
      <alignment horizontal="center" vertical="center" shrinkToFit="1"/>
    </xf>
    <xf numFmtId="26" fontId="21" fillId="11" borderId="44" xfId="0" applyNumberFormat="1" applyFont="1" applyFill="1" applyBorder="1" applyAlignment="1">
      <alignment horizontal="center" vertical="center" shrinkToFit="1"/>
    </xf>
    <xf numFmtId="26" fontId="21" fillId="11" borderId="45" xfId="0" applyNumberFormat="1" applyFont="1" applyFill="1" applyBorder="1" applyAlignment="1">
      <alignment horizontal="center" vertical="center" shrinkToFit="1"/>
    </xf>
    <xf numFmtId="26" fontId="21" fillId="11" borderId="0" xfId="0" applyNumberFormat="1" applyFont="1" applyFill="1" applyBorder="1" applyAlignment="1">
      <alignment horizontal="center" vertical="center" shrinkToFit="1"/>
    </xf>
    <xf numFmtId="26" fontId="21" fillId="11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30" xfId="0" applyNumberFormat="1" applyFont="1" applyFill="1" applyBorder="1" applyAlignment="1">
      <alignment horizontal="center" vertical="center" shrinkToFit="1"/>
    </xf>
    <xf numFmtId="183" fontId="21" fillId="11" borderId="43" xfId="0" applyNumberFormat="1" applyFont="1" applyFill="1" applyBorder="1" applyAlignment="1">
      <alignment horizontal="center" vertical="center" shrinkToFit="1"/>
    </xf>
    <xf numFmtId="183" fontId="21" fillId="11" borderId="44" xfId="0" applyNumberFormat="1" applyFont="1" applyFill="1" applyBorder="1" applyAlignment="1">
      <alignment horizontal="center" vertical="center" shrinkToFit="1"/>
    </xf>
    <xf numFmtId="183" fontId="21" fillId="11" borderId="45" xfId="0" applyNumberFormat="1" applyFont="1" applyFill="1" applyBorder="1" applyAlignment="1">
      <alignment horizontal="center" vertical="center" shrinkToFit="1"/>
    </xf>
    <xf numFmtId="183" fontId="21" fillId="11" borderId="0" xfId="0" applyNumberFormat="1" applyFont="1" applyFill="1" applyBorder="1" applyAlignment="1">
      <alignment horizontal="center" vertical="center" shrinkToFit="1"/>
    </xf>
    <xf numFmtId="183" fontId="21" fillId="11" borderId="46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0" fontId="5" fillId="11" borderId="1" xfId="0" applyFont="1" applyFill="1" applyBorder="1" applyAlignment="1">
      <alignment horizontal="center" vertical="center" shrinkToFit="1"/>
    </xf>
    <xf numFmtId="176" fontId="5" fillId="11" borderId="1" xfId="0" applyNumberFormat="1" applyFont="1" applyFill="1" applyBorder="1" applyAlignment="1">
      <alignment horizontal="center" vertical="center" shrinkToFit="1"/>
    </xf>
    <xf numFmtId="176" fontId="5" fillId="10" borderId="2" xfId="0" applyNumberFormat="1" applyFont="1" applyFill="1" applyBorder="1" applyAlignment="1">
      <alignment horizontal="center" vertical="center" shrinkToFit="1"/>
    </xf>
    <xf numFmtId="176" fontId="5" fillId="10" borderId="29" xfId="0" applyNumberFormat="1" applyFont="1" applyFill="1" applyBorder="1" applyAlignment="1">
      <alignment horizontal="center" vertical="center" shrinkToFit="1"/>
    </xf>
    <xf numFmtId="176" fontId="5" fillId="10" borderId="26" xfId="0" applyNumberFormat="1" applyFont="1" applyFill="1" applyBorder="1" applyAlignment="1">
      <alignment horizontal="center" vertical="center" shrinkToFit="1"/>
    </xf>
    <xf numFmtId="176" fontId="5" fillId="7" borderId="2" xfId="0" applyNumberFormat="1" applyFont="1" applyFill="1" applyBorder="1" applyAlignment="1">
      <alignment horizontal="center" vertical="center" shrinkToFit="1"/>
    </xf>
    <xf numFmtId="176" fontId="5" fillId="7" borderId="29" xfId="0" applyNumberFormat="1" applyFont="1" applyFill="1" applyBorder="1" applyAlignment="1">
      <alignment horizontal="center" vertical="center" shrinkToFit="1"/>
    </xf>
    <xf numFmtId="176" fontId="5" fillId="7" borderId="26" xfId="0" applyNumberFormat="1" applyFont="1" applyFill="1" applyBorder="1" applyAlignment="1">
      <alignment horizontal="center" vertical="center" shrinkToFit="1"/>
    </xf>
    <xf numFmtId="0" fontId="5" fillId="10" borderId="2" xfId="0" applyFont="1" applyFill="1" applyBorder="1" applyAlignment="1">
      <alignment horizontal="center" vertical="center" shrinkToFit="1"/>
    </xf>
    <xf numFmtId="0" fontId="5" fillId="10" borderId="29" xfId="0" applyFont="1" applyFill="1" applyBorder="1" applyAlignment="1">
      <alignment horizontal="center" vertical="center" shrinkToFit="1"/>
    </xf>
    <xf numFmtId="0" fontId="5" fillId="10" borderId="26" xfId="0" applyFont="1" applyFill="1" applyBorder="1" applyAlignment="1">
      <alignment horizontal="center" vertical="center" shrinkToFit="1"/>
    </xf>
    <xf numFmtId="0" fontId="5" fillId="7" borderId="2" xfId="0" applyFont="1" applyFill="1" applyBorder="1" applyAlignment="1">
      <alignment horizontal="center" vertical="center" shrinkToFit="1"/>
    </xf>
    <xf numFmtId="0" fontId="5" fillId="7" borderId="29" xfId="0" applyFont="1" applyFill="1" applyBorder="1" applyAlignment="1">
      <alignment horizontal="center" vertical="center" shrinkToFit="1"/>
    </xf>
    <xf numFmtId="0" fontId="5" fillId="11" borderId="2" xfId="0" applyFont="1" applyFill="1" applyBorder="1" applyAlignment="1">
      <alignment horizontal="center" vertical="center" shrinkToFit="1"/>
    </xf>
    <xf numFmtId="0" fontId="5" fillId="11" borderId="29" xfId="0" applyFont="1" applyFill="1" applyBorder="1" applyAlignment="1">
      <alignment horizontal="center" vertical="center" shrinkToFit="1"/>
    </xf>
    <xf numFmtId="0" fontId="5" fillId="11" borderId="26" xfId="0" applyFont="1" applyFill="1" applyBorder="1" applyAlignment="1">
      <alignment horizontal="center" vertical="center" shrinkToFit="1"/>
    </xf>
    <xf numFmtId="9" fontId="5" fillId="11" borderId="1" xfId="0" applyNumberFormat="1" applyFont="1" applyFill="1" applyBorder="1" applyAlignment="1">
      <alignment horizontal="center" vertical="center" shrinkToFit="1"/>
    </xf>
    <xf numFmtId="9" fontId="5" fillId="7" borderId="2" xfId="0" applyNumberFormat="1" applyFont="1" applyFill="1" applyBorder="1" applyAlignment="1">
      <alignment horizontal="center" vertical="center" shrinkToFit="1"/>
    </xf>
    <xf numFmtId="9" fontId="5" fillId="7" borderId="29" xfId="0" applyNumberFormat="1" applyFont="1" applyFill="1" applyBorder="1" applyAlignment="1">
      <alignment horizontal="center" vertical="center" shrinkToFit="1"/>
    </xf>
    <xf numFmtId="9" fontId="5" fillId="7" borderId="26" xfId="0" applyNumberFormat="1" applyFont="1" applyFill="1" applyBorder="1" applyAlignment="1">
      <alignment horizontal="center" vertical="center" shrinkToFit="1"/>
    </xf>
    <xf numFmtId="0" fontId="20" fillId="7" borderId="30" xfId="0" applyFont="1" applyFill="1" applyBorder="1" applyAlignment="1">
      <alignment horizontal="center" vertical="center" shrinkToFit="1"/>
    </xf>
    <xf numFmtId="0" fontId="20" fillId="7" borderId="43" xfId="0" applyFont="1" applyFill="1" applyBorder="1" applyAlignment="1">
      <alignment horizontal="center" vertical="center" shrinkToFit="1"/>
    </xf>
    <xf numFmtId="0" fontId="20" fillId="7" borderId="44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0" fontId="20" fillId="7" borderId="6" xfId="0" applyFont="1" applyFill="1" applyBorder="1" applyAlignment="1">
      <alignment horizontal="center" vertical="center" shrinkToFit="1"/>
    </xf>
    <xf numFmtId="0" fontId="20" fillId="7" borderId="37" xfId="0" applyFont="1" applyFill="1" applyBorder="1" applyAlignment="1">
      <alignment horizontal="center" vertical="center" shrinkToFit="1"/>
    </xf>
    <xf numFmtId="0" fontId="20" fillId="7" borderId="39" xfId="0" applyFont="1" applyFill="1" applyBorder="1" applyAlignment="1">
      <alignment horizontal="center" vertical="center" shrinkToFit="1"/>
    </xf>
    <xf numFmtId="183" fontId="21" fillId="7" borderId="30" xfId="0" applyNumberFormat="1" applyFont="1" applyFill="1" applyBorder="1" applyAlignment="1">
      <alignment horizontal="center" vertical="center" shrinkToFit="1"/>
    </xf>
    <xf numFmtId="183" fontId="21" fillId="7" borderId="43" xfId="0" applyNumberFormat="1" applyFont="1" applyFill="1" applyBorder="1" applyAlignment="1">
      <alignment horizontal="center" vertical="center" shrinkToFit="1"/>
    </xf>
    <xf numFmtId="183" fontId="21" fillId="7" borderId="44" xfId="0" applyNumberFormat="1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183" fontId="21" fillId="7" borderId="6" xfId="0" applyNumberFormat="1" applyFont="1" applyFill="1" applyBorder="1" applyAlignment="1">
      <alignment horizontal="center" vertical="center" shrinkToFit="1"/>
    </xf>
    <xf numFmtId="183" fontId="21" fillId="7" borderId="37" xfId="0" applyNumberFormat="1" applyFont="1" applyFill="1" applyBorder="1" applyAlignment="1">
      <alignment horizontal="center" vertical="center" shrinkToFit="1"/>
    </xf>
    <xf numFmtId="183" fontId="21" fillId="7" borderId="39" xfId="0" applyNumberFormat="1" applyFont="1" applyFill="1" applyBorder="1" applyAlignment="1">
      <alignment horizontal="center" vertical="center" shrinkToFit="1"/>
    </xf>
    <xf numFmtId="176" fontId="5" fillId="9" borderId="1" xfId="0" applyNumberFormat="1" applyFont="1" applyFill="1" applyBorder="1" applyAlignment="1">
      <alignment horizontal="center" vertical="center" shrinkToFit="1"/>
    </xf>
    <xf numFmtId="9" fontId="5" fillId="9" borderId="1" xfId="0" applyNumberFormat="1" applyFont="1" applyFill="1" applyBorder="1" applyAlignment="1">
      <alignment horizontal="center" vertical="center" shrinkToFit="1"/>
    </xf>
    <xf numFmtId="176" fontId="5" fillId="5" borderId="1" xfId="0" applyNumberFormat="1" applyFont="1" applyFill="1" applyBorder="1" applyAlignment="1">
      <alignment horizontal="center" vertical="center" shrinkToFit="1"/>
    </xf>
    <xf numFmtId="176" fontId="5" fillId="7" borderId="1" xfId="0" applyNumberFormat="1" applyFont="1" applyFill="1" applyBorder="1" applyAlignment="1">
      <alignment horizontal="center" vertical="center" shrinkToFit="1"/>
    </xf>
    <xf numFmtId="9" fontId="5" fillId="7" borderId="1" xfId="0" applyNumberFormat="1" applyFont="1" applyFill="1" applyBorder="1" applyAlignment="1">
      <alignment horizontal="center" vertical="center" shrinkToFit="1"/>
    </xf>
    <xf numFmtId="0" fontId="5" fillId="9" borderId="2" xfId="0" applyFont="1" applyFill="1" applyBorder="1" applyAlignment="1">
      <alignment horizontal="center" vertical="center" shrinkToFit="1"/>
    </xf>
    <xf numFmtId="0" fontId="5" fillId="9" borderId="29" xfId="0" applyFont="1" applyFill="1" applyBorder="1" applyAlignment="1">
      <alignment horizontal="center" vertical="center" shrinkToFit="1"/>
    </xf>
    <xf numFmtId="0" fontId="5" fillId="9" borderId="26" xfId="0" applyFont="1" applyFill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176" fontId="5" fillId="6" borderId="2" xfId="0" applyNumberFormat="1" applyFont="1" applyFill="1" applyBorder="1" applyAlignment="1">
      <alignment horizontal="center" vertical="center" shrinkToFit="1"/>
    </xf>
    <xf numFmtId="176" fontId="5" fillId="6" borderId="29" xfId="0" applyNumberFormat="1" applyFont="1" applyFill="1" applyBorder="1" applyAlignment="1">
      <alignment horizontal="center" vertical="center" shrinkToFit="1"/>
    </xf>
    <xf numFmtId="176" fontId="5" fillId="6" borderId="26" xfId="0" applyNumberFormat="1" applyFont="1" applyFill="1" applyBorder="1" applyAlignment="1">
      <alignment horizontal="center" vertical="center" shrinkToFit="1"/>
    </xf>
    <xf numFmtId="9" fontId="5" fillId="6" borderId="2" xfId="0" applyNumberFormat="1" applyFont="1" applyFill="1" applyBorder="1" applyAlignment="1">
      <alignment horizontal="center" vertical="center" shrinkToFit="1"/>
    </xf>
    <xf numFmtId="9" fontId="5" fillId="6" borderId="29" xfId="0" applyNumberFormat="1" applyFont="1" applyFill="1" applyBorder="1" applyAlignment="1">
      <alignment horizontal="center" vertical="center" shrinkToFit="1"/>
    </xf>
    <xf numFmtId="9" fontId="5" fillId="6" borderId="26" xfId="0" applyNumberFormat="1" applyFont="1" applyFill="1" applyBorder="1" applyAlignment="1">
      <alignment horizontal="center" vertical="center" shrinkToFit="1"/>
    </xf>
    <xf numFmtId="9" fontId="5" fillId="5" borderId="2" xfId="0" applyNumberFormat="1" applyFont="1" applyFill="1" applyBorder="1" applyAlignment="1">
      <alignment horizontal="center" vertical="center" shrinkToFit="1"/>
    </xf>
    <xf numFmtId="9" fontId="5" fillId="5" borderId="29" xfId="0" applyNumberFormat="1" applyFont="1" applyFill="1" applyBorder="1" applyAlignment="1">
      <alignment horizontal="center" vertical="center" shrinkToFit="1"/>
    </xf>
    <xf numFmtId="9" fontId="5" fillId="5" borderId="26" xfId="0" applyNumberFormat="1" applyFont="1" applyFill="1" applyBorder="1" applyAlignment="1">
      <alignment horizontal="center" vertical="center" shrinkToFit="1"/>
    </xf>
    <xf numFmtId="9" fontId="5" fillId="10" borderId="1" xfId="0" applyNumberFormat="1" applyFont="1" applyFill="1" applyBorder="1" applyAlignment="1">
      <alignment horizontal="center" vertical="center" shrinkToFit="1"/>
    </xf>
    <xf numFmtId="0" fontId="5" fillId="10" borderId="1" xfId="0" applyFont="1" applyFill="1" applyBorder="1" applyAlignment="1">
      <alignment horizontal="center" vertical="center" shrinkToFit="1"/>
    </xf>
    <xf numFmtId="9" fontId="5" fillId="10" borderId="2" xfId="0" applyNumberFormat="1" applyFont="1" applyFill="1" applyBorder="1" applyAlignment="1">
      <alignment horizontal="center" vertical="center" shrinkToFit="1"/>
    </xf>
    <xf numFmtId="9" fontId="5" fillId="10" borderId="29" xfId="0" applyNumberFormat="1" applyFont="1" applyFill="1" applyBorder="1" applyAlignment="1">
      <alignment horizontal="center" vertical="center" shrinkToFit="1"/>
    </xf>
    <xf numFmtId="9" fontId="5" fillId="10" borderId="26" xfId="0" applyNumberFormat="1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0" fontId="5" fillId="6" borderId="2" xfId="0" applyFont="1" applyFill="1" applyBorder="1" applyAlignment="1">
      <alignment horizontal="center" vertical="center" shrinkToFit="1"/>
    </xf>
    <xf numFmtId="0" fontId="5" fillId="6" borderId="29" xfId="0" applyFont="1" applyFill="1" applyBorder="1" applyAlignment="1">
      <alignment horizontal="center" vertical="center" shrinkToFit="1"/>
    </xf>
    <xf numFmtId="176" fontId="5" fillId="10" borderId="1" xfId="0" applyNumberFormat="1" applyFont="1" applyFill="1" applyBorder="1" applyAlignment="1">
      <alignment horizontal="center" vertical="center" shrinkToFit="1"/>
    </xf>
    <xf numFmtId="0" fontId="28" fillId="6" borderId="2" xfId="0" applyFont="1" applyFill="1" applyBorder="1" applyAlignment="1">
      <alignment horizontal="center" vertical="center" shrinkToFit="1"/>
    </xf>
    <xf numFmtId="0" fontId="28" fillId="6" borderId="29" xfId="0" applyFont="1" applyFill="1" applyBorder="1" applyAlignment="1">
      <alignment horizontal="center" vertical="center" shrinkToFit="1"/>
    </xf>
    <xf numFmtId="0" fontId="28" fillId="6" borderId="26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shrinkToFit="1"/>
    </xf>
    <xf numFmtId="176" fontId="5" fillId="5" borderId="2" xfId="0" applyNumberFormat="1" applyFont="1" applyFill="1" applyBorder="1" applyAlignment="1">
      <alignment horizontal="center" vertical="center" shrinkToFit="1"/>
    </xf>
    <xf numFmtId="176" fontId="5" fillId="5" borderId="29" xfId="0" applyNumberFormat="1" applyFont="1" applyFill="1" applyBorder="1" applyAlignment="1">
      <alignment horizontal="center" vertical="center" shrinkToFit="1"/>
    </xf>
    <xf numFmtId="176" fontId="5" fillId="5" borderId="26" xfId="0" applyNumberFormat="1" applyFont="1" applyFill="1" applyBorder="1" applyAlignment="1">
      <alignment horizontal="center" vertical="center" shrinkToFit="1"/>
    </xf>
    <xf numFmtId="26" fontId="21" fillId="10" borderId="30" xfId="0" applyNumberFormat="1" applyFont="1" applyFill="1" applyBorder="1" applyAlignment="1">
      <alignment horizontal="center" vertical="center" shrinkToFit="1"/>
    </xf>
    <xf numFmtId="26" fontId="21" fillId="10" borderId="43" xfId="0" applyNumberFormat="1" applyFont="1" applyFill="1" applyBorder="1" applyAlignment="1">
      <alignment horizontal="center" vertical="center" shrinkToFit="1"/>
    </xf>
    <xf numFmtId="26" fontId="21" fillId="10" borderId="44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26" fontId="21" fillId="10" borderId="6" xfId="0" applyNumberFormat="1" applyFont="1" applyFill="1" applyBorder="1" applyAlignment="1">
      <alignment horizontal="center" vertical="center" shrinkToFit="1"/>
    </xf>
    <xf numFmtId="26" fontId="21" fillId="10" borderId="37" xfId="0" applyNumberFormat="1" applyFont="1" applyFill="1" applyBorder="1" applyAlignment="1">
      <alignment horizontal="center" vertical="center" shrinkToFit="1"/>
    </xf>
    <xf numFmtId="26" fontId="21" fillId="10" borderId="39" xfId="0" applyNumberFormat="1" applyFont="1" applyFill="1" applyBorder="1" applyAlignment="1">
      <alignment horizontal="center" vertical="center" shrinkToFit="1"/>
    </xf>
    <xf numFmtId="183" fontId="21" fillId="10" borderId="30" xfId="0" applyNumberFormat="1" applyFont="1" applyFill="1" applyBorder="1" applyAlignment="1">
      <alignment horizontal="center" vertical="center" shrinkToFit="1"/>
    </xf>
    <xf numFmtId="183" fontId="21" fillId="10" borderId="43" xfId="0" applyNumberFormat="1" applyFont="1" applyFill="1" applyBorder="1" applyAlignment="1">
      <alignment horizontal="center" vertical="center" shrinkToFit="1"/>
    </xf>
    <xf numFmtId="183" fontId="21" fillId="10" borderId="44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183" fontId="21" fillId="10" borderId="6" xfId="0" applyNumberFormat="1" applyFont="1" applyFill="1" applyBorder="1" applyAlignment="1">
      <alignment horizontal="center" vertical="center" shrinkToFit="1"/>
    </xf>
    <xf numFmtId="183" fontId="21" fillId="10" borderId="37" xfId="0" applyNumberFormat="1" applyFont="1" applyFill="1" applyBorder="1" applyAlignment="1">
      <alignment horizontal="center" vertical="center" shrinkToFit="1"/>
    </xf>
    <xf numFmtId="183" fontId="21" fillId="10" borderId="39" xfId="0" applyNumberFormat="1" applyFont="1" applyFill="1" applyBorder="1" applyAlignment="1">
      <alignment horizontal="center" vertical="center" shrinkToFit="1"/>
    </xf>
    <xf numFmtId="176" fontId="5" fillId="9" borderId="2" xfId="0" applyNumberFormat="1" applyFont="1" applyFill="1" applyBorder="1" applyAlignment="1">
      <alignment horizontal="center" vertical="center" shrinkToFit="1"/>
    </xf>
    <xf numFmtId="176" fontId="5" fillId="9" borderId="29" xfId="0" applyNumberFormat="1" applyFont="1" applyFill="1" applyBorder="1" applyAlignment="1">
      <alignment horizontal="center" vertical="center" shrinkToFit="1"/>
    </xf>
    <xf numFmtId="176" fontId="5" fillId="9" borderId="26" xfId="0" applyNumberFormat="1" applyFont="1" applyFill="1" applyBorder="1" applyAlignment="1">
      <alignment horizontal="center" vertical="center" shrinkToFit="1"/>
    </xf>
    <xf numFmtId="9" fontId="5" fillId="9" borderId="2" xfId="0" applyNumberFormat="1" applyFont="1" applyFill="1" applyBorder="1" applyAlignment="1">
      <alignment horizontal="center" vertical="center" shrinkToFit="1"/>
    </xf>
    <xf numFmtId="9" fontId="5" fillId="9" borderId="29" xfId="0" applyNumberFormat="1" applyFont="1" applyFill="1" applyBorder="1" applyAlignment="1">
      <alignment horizontal="center" vertical="center" shrinkToFit="1"/>
    </xf>
    <xf numFmtId="9" fontId="5" fillId="9" borderId="26" xfId="0" applyNumberFormat="1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0" fontId="20" fillId="9" borderId="30" xfId="0" applyFont="1" applyFill="1" applyBorder="1" applyAlignment="1">
      <alignment horizontal="center" vertical="center" shrinkToFit="1"/>
    </xf>
    <xf numFmtId="0" fontId="20" fillId="9" borderId="43" xfId="0" applyFont="1" applyFill="1" applyBorder="1" applyAlignment="1">
      <alignment horizontal="center" vertical="center" shrinkToFit="1"/>
    </xf>
    <xf numFmtId="0" fontId="20" fillId="9" borderId="44" xfId="0" applyFont="1" applyFill="1" applyBorder="1" applyAlignment="1">
      <alignment horizontal="center" vertical="center" shrinkToFit="1"/>
    </xf>
    <xf numFmtId="0" fontId="20" fillId="9" borderId="45" xfId="0" applyFont="1" applyFill="1" applyBorder="1" applyAlignment="1">
      <alignment horizontal="center" vertical="center" shrinkToFit="1"/>
    </xf>
    <xf numFmtId="0" fontId="20" fillId="9" borderId="0" xfId="0" applyFont="1" applyFill="1" applyBorder="1" applyAlignment="1">
      <alignment horizontal="center" vertical="center" shrinkToFit="1"/>
    </xf>
    <xf numFmtId="0" fontId="20" fillId="9" borderId="46" xfId="0" applyFont="1" applyFill="1" applyBorder="1" applyAlignment="1">
      <alignment horizontal="center" vertical="center" shrinkToFit="1"/>
    </xf>
    <xf numFmtId="0" fontId="20" fillId="9" borderId="6" xfId="0" applyFont="1" applyFill="1" applyBorder="1" applyAlignment="1">
      <alignment horizontal="center" vertical="center" shrinkToFit="1"/>
    </xf>
    <xf numFmtId="0" fontId="20" fillId="9" borderId="37" xfId="0" applyFont="1" applyFill="1" applyBorder="1" applyAlignment="1">
      <alignment horizontal="center" vertical="center" shrinkToFit="1"/>
    </xf>
    <xf numFmtId="0" fontId="20" fillId="9" borderId="39" xfId="0" applyFont="1" applyFill="1" applyBorder="1" applyAlignment="1">
      <alignment horizontal="center" vertical="center" shrinkToFit="1"/>
    </xf>
    <xf numFmtId="0" fontId="20" fillId="6" borderId="30" xfId="0" applyFont="1" applyFill="1" applyBorder="1" applyAlignment="1">
      <alignment horizontal="center" vertical="center" shrinkToFit="1"/>
    </xf>
    <xf numFmtId="0" fontId="20" fillId="6" borderId="43" xfId="0" applyFont="1" applyFill="1" applyBorder="1" applyAlignment="1">
      <alignment horizontal="center" vertical="center" shrinkToFit="1"/>
    </xf>
    <xf numFmtId="0" fontId="20" fillId="6" borderId="44" xfId="0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6" borderId="6" xfId="0" applyFont="1" applyFill="1" applyBorder="1" applyAlignment="1">
      <alignment horizontal="center" vertical="center" shrinkToFit="1"/>
    </xf>
    <xf numFmtId="0" fontId="20" fillId="6" borderId="37" xfId="0" applyFont="1" applyFill="1" applyBorder="1" applyAlignment="1">
      <alignment horizontal="center" vertical="center" shrinkToFit="1"/>
    </xf>
    <xf numFmtId="0" fontId="20" fillId="6" borderId="39" xfId="0" applyFont="1" applyFill="1" applyBorder="1" applyAlignment="1">
      <alignment horizontal="center" vertical="center" shrinkToFit="1"/>
    </xf>
    <xf numFmtId="0" fontId="20" fillId="11" borderId="30" xfId="0" applyFont="1" applyFill="1" applyBorder="1" applyAlignment="1">
      <alignment horizontal="center" vertical="center" shrinkToFit="1"/>
    </xf>
    <xf numFmtId="0" fontId="20" fillId="11" borderId="43" xfId="0" applyFont="1" applyFill="1" applyBorder="1" applyAlignment="1">
      <alignment horizontal="center" vertical="center" shrinkToFit="1"/>
    </xf>
    <xf numFmtId="0" fontId="20" fillId="11" borderId="44" xfId="0" applyFont="1" applyFill="1" applyBorder="1" applyAlignment="1">
      <alignment horizontal="center" vertical="center" shrinkToFit="1"/>
    </xf>
    <xf numFmtId="0" fontId="20" fillId="11" borderId="45" xfId="0" applyFont="1" applyFill="1" applyBorder="1" applyAlignment="1">
      <alignment horizontal="center" vertical="center" shrinkToFit="1"/>
    </xf>
    <xf numFmtId="0" fontId="20" fillId="11" borderId="0" xfId="0" applyFont="1" applyFill="1" applyBorder="1" applyAlignment="1">
      <alignment horizontal="center" vertical="center" shrinkToFit="1"/>
    </xf>
    <xf numFmtId="0" fontId="20" fillId="11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9" fontId="5" fillId="11" borderId="2" xfId="0" applyNumberFormat="1" applyFont="1" applyFill="1" applyBorder="1" applyAlignment="1">
      <alignment horizontal="center" vertical="center" shrinkToFit="1"/>
    </xf>
    <xf numFmtId="9" fontId="5" fillId="11" borderId="29" xfId="0" applyNumberFormat="1" applyFont="1" applyFill="1" applyBorder="1" applyAlignment="1">
      <alignment horizontal="center" vertical="center" shrinkToFit="1"/>
    </xf>
    <xf numFmtId="9" fontId="5" fillId="11" borderId="26" xfId="0" applyNumberFormat="1" applyFont="1" applyFill="1" applyBorder="1" applyAlignment="1">
      <alignment horizontal="center" vertical="center" shrinkToFit="1"/>
    </xf>
    <xf numFmtId="0" fontId="20" fillId="5" borderId="30" xfId="0" applyFont="1" applyFill="1" applyBorder="1" applyAlignment="1">
      <alignment horizontal="center" vertical="center" shrinkToFit="1"/>
    </xf>
    <xf numFmtId="0" fontId="20" fillId="5" borderId="43" xfId="0" applyFont="1" applyFill="1" applyBorder="1" applyAlignment="1">
      <alignment horizontal="center" vertical="center" shrinkToFit="1"/>
    </xf>
    <xf numFmtId="0" fontId="20" fillId="5" borderId="44" xfId="0" applyFont="1" applyFill="1" applyBorder="1" applyAlignment="1">
      <alignment horizontal="center" vertical="center" shrinkToFit="1"/>
    </xf>
    <xf numFmtId="0" fontId="20" fillId="5" borderId="45" xfId="0" applyFont="1" applyFill="1" applyBorder="1" applyAlignment="1">
      <alignment horizontal="center" vertical="center" shrinkToFit="1"/>
    </xf>
    <xf numFmtId="0" fontId="20" fillId="5" borderId="0" xfId="0" applyFont="1" applyFill="1" applyBorder="1" applyAlignment="1">
      <alignment horizontal="center" vertical="center" shrinkToFit="1"/>
    </xf>
    <xf numFmtId="0" fontId="20" fillId="5" borderId="46" xfId="0" applyFont="1" applyFill="1" applyBorder="1" applyAlignment="1">
      <alignment horizontal="center" vertical="center" shrinkToFit="1"/>
    </xf>
    <xf numFmtId="0" fontId="20" fillId="5" borderId="6" xfId="0" applyFont="1" applyFill="1" applyBorder="1" applyAlignment="1">
      <alignment horizontal="center" vertical="center" shrinkToFit="1"/>
    </xf>
    <xf numFmtId="0" fontId="20" fillId="5" borderId="37" xfId="0" applyFont="1" applyFill="1" applyBorder="1" applyAlignment="1">
      <alignment horizontal="center" vertical="center" shrinkToFit="1"/>
    </xf>
    <xf numFmtId="0" fontId="20" fillId="5" borderId="39" xfId="0" applyFont="1" applyFill="1" applyBorder="1" applyAlignment="1">
      <alignment horizontal="center" vertical="center" shrinkToFit="1"/>
    </xf>
    <xf numFmtId="0" fontId="20" fillId="10" borderId="30" xfId="0" applyFont="1" applyFill="1" applyBorder="1" applyAlignment="1">
      <alignment horizontal="center" vertical="center" shrinkToFit="1"/>
    </xf>
    <xf numFmtId="0" fontId="20" fillId="10" borderId="43" xfId="0" applyFont="1" applyFill="1" applyBorder="1" applyAlignment="1">
      <alignment horizontal="center" vertical="center" shrinkToFit="1"/>
    </xf>
    <xf numFmtId="0" fontId="20" fillId="10" borderId="44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10" borderId="6" xfId="0" applyFont="1" applyFill="1" applyBorder="1" applyAlignment="1">
      <alignment horizontal="center" vertical="center" shrinkToFit="1"/>
    </xf>
    <xf numFmtId="0" fontId="20" fillId="10" borderId="37" xfId="0" applyFont="1" applyFill="1" applyBorder="1" applyAlignment="1">
      <alignment horizontal="center" vertical="center" shrinkToFit="1"/>
    </xf>
    <xf numFmtId="0" fontId="20" fillId="10" borderId="39" xfId="0" applyFont="1" applyFill="1" applyBorder="1" applyAlignment="1">
      <alignment horizontal="center" vertical="center" shrinkToFit="1"/>
    </xf>
    <xf numFmtId="0" fontId="28" fillId="9" borderId="2" xfId="0" applyFont="1" applyFill="1" applyBorder="1" applyAlignment="1">
      <alignment horizontal="center" vertical="center" shrinkToFit="1"/>
    </xf>
    <xf numFmtId="0" fontId="28" fillId="9" borderId="29" xfId="0" applyFont="1" applyFill="1" applyBorder="1" applyAlignment="1">
      <alignment horizontal="center" vertical="center" shrinkToFit="1"/>
    </xf>
    <xf numFmtId="0" fontId="28" fillId="9" borderId="26" xfId="0" applyFont="1" applyFill="1" applyBorder="1" applyAlignment="1">
      <alignment horizontal="center" vertical="center" shrinkToFit="1"/>
    </xf>
    <xf numFmtId="0" fontId="20" fillId="9" borderId="2" xfId="0" applyFont="1" applyFill="1" applyBorder="1" applyAlignment="1">
      <alignment horizontal="center" vertical="center" shrinkToFit="1"/>
    </xf>
    <xf numFmtId="0" fontId="20" fillId="9" borderId="29" xfId="0" applyFont="1" applyFill="1" applyBorder="1" applyAlignment="1">
      <alignment horizontal="center" vertical="center" shrinkToFit="1"/>
    </xf>
    <xf numFmtId="0" fontId="20" fillId="9" borderId="26" xfId="0" applyFont="1" applyFill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 shrinkToFit="1"/>
    </xf>
    <xf numFmtId="0" fontId="19" fillId="8" borderId="1" xfId="0" applyFont="1" applyFill="1" applyBorder="1" applyAlignment="1">
      <alignment horizontal="center" shrinkToFit="1"/>
    </xf>
    <xf numFmtId="183" fontId="21" fillId="5" borderId="30" xfId="0" applyNumberFormat="1" applyFont="1" applyFill="1" applyBorder="1" applyAlignment="1">
      <alignment horizontal="center" vertical="center" shrinkToFit="1"/>
    </xf>
    <xf numFmtId="183" fontId="21" fillId="5" borderId="43" xfId="0" applyNumberFormat="1" applyFont="1" applyFill="1" applyBorder="1" applyAlignment="1">
      <alignment horizontal="center" vertical="center" shrinkToFit="1"/>
    </xf>
    <xf numFmtId="183" fontId="21" fillId="5" borderId="44" xfId="0" applyNumberFormat="1" applyFont="1" applyFill="1" applyBorder="1" applyAlignment="1">
      <alignment horizontal="center" vertical="center" shrinkToFit="1"/>
    </xf>
    <xf numFmtId="183" fontId="21" fillId="5" borderId="45" xfId="0" applyNumberFormat="1" applyFont="1" applyFill="1" applyBorder="1" applyAlignment="1">
      <alignment horizontal="center" vertical="center" shrinkToFit="1"/>
    </xf>
    <xf numFmtId="183" fontId="21" fillId="5" borderId="0" xfId="0" applyNumberFormat="1" applyFont="1" applyFill="1" applyBorder="1" applyAlignment="1">
      <alignment horizontal="center" vertical="center" shrinkToFit="1"/>
    </xf>
    <xf numFmtId="183" fontId="21" fillId="5" borderId="46" xfId="0" applyNumberFormat="1" applyFont="1" applyFill="1" applyBorder="1" applyAlignment="1">
      <alignment horizontal="center" vertical="center" shrinkToFit="1"/>
    </xf>
    <xf numFmtId="183" fontId="21" fillId="5" borderId="6" xfId="0" applyNumberFormat="1" applyFont="1" applyFill="1" applyBorder="1" applyAlignment="1">
      <alignment horizontal="center" vertical="center" shrinkToFit="1"/>
    </xf>
    <xf numFmtId="183" fontId="21" fillId="5" borderId="37" xfId="0" applyNumberFormat="1" applyFont="1" applyFill="1" applyBorder="1" applyAlignment="1">
      <alignment horizontal="center" vertical="center" shrinkToFit="1"/>
    </xf>
    <xf numFmtId="183" fontId="21" fillId="5" borderId="39" xfId="0" applyNumberFormat="1" applyFont="1" applyFill="1" applyBorder="1" applyAlignment="1">
      <alignment horizontal="center" vertical="center" shrinkToFit="1"/>
    </xf>
    <xf numFmtId="183" fontId="21" fillId="9" borderId="30" xfId="0" applyNumberFormat="1" applyFont="1" applyFill="1" applyBorder="1" applyAlignment="1">
      <alignment horizontal="center" vertical="center" shrinkToFit="1"/>
    </xf>
    <xf numFmtId="183" fontId="21" fillId="9" borderId="43" xfId="0" applyNumberFormat="1" applyFont="1" applyFill="1" applyBorder="1" applyAlignment="1">
      <alignment horizontal="center" vertical="center" shrinkToFit="1"/>
    </xf>
    <xf numFmtId="183" fontId="21" fillId="9" borderId="44" xfId="0" applyNumberFormat="1" applyFont="1" applyFill="1" applyBorder="1" applyAlignment="1">
      <alignment horizontal="center" vertical="center" shrinkToFit="1"/>
    </xf>
    <xf numFmtId="183" fontId="21" fillId="9" borderId="45" xfId="0" applyNumberFormat="1" applyFont="1" applyFill="1" applyBorder="1" applyAlignment="1">
      <alignment horizontal="center" vertical="center" shrinkToFit="1"/>
    </xf>
    <xf numFmtId="183" fontId="21" fillId="9" borderId="0" xfId="0" applyNumberFormat="1" applyFont="1" applyFill="1" applyBorder="1" applyAlignment="1">
      <alignment horizontal="center" vertical="center" shrinkToFit="1"/>
    </xf>
    <xf numFmtId="183" fontId="21" fillId="9" borderId="46" xfId="0" applyNumberFormat="1" applyFont="1" applyFill="1" applyBorder="1" applyAlignment="1">
      <alignment horizontal="center" vertical="center" shrinkToFit="1"/>
    </xf>
    <xf numFmtId="183" fontId="21" fillId="9" borderId="6" xfId="0" applyNumberFormat="1" applyFont="1" applyFill="1" applyBorder="1" applyAlignment="1">
      <alignment horizontal="center" vertical="center" shrinkToFit="1"/>
    </xf>
    <xf numFmtId="183" fontId="21" fillId="9" borderId="37" xfId="0" applyNumberFormat="1" applyFont="1" applyFill="1" applyBorder="1" applyAlignment="1">
      <alignment horizontal="center" vertical="center" shrinkToFit="1"/>
    </xf>
    <xf numFmtId="183" fontId="21" fillId="9" borderId="39" xfId="0" applyNumberFormat="1" applyFont="1" applyFill="1" applyBorder="1" applyAlignment="1">
      <alignment horizontal="center" vertical="center" shrinkToFit="1"/>
    </xf>
    <xf numFmtId="26" fontId="21" fillId="9" borderId="30" xfId="0" applyNumberFormat="1" applyFont="1" applyFill="1" applyBorder="1" applyAlignment="1">
      <alignment horizontal="center" vertical="center" shrinkToFit="1"/>
    </xf>
    <xf numFmtId="26" fontId="21" fillId="9" borderId="43" xfId="0" applyNumberFormat="1" applyFont="1" applyFill="1" applyBorder="1" applyAlignment="1">
      <alignment horizontal="center" vertical="center" shrinkToFit="1"/>
    </xf>
    <xf numFmtId="26" fontId="21" fillId="9" borderId="44" xfId="0" applyNumberFormat="1" applyFont="1" applyFill="1" applyBorder="1" applyAlignment="1">
      <alignment horizontal="center" vertical="center" shrinkToFit="1"/>
    </xf>
    <xf numFmtId="26" fontId="21" fillId="9" borderId="45" xfId="0" applyNumberFormat="1" applyFont="1" applyFill="1" applyBorder="1" applyAlignment="1">
      <alignment horizontal="center" vertical="center" shrinkToFit="1"/>
    </xf>
    <xf numFmtId="26" fontId="21" fillId="9" borderId="0" xfId="0" applyNumberFormat="1" applyFont="1" applyFill="1" applyBorder="1" applyAlignment="1">
      <alignment horizontal="center" vertical="center" shrinkToFit="1"/>
    </xf>
    <xf numFmtId="26" fontId="21" fillId="9" borderId="46" xfId="0" applyNumberFormat="1" applyFont="1" applyFill="1" applyBorder="1" applyAlignment="1">
      <alignment horizontal="center" vertical="center" shrinkToFit="1"/>
    </xf>
    <xf numFmtId="26" fontId="21" fillId="9" borderId="6" xfId="0" applyNumberFormat="1" applyFont="1" applyFill="1" applyBorder="1" applyAlignment="1">
      <alignment horizontal="center" vertical="center" shrinkToFit="1"/>
    </xf>
    <xf numFmtId="26" fontId="21" fillId="9" borderId="37" xfId="0" applyNumberFormat="1" applyFont="1" applyFill="1" applyBorder="1" applyAlignment="1">
      <alignment horizontal="center" vertical="center" shrinkToFit="1"/>
    </xf>
    <xf numFmtId="26" fontId="21" fillId="9" borderId="39" xfId="0" applyNumberFormat="1" applyFont="1" applyFill="1" applyBorder="1" applyAlignment="1">
      <alignment horizontal="center" vertical="center" shrinkToFit="1"/>
    </xf>
    <xf numFmtId="26" fontId="21" fillId="5" borderId="30" xfId="0" applyNumberFormat="1" applyFont="1" applyFill="1" applyBorder="1" applyAlignment="1">
      <alignment horizontal="center" vertical="center" shrinkToFit="1"/>
    </xf>
    <xf numFmtId="26" fontId="21" fillId="5" borderId="43" xfId="0" applyNumberFormat="1" applyFont="1" applyFill="1" applyBorder="1" applyAlignment="1">
      <alignment horizontal="center" vertical="center" shrinkToFit="1"/>
    </xf>
    <xf numFmtId="26" fontId="21" fillId="5" borderId="44" xfId="0" applyNumberFormat="1" applyFont="1" applyFill="1" applyBorder="1" applyAlignment="1">
      <alignment horizontal="center" vertical="center" shrinkToFit="1"/>
    </xf>
    <xf numFmtId="26" fontId="21" fillId="5" borderId="45" xfId="0" applyNumberFormat="1" applyFont="1" applyFill="1" applyBorder="1" applyAlignment="1">
      <alignment horizontal="center" vertical="center" shrinkToFit="1"/>
    </xf>
    <xf numFmtId="26" fontId="21" fillId="5" borderId="0" xfId="0" applyNumberFormat="1" applyFont="1" applyFill="1" applyBorder="1" applyAlignment="1">
      <alignment horizontal="center" vertical="center" shrinkToFit="1"/>
    </xf>
    <xf numFmtId="26" fontId="21" fillId="5" borderId="46" xfId="0" applyNumberFormat="1" applyFont="1" applyFill="1" applyBorder="1" applyAlignment="1">
      <alignment horizontal="center" vertical="center" shrinkToFit="1"/>
    </xf>
    <xf numFmtId="26" fontId="21" fillId="5" borderId="6" xfId="0" applyNumberFormat="1" applyFont="1" applyFill="1" applyBorder="1" applyAlignment="1">
      <alignment horizontal="center" vertical="center" shrinkToFit="1"/>
    </xf>
    <xf numFmtId="26" fontId="21" fillId="5" borderId="37" xfId="0" applyNumberFormat="1" applyFont="1" applyFill="1" applyBorder="1" applyAlignment="1">
      <alignment horizontal="center" vertical="center" shrinkToFit="1"/>
    </xf>
    <xf numFmtId="26" fontId="21" fillId="5" borderId="39" xfId="0" applyNumberFormat="1" applyFont="1" applyFill="1" applyBorder="1" applyAlignment="1">
      <alignment horizontal="center" vertical="center" shrinkToFit="1"/>
    </xf>
    <xf numFmtId="10" fontId="21" fillId="0" borderId="58" xfId="0" applyNumberFormat="1" applyFont="1" applyBorder="1" applyAlignment="1">
      <alignment horizontal="center" vertical="center" shrinkToFit="1"/>
    </xf>
    <xf numFmtId="10" fontId="21" fillId="0" borderId="43" xfId="0" applyNumberFormat="1" applyFont="1" applyBorder="1" applyAlignment="1">
      <alignment horizontal="center" vertical="center" shrinkToFit="1"/>
    </xf>
    <xf numFmtId="10" fontId="21" fillId="0" borderId="44" xfId="0" applyNumberFormat="1" applyFont="1" applyBorder="1" applyAlignment="1">
      <alignment horizontal="center" vertical="center" shrinkToFit="1"/>
    </xf>
    <xf numFmtId="10" fontId="21" fillId="0" borderId="31" xfId="0" applyNumberFormat="1" applyFont="1" applyBorder="1" applyAlignment="1">
      <alignment horizontal="center" vertical="center" shrinkToFit="1"/>
    </xf>
    <xf numFmtId="10" fontId="21" fillId="0" borderId="0" xfId="0" applyNumberFormat="1" applyFont="1" applyAlignment="1">
      <alignment horizontal="center" vertical="center" shrinkToFit="1"/>
    </xf>
    <xf numFmtId="10" fontId="21" fillId="0" borderId="46" xfId="0" applyNumberFormat="1" applyFont="1" applyBorder="1" applyAlignment="1">
      <alignment horizontal="center" vertical="center" shrinkToFit="1"/>
    </xf>
    <xf numFmtId="10" fontId="21" fillId="0" borderId="21" xfId="0" applyNumberFormat="1" applyFont="1" applyBorder="1" applyAlignment="1">
      <alignment horizontal="center" vertical="center" shrinkToFit="1"/>
    </xf>
    <xf numFmtId="10" fontId="21" fillId="0" borderId="22" xfId="0" applyNumberFormat="1" applyFont="1" applyBorder="1" applyAlignment="1">
      <alignment horizontal="center" vertical="center" shrinkToFit="1"/>
    </xf>
    <xf numFmtId="10" fontId="21" fillId="0" borderId="60" xfId="0" applyNumberFormat="1" applyFont="1" applyBorder="1" applyAlignment="1">
      <alignment horizontal="center" vertical="center" shrinkToFit="1"/>
    </xf>
    <xf numFmtId="180" fontId="21" fillId="0" borderId="58" xfId="0" applyNumberFormat="1" applyFont="1" applyBorder="1" applyAlignment="1">
      <alignment horizontal="center" vertical="center" shrinkToFit="1"/>
    </xf>
    <xf numFmtId="180" fontId="21" fillId="0" borderId="43" xfId="0" applyNumberFormat="1" applyFont="1" applyBorder="1" applyAlignment="1">
      <alignment horizontal="center" vertical="center" shrinkToFit="1"/>
    </xf>
    <xf numFmtId="180" fontId="21" fillId="0" borderId="59" xfId="0" applyNumberFormat="1" applyFont="1" applyBorder="1" applyAlignment="1">
      <alignment horizontal="center" vertical="center" shrinkToFit="1"/>
    </xf>
    <xf numFmtId="180" fontId="21" fillId="0" borderId="31" xfId="0" applyNumberFormat="1" applyFont="1" applyBorder="1" applyAlignment="1">
      <alignment horizontal="center" vertical="center" shrinkToFit="1"/>
    </xf>
    <xf numFmtId="180" fontId="21" fillId="0" borderId="0" xfId="0" applyNumberFormat="1" applyFont="1" applyAlignment="1">
      <alignment horizontal="center" vertical="center" shrinkToFit="1"/>
    </xf>
    <xf numFmtId="180" fontId="21" fillId="0" borderId="32" xfId="0" applyNumberFormat="1" applyFont="1" applyBorder="1" applyAlignment="1">
      <alignment horizontal="center" vertical="center" shrinkToFit="1"/>
    </xf>
    <xf numFmtId="180" fontId="21" fillId="0" borderId="21" xfId="0" applyNumberFormat="1" applyFont="1" applyBorder="1" applyAlignment="1">
      <alignment horizontal="center" vertical="center" shrinkToFit="1"/>
    </xf>
    <xf numFmtId="180" fontId="21" fillId="0" borderId="22" xfId="0" applyNumberFormat="1" applyFont="1" applyBorder="1" applyAlignment="1">
      <alignment horizontal="center" vertical="center" shrinkToFit="1"/>
    </xf>
    <xf numFmtId="180" fontId="21" fillId="0" borderId="23" xfId="0" applyNumberFormat="1" applyFont="1" applyBorder="1" applyAlignment="1">
      <alignment horizontal="center" vertical="center" shrinkToFit="1"/>
    </xf>
    <xf numFmtId="0" fontId="22" fillId="8" borderId="27" xfId="0" applyFont="1" applyFill="1" applyBorder="1" applyAlignment="1">
      <alignment horizontal="center" vertical="center" shrinkToFit="1"/>
    </xf>
    <xf numFmtId="0" fontId="22" fillId="8" borderId="25" xfId="0" applyFont="1" applyFill="1" applyBorder="1" applyAlignment="1">
      <alignment horizontal="center" vertical="center" shrinkToFit="1"/>
    </xf>
    <xf numFmtId="0" fontId="22" fillId="8" borderId="57" xfId="0" applyFont="1" applyFill="1" applyBorder="1" applyAlignment="1">
      <alignment horizontal="center" vertical="center" shrinkToFit="1"/>
    </xf>
    <xf numFmtId="0" fontId="22" fillId="8" borderId="51" xfId="0" applyFont="1" applyFill="1" applyBorder="1" applyAlignment="1">
      <alignment horizontal="center" vertical="center" shrinkToFit="1"/>
    </xf>
    <xf numFmtId="0" fontId="22" fillId="8" borderId="37" xfId="0" applyFont="1" applyFill="1" applyBorder="1" applyAlignment="1">
      <alignment horizontal="center" vertical="center" shrinkToFit="1"/>
    </xf>
    <xf numFmtId="0" fontId="22" fillId="8" borderId="39" xfId="0" applyFont="1" applyFill="1" applyBorder="1" applyAlignment="1">
      <alignment horizontal="center" vertical="center" shrinkToFit="1"/>
    </xf>
    <xf numFmtId="0" fontId="27" fillId="8" borderId="27" xfId="0" applyFont="1" applyFill="1" applyBorder="1" applyAlignment="1">
      <alignment horizontal="center" vertical="center" shrinkToFit="1"/>
    </xf>
    <xf numFmtId="0" fontId="27" fillId="8" borderId="25" xfId="0" applyFont="1" applyFill="1" applyBorder="1" applyAlignment="1">
      <alignment horizontal="center" vertical="center" shrinkToFit="1"/>
    </xf>
    <xf numFmtId="0" fontId="27" fillId="8" borderId="24" xfId="0" applyFont="1" applyFill="1" applyBorder="1" applyAlignment="1">
      <alignment horizontal="center" vertical="center" shrinkToFit="1"/>
    </xf>
    <xf numFmtId="0" fontId="27" fillId="8" borderId="51" xfId="0" applyFont="1" applyFill="1" applyBorder="1" applyAlignment="1">
      <alignment horizontal="center" vertical="center" shrinkToFit="1"/>
    </xf>
    <xf numFmtId="0" fontId="27" fillId="8" borderId="37" xfId="0" applyFont="1" applyFill="1" applyBorder="1" applyAlignment="1">
      <alignment horizontal="center" vertical="center" shrinkToFit="1"/>
    </xf>
    <xf numFmtId="0" fontId="27" fillId="8" borderId="47" xfId="0" applyFont="1" applyFill="1" applyBorder="1" applyAlignment="1">
      <alignment horizontal="center" vertical="center" shrinkToFit="1"/>
    </xf>
    <xf numFmtId="176" fontId="21" fillId="0" borderId="58" xfId="0" applyNumberFormat="1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4" xfId="0" applyFont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shrinkToFit="1"/>
    </xf>
    <xf numFmtId="0" fontId="21" fillId="0" borderId="60" xfId="0" applyFont="1" applyBorder="1" applyAlignment="1">
      <alignment horizontal="center" vertical="center" shrinkToFit="1"/>
    </xf>
    <xf numFmtId="0" fontId="21" fillId="0" borderId="58" xfId="0" applyFont="1" applyBorder="1" applyAlignment="1">
      <alignment horizontal="center" vertical="center" shrinkToFit="1"/>
    </xf>
    <xf numFmtId="0" fontId="21" fillId="0" borderId="59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 shrinkToFit="1"/>
    </xf>
    <xf numFmtId="0" fontId="21" fillId="0" borderId="23" xfId="0" applyFont="1" applyBorder="1" applyAlignment="1">
      <alignment horizontal="center" vertical="center" shrinkToFit="1"/>
    </xf>
    <xf numFmtId="0" fontId="5" fillId="9" borderId="11" xfId="0" applyFont="1" applyFill="1" applyBorder="1" applyAlignment="1">
      <alignment horizontal="center" vertical="center" wrapText="1" shrinkToFit="1"/>
    </xf>
    <xf numFmtId="0" fontId="5" fillId="9" borderId="40" xfId="0" applyFont="1" applyFill="1" applyBorder="1" applyAlignment="1">
      <alignment horizontal="center" vertical="center" wrapText="1" shrinkToFit="1"/>
    </xf>
    <xf numFmtId="0" fontId="5" fillId="9" borderId="4" xfId="0" applyFont="1" applyFill="1" applyBorder="1" applyAlignment="1">
      <alignment horizontal="center" vertical="center" wrapText="1" shrinkToFit="1"/>
    </xf>
    <xf numFmtId="0" fontId="5" fillId="5" borderId="11" xfId="0" applyFont="1" applyFill="1" applyBorder="1" applyAlignment="1">
      <alignment horizontal="center" vertical="center" wrapText="1" shrinkToFit="1"/>
    </xf>
    <xf numFmtId="0" fontId="5" fillId="5" borderId="40" xfId="0" applyFont="1" applyFill="1" applyBorder="1" applyAlignment="1">
      <alignment horizontal="center" vertical="center" wrapText="1" shrinkToFit="1"/>
    </xf>
    <xf numFmtId="0" fontId="5" fillId="5" borderId="4" xfId="0" applyFont="1" applyFill="1" applyBorder="1" applyAlignment="1">
      <alignment horizontal="center" vertical="center" wrapText="1" shrinkToFit="1"/>
    </xf>
    <xf numFmtId="0" fontId="5" fillId="6" borderId="11" xfId="0" applyFont="1" applyFill="1" applyBorder="1" applyAlignment="1">
      <alignment horizontal="center" vertical="center" wrapText="1" shrinkToFit="1"/>
    </xf>
    <xf numFmtId="0" fontId="5" fillId="6" borderId="40" xfId="0" applyFont="1" applyFill="1" applyBorder="1" applyAlignment="1">
      <alignment horizontal="center" vertical="center" wrapText="1" shrinkToFit="1"/>
    </xf>
    <xf numFmtId="0" fontId="5" fillId="6" borderId="4" xfId="0" applyFont="1" applyFill="1" applyBorder="1" applyAlignment="1">
      <alignment horizontal="center" vertical="center" wrapText="1" shrinkToFit="1"/>
    </xf>
    <xf numFmtId="0" fontId="5" fillId="10" borderId="11" xfId="0" applyFont="1" applyFill="1" applyBorder="1" applyAlignment="1">
      <alignment horizontal="center" vertical="center" wrapText="1" shrinkToFit="1"/>
    </xf>
    <xf numFmtId="0" fontId="5" fillId="10" borderId="40" xfId="0" applyFont="1" applyFill="1" applyBorder="1" applyAlignment="1">
      <alignment horizontal="center" vertical="center" wrapText="1" shrinkToFit="1"/>
    </xf>
    <xf numFmtId="0" fontId="5" fillId="10" borderId="4" xfId="0" applyFont="1" applyFill="1" applyBorder="1" applyAlignment="1">
      <alignment horizontal="center" vertical="center" wrapText="1" shrinkToFit="1"/>
    </xf>
    <xf numFmtId="0" fontId="5" fillId="7" borderId="11" xfId="0" applyFont="1" applyFill="1" applyBorder="1" applyAlignment="1">
      <alignment horizontal="center" vertical="center" wrapText="1" shrinkToFit="1"/>
    </xf>
    <xf numFmtId="0" fontId="5" fillId="7" borderId="40" xfId="0" applyFont="1" applyFill="1" applyBorder="1" applyAlignment="1">
      <alignment horizontal="center" vertical="center" wrapText="1" shrinkToFit="1"/>
    </xf>
    <xf numFmtId="0" fontId="5" fillId="7" borderId="4" xfId="0" applyFont="1" applyFill="1" applyBorder="1" applyAlignment="1">
      <alignment horizontal="center" vertical="center" wrapText="1" shrinkToFit="1"/>
    </xf>
    <xf numFmtId="0" fontId="5" fillId="11" borderId="11" xfId="0" applyFont="1" applyFill="1" applyBorder="1" applyAlignment="1">
      <alignment horizontal="center" vertical="center" wrapText="1" shrinkToFit="1"/>
    </xf>
    <xf numFmtId="0" fontId="5" fillId="11" borderId="40" xfId="0" applyFont="1" applyFill="1" applyBorder="1" applyAlignment="1">
      <alignment horizontal="center" vertical="center" wrapText="1" shrinkToFit="1"/>
    </xf>
    <xf numFmtId="0" fontId="5" fillId="11" borderId="4" xfId="0" applyFont="1" applyFill="1" applyBorder="1" applyAlignment="1">
      <alignment horizontal="center" vertical="center" wrapText="1" shrinkToFit="1"/>
    </xf>
    <xf numFmtId="0" fontId="5" fillId="12" borderId="44" xfId="0" applyFont="1" applyFill="1" applyBorder="1" applyAlignment="1">
      <alignment horizontal="center" vertical="center" wrapText="1" shrinkToFit="1"/>
    </xf>
    <xf numFmtId="0" fontId="5" fillId="12" borderId="46" xfId="0" applyFont="1" applyFill="1" applyBorder="1" applyAlignment="1">
      <alignment horizontal="center" vertical="center" wrapText="1" shrinkToFit="1"/>
    </xf>
    <xf numFmtId="0" fontId="5" fillId="12" borderId="39" xfId="0" applyFont="1" applyFill="1" applyBorder="1" applyAlignment="1">
      <alignment horizontal="center" vertical="center" wrapText="1" shrinkToFit="1"/>
    </xf>
    <xf numFmtId="183" fontId="21" fillId="9" borderId="2" xfId="0" applyNumberFormat="1" applyFont="1" applyFill="1" applyBorder="1" applyAlignment="1">
      <alignment horizontal="center" vertical="center" shrinkToFit="1"/>
    </xf>
    <xf numFmtId="183" fontId="21" fillId="9" borderId="29" xfId="0" applyNumberFormat="1" applyFont="1" applyFill="1" applyBorder="1" applyAlignment="1">
      <alignment horizontal="center" vertical="center" shrinkToFit="1"/>
    </xf>
    <xf numFmtId="183" fontId="21" fillId="9" borderId="26" xfId="0" applyNumberFormat="1" applyFont="1" applyFill="1" applyBorder="1" applyAlignment="1">
      <alignment horizontal="center" vertical="center" shrinkToFit="1"/>
    </xf>
    <xf numFmtId="26" fontId="21" fillId="9" borderId="2" xfId="0" applyNumberFormat="1" applyFont="1" applyFill="1" applyBorder="1" applyAlignment="1">
      <alignment horizontal="center" vertical="center" shrinkToFit="1"/>
    </xf>
    <xf numFmtId="26" fontId="21" fillId="9" borderId="29" xfId="0" applyNumberFormat="1" applyFont="1" applyFill="1" applyBorder="1" applyAlignment="1">
      <alignment horizontal="center" vertical="center" shrinkToFit="1"/>
    </xf>
    <xf numFmtId="26" fontId="21" fillId="9" borderId="26" xfId="0" applyNumberFormat="1" applyFont="1" applyFill="1" applyBorder="1" applyAlignment="1">
      <alignment horizontal="center" vertical="center" shrinkToFit="1"/>
    </xf>
    <xf numFmtId="0" fontId="28" fillId="5" borderId="2" xfId="0" applyFont="1" applyFill="1" applyBorder="1" applyAlignment="1">
      <alignment horizontal="center" vertical="center" shrinkToFit="1"/>
    </xf>
    <xf numFmtId="0" fontId="28" fillId="5" borderId="29" xfId="0" applyFont="1" applyFill="1" applyBorder="1" applyAlignment="1">
      <alignment horizontal="center" vertical="center" shrinkToFit="1"/>
    </xf>
    <xf numFmtId="0" fontId="28" fillId="5" borderId="26" xfId="0" applyFont="1" applyFill="1" applyBorder="1" applyAlignment="1">
      <alignment horizontal="center" vertical="center" shrinkToFit="1"/>
    </xf>
    <xf numFmtId="0" fontId="20" fillId="5" borderId="2" xfId="0" applyFont="1" applyFill="1" applyBorder="1" applyAlignment="1">
      <alignment horizontal="center" vertical="center" shrinkToFit="1"/>
    </xf>
    <xf numFmtId="0" fontId="20" fillId="5" borderId="29" xfId="0" applyFont="1" applyFill="1" applyBorder="1" applyAlignment="1">
      <alignment horizontal="center" vertical="center" shrinkToFit="1"/>
    </xf>
    <xf numFmtId="0" fontId="20" fillId="5" borderId="26" xfId="0" applyFont="1" applyFill="1" applyBorder="1" applyAlignment="1">
      <alignment horizontal="center" vertical="center" shrinkToFit="1"/>
    </xf>
    <xf numFmtId="183" fontId="21" fillId="5" borderId="2" xfId="0" applyNumberFormat="1" applyFont="1" applyFill="1" applyBorder="1" applyAlignment="1">
      <alignment horizontal="center" vertical="center" shrinkToFit="1"/>
    </xf>
    <xf numFmtId="183" fontId="21" fillId="5" borderId="29" xfId="0" applyNumberFormat="1" applyFont="1" applyFill="1" applyBorder="1" applyAlignment="1">
      <alignment horizontal="center" vertical="center" shrinkToFit="1"/>
    </xf>
    <xf numFmtId="183" fontId="21" fillId="5" borderId="26" xfId="0" applyNumberFormat="1" applyFont="1" applyFill="1" applyBorder="1" applyAlignment="1">
      <alignment horizontal="center" vertical="center" shrinkToFit="1"/>
    </xf>
    <xf numFmtId="26" fontId="21" fillId="5" borderId="2" xfId="0" applyNumberFormat="1" applyFont="1" applyFill="1" applyBorder="1" applyAlignment="1">
      <alignment horizontal="center" vertical="center" shrinkToFit="1"/>
    </xf>
    <xf numFmtId="26" fontId="21" fillId="5" borderId="29" xfId="0" applyNumberFormat="1" applyFont="1" applyFill="1" applyBorder="1" applyAlignment="1">
      <alignment horizontal="center" vertical="center" shrinkToFit="1"/>
    </xf>
    <xf numFmtId="26" fontId="21" fillId="5" borderId="26" xfId="0" applyNumberFormat="1" applyFont="1" applyFill="1" applyBorder="1" applyAlignment="1">
      <alignment horizontal="center" vertical="center" shrinkToFit="1"/>
    </xf>
    <xf numFmtId="26" fontId="21" fillId="6" borderId="30" xfId="0" applyNumberFormat="1" applyFont="1" applyFill="1" applyBorder="1" applyAlignment="1">
      <alignment horizontal="center" vertical="center" shrinkToFit="1"/>
    </xf>
    <xf numFmtId="26" fontId="21" fillId="6" borderId="43" xfId="0" applyNumberFormat="1" applyFont="1" applyFill="1" applyBorder="1" applyAlignment="1">
      <alignment horizontal="center" vertical="center" shrinkToFit="1"/>
    </xf>
    <xf numFmtId="26" fontId="21" fillId="6" borderId="44" xfId="0" applyNumberFormat="1" applyFont="1" applyFill="1" applyBorder="1" applyAlignment="1">
      <alignment horizontal="center" vertic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26" fontId="21" fillId="6" borderId="6" xfId="0" applyNumberFormat="1" applyFont="1" applyFill="1" applyBorder="1" applyAlignment="1">
      <alignment horizontal="center" vertical="center" shrinkToFit="1"/>
    </xf>
    <xf numFmtId="26" fontId="21" fillId="6" borderId="37" xfId="0" applyNumberFormat="1" applyFont="1" applyFill="1" applyBorder="1" applyAlignment="1">
      <alignment horizontal="center" vertical="center" shrinkToFit="1"/>
    </xf>
    <xf numFmtId="26" fontId="21" fillId="6" borderId="39" xfId="0" applyNumberFormat="1" applyFont="1" applyFill="1" applyBorder="1" applyAlignment="1">
      <alignment horizontal="center" vertical="center" shrinkToFit="1"/>
    </xf>
    <xf numFmtId="183" fontId="21" fillId="6" borderId="30" xfId="0" applyNumberFormat="1" applyFont="1" applyFill="1" applyBorder="1" applyAlignment="1">
      <alignment horizontal="center" vertical="center" shrinkToFit="1"/>
    </xf>
    <xf numFmtId="183" fontId="21" fillId="6" borderId="43" xfId="0" applyNumberFormat="1" applyFont="1" applyFill="1" applyBorder="1" applyAlignment="1">
      <alignment horizontal="center" vertical="center" shrinkToFit="1"/>
    </xf>
    <xf numFmtId="183" fontId="21" fillId="6" borderId="44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183" fontId="21" fillId="6" borderId="6" xfId="0" applyNumberFormat="1" applyFont="1" applyFill="1" applyBorder="1" applyAlignment="1">
      <alignment horizontal="center" vertical="center" shrinkToFit="1"/>
    </xf>
    <xf numFmtId="183" fontId="21" fillId="6" borderId="37" xfId="0" applyNumberFormat="1" applyFont="1" applyFill="1" applyBorder="1" applyAlignment="1">
      <alignment horizontal="center" vertical="center" shrinkToFit="1"/>
    </xf>
    <xf numFmtId="183" fontId="21" fillId="6" borderId="39" xfId="0" applyNumberFormat="1" applyFont="1" applyFill="1" applyBorder="1" applyAlignment="1">
      <alignment horizontal="center" vertical="center" shrinkToFit="1"/>
    </xf>
    <xf numFmtId="0" fontId="28" fillId="11" borderId="2" xfId="0" applyFont="1" applyFill="1" applyBorder="1" applyAlignment="1">
      <alignment horizontal="center" vertical="center" shrinkToFit="1"/>
    </xf>
    <xf numFmtId="0" fontId="28" fillId="11" borderId="29" xfId="0" applyFont="1" applyFill="1" applyBorder="1" applyAlignment="1">
      <alignment horizontal="center" vertical="center" shrinkToFit="1"/>
    </xf>
    <xf numFmtId="0" fontId="28" fillId="11" borderId="26" xfId="0" applyFont="1" applyFill="1" applyBorder="1" applyAlignment="1">
      <alignment horizontal="center" vertical="center" shrinkToFit="1"/>
    </xf>
    <xf numFmtId="176" fontId="5" fillId="11" borderId="2" xfId="0" applyNumberFormat="1" applyFont="1" applyFill="1" applyBorder="1" applyAlignment="1">
      <alignment horizontal="center" vertical="center" shrinkToFit="1"/>
    </xf>
    <xf numFmtId="176" fontId="5" fillId="11" borderId="29" xfId="0" applyNumberFormat="1" applyFont="1" applyFill="1" applyBorder="1" applyAlignment="1">
      <alignment horizontal="center" vertical="center" shrinkToFit="1"/>
    </xf>
    <xf numFmtId="176" fontId="5" fillId="11" borderId="26" xfId="0" applyNumberFormat="1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0" fontId="1" fillId="2" borderId="1" xfId="0" applyFont="1" applyFill="1" applyBorder="1" applyAlignment="1">
      <alignment horizontal="center" shrinkToFit="1"/>
    </xf>
    <xf numFmtId="178" fontId="1" fillId="2" borderId="1" xfId="0" applyNumberFormat="1" applyFont="1" applyFill="1" applyBorder="1" applyAlignment="1">
      <alignment horizont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topLeftCell="A10" zoomScale="110" zoomScaleNormal="110" zoomScaleSheetLayoutView="100" workbookViewId="0">
      <selection activeCell="R8" sqref="R8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7" t="s">
        <v>77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9"/>
    </row>
    <row r="2" spans="1:44" ht="17.25" thickBot="1" x14ac:dyDescent="0.35">
      <c r="A2" s="337" t="s">
        <v>97</v>
      </c>
      <c r="B2" s="338"/>
      <c r="C2" s="338"/>
      <c r="D2" s="338"/>
      <c r="E2" s="338"/>
      <c r="F2" s="338"/>
      <c r="G2" s="339"/>
      <c r="H2" s="340" t="s">
        <v>49</v>
      </c>
      <c r="I2" s="341"/>
      <c r="J2" s="337" t="s">
        <v>102</v>
      </c>
      <c r="K2" s="339"/>
      <c r="L2" s="341" t="s">
        <v>96</v>
      </c>
      <c r="M2" s="342"/>
      <c r="N2" s="340"/>
      <c r="O2" s="338" t="s">
        <v>98</v>
      </c>
      <c r="P2" s="338"/>
      <c r="Q2" s="339"/>
      <c r="R2" s="341" t="s">
        <v>51</v>
      </c>
      <c r="S2" s="340"/>
      <c r="T2" s="329">
        <v>5</v>
      </c>
      <c r="U2" s="32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30" t="s">
        <v>8</v>
      </c>
      <c r="P4" s="330"/>
      <c r="Q4" s="330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10505</v>
      </c>
      <c r="C5" s="68" t="s">
        <v>103</v>
      </c>
      <c r="D5" s="200" t="s">
        <v>104</v>
      </c>
      <c r="E5" s="181" t="s">
        <v>105</v>
      </c>
      <c r="F5" s="170">
        <v>925</v>
      </c>
      <c r="G5" s="118" t="s">
        <v>106</v>
      </c>
      <c r="H5" s="91"/>
      <c r="I5" s="124"/>
      <c r="J5" s="130" t="str">
        <f>IF(G5="RSL","55","0")</f>
        <v>0</v>
      </c>
      <c r="K5" s="130">
        <v>79.099999999999994</v>
      </c>
      <c r="L5" s="131"/>
      <c r="M5" s="131"/>
      <c r="N5" s="134" t="s">
        <v>98</v>
      </c>
      <c r="O5" s="376" t="s">
        <v>107</v>
      </c>
      <c r="P5" s="377"/>
      <c r="Q5" s="378"/>
      <c r="R5" s="33" t="s">
        <v>98</v>
      </c>
      <c r="S5" s="31">
        <v>0.35416666666666669</v>
      </c>
      <c r="T5" s="32">
        <v>0.69791666666666663</v>
      </c>
      <c r="U5" s="92">
        <f t="shared" ref="U5:U15" si="0">(T5-S5)*24</f>
        <v>8.2499999999999982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10506</v>
      </c>
      <c r="C6" s="67" t="s">
        <v>112</v>
      </c>
      <c r="D6" s="200" t="s">
        <v>113</v>
      </c>
      <c r="E6" s="181" t="s">
        <v>91</v>
      </c>
      <c r="F6" s="171">
        <v>925</v>
      </c>
      <c r="G6" s="118" t="s">
        <v>106</v>
      </c>
      <c r="H6" s="91"/>
      <c r="I6" s="124"/>
      <c r="J6" s="130" t="str">
        <f t="shared" ref="J6:J29" si="1">IF(G6="RSL","55","0")</f>
        <v>0</v>
      </c>
      <c r="K6" s="130">
        <v>125</v>
      </c>
      <c r="L6" s="131"/>
      <c r="M6" s="131"/>
      <c r="N6" s="134" t="s">
        <v>98</v>
      </c>
      <c r="O6" s="331" t="s">
        <v>114</v>
      </c>
      <c r="P6" s="332"/>
      <c r="Q6" s="333"/>
      <c r="R6" s="132" t="s">
        <v>99</v>
      </c>
      <c r="S6" s="31">
        <v>0.33333333333333331</v>
      </c>
      <c r="T6" s="32">
        <v>0.69791666666666663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10507</v>
      </c>
      <c r="C7" s="67" t="s">
        <v>108</v>
      </c>
      <c r="D7" s="200" t="s">
        <v>109</v>
      </c>
      <c r="E7" s="181" t="s">
        <v>91</v>
      </c>
      <c r="F7" s="171">
        <v>1010</v>
      </c>
      <c r="G7" s="118" t="s">
        <v>110</v>
      </c>
      <c r="H7" s="91"/>
      <c r="I7" s="124">
        <v>120</v>
      </c>
      <c r="J7" s="130" t="str">
        <f t="shared" si="1"/>
        <v>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98</v>
      </c>
      <c r="O7" s="304"/>
      <c r="P7" s="303"/>
      <c r="Q7" s="305"/>
      <c r="R7" s="134" t="s">
        <v>100</v>
      </c>
      <c r="S7" s="31">
        <v>0.375</v>
      </c>
      <c r="T7" s="32">
        <v>0.64583333333333337</v>
      </c>
      <c r="U7" s="92">
        <f t="shared" si="0"/>
        <v>6.5000000000000009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10508</v>
      </c>
      <c r="C8" s="27" t="s">
        <v>115</v>
      </c>
      <c r="D8" s="200" t="s">
        <v>116</v>
      </c>
      <c r="E8" s="181" t="s">
        <v>92</v>
      </c>
      <c r="F8" s="171">
        <v>1110</v>
      </c>
      <c r="G8" s="118" t="s">
        <v>117</v>
      </c>
      <c r="H8" s="91"/>
      <c r="I8" s="124">
        <v>75.75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98</v>
      </c>
      <c r="O8" s="334"/>
      <c r="P8" s="335"/>
      <c r="Q8" s="336"/>
      <c r="R8" s="26" t="s">
        <v>101</v>
      </c>
      <c r="S8" s="31">
        <v>0.35416666666666669</v>
      </c>
      <c r="T8" s="32">
        <v>0.69791666666666663</v>
      </c>
      <c r="U8" s="92">
        <f t="shared" si="0"/>
        <v>8.2499999999999982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10509</v>
      </c>
      <c r="C9" s="63" t="s">
        <v>118</v>
      </c>
      <c r="D9" s="201" t="s">
        <v>119</v>
      </c>
      <c r="E9" s="181" t="s">
        <v>92</v>
      </c>
      <c r="F9" s="172">
        <v>1120</v>
      </c>
      <c r="G9" s="119" t="s">
        <v>110</v>
      </c>
      <c r="H9" s="91">
        <v>100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98</v>
      </c>
      <c r="O9" s="334"/>
      <c r="P9" s="335"/>
      <c r="Q9" s="336"/>
      <c r="R9" s="26" t="s">
        <v>111</v>
      </c>
      <c r="S9" s="31">
        <v>0.45833333333333331</v>
      </c>
      <c r="T9" s="32">
        <v>0.66666666666666663</v>
      </c>
      <c r="U9" s="92">
        <f t="shared" si="0"/>
        <v>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10510</v>
      </c>
      <c r="C10" s="28" t="s">
        <v>120</v>
      </c>
      <c r="D10" s="202" t="s">
        <v>121</v>
      </c>
      <c r="E10" s="181" t="s">
        <v>91</v>
      </c>
      <c r="F10" s="173">
        <v>1155</v>
      </c>
      <c r="G10" s="120" t="s">
        <v>106</v>
      </c>
      <c r="H10" s="123"/>
      <c r="I10" s="125"/>
      <c r="J10" s="130" t="str">
        <f t="shared" si="1"/>
        <v>0</v>
      </c>
      <c r="K10" s="130">
        <v>79.099999999999994</v>
      </c>
      <c r="L10" s="131"/>
      <c r="M10" s="131"/>
      <c r="N10" s="134" t="s">
        <v>98</v>
      </c>
      <c r="O10" s="326" t="s">
        <v>122</v>
      </c>
      <c r="P10" s="327"/>
      <c r="Q10" s="328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10511</v>
      </c>
      <c r="C11" s="18" t="s">
        <v>123</v>
      </c>
      <c r="D11" s="203" t="s">
        <v>124</v>
      </c>
      <c r="E11" s="181" t="s">
        <v>92</v>
      </c>
      <c r="F11" s="66">
        <v>1220</v>
      </c>
      <c r="G11" s="121" t="s">
        <v>125</v>
      </c>
      <c r="H11" s="123">
        <v>150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98</v>
      </c>
      <c r="O11" s="304"/>
      <c r="P11" s="303"/>
      <c r="Q11" s="305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10512</v>
      </c>
      <c r="C12" s="64" t="s">
        <v>126</v>
      </c>
      <c r="D12" s="204" t="s">
        <v>127</v>
      </c>
      <c r="E12" s="181" t="s">
        <v>92</v>
      </c>
      <c r="F12" s="173">
        <v>1315</v>
      </c>
      <c r="G12" s="119" t="s">
        <v>110</v>
      </c>
      <c r="H12" s="123"/>
      <c r="I12" s="125">
        <v>75.75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98</v>
      </c>
      <c r="O12" s="304"/>
      <c r="P12" s="303"/>
      <c r="Q12" s="30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10513</v>
      </c>
      <c r="C13" s="64" t="s">
        <v>128</v>
      </c>
      <c r="D13" s="204" t="s">
        <v>129</v>
      </c>
      <c r="E13" s="181" t="s">
        <v>92</v>
      </c>
      <c r="F13" s="173">
        <v>1330</v>
      </c>
      <c r="G13" s="119" t="s">
        <v>110</v>
      </c>
      <c r="H13" s="169"/>
      <c r="I13" s="168">
        <v>95.95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98</v>
      </c>
      <c r="O13" s="304"/>
      <c r="P13" s="303"/>
      <c r="Q13" s="30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10514</v>
      </c>
      <c r="C14" s="65" t="s">
        <v>130</v>
      </c>
      <c r="D14" s="205" t="s">
        <v>131</v>
      </c>
      <c r="E14" s="181" t="s">
        <v>92</v>
      </c>
      <c r="F14" s="174">
        <v>1355</v>
      </c>
      <c r="G14" s="122" t="s">
        <v>132</v>
      </c>
      <c r="H14" s="123">
        <v>60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98</v>
      </c>
      <c r="O14" s="304"/>
      <c r="P14" s="303"/>
      <c r="Q14" s="305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10515</v>
      </c>
      <c r="C15" s="65" t="s">
        <v>133</v>
      </c>
      <c r="D15" s="205" t="s">
        <v>134</v>
      </c>
      <c r="E15" s="181" t="s">
        <v>92</v>
      </c>
      <c r="F15" s="174">
        <v>1430</v>
      </c>
      <c r="G15" s="122" t="s">
        <v>117</v>
      </c>
      <c r="H15" s="123">
        <v>55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98</v>
      </c>
      <c r="O15" s="304"/>
      <c r="P15" s="303"/>
      <c r="Q15" s="305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10516</v>
      </c>
      <c r="C16" s="65" t="s">
        <v>136</v>
      </c>
      <c r="D16" s="205" t="s">
        <v>137</v>
      </c>
      <c r="E16" s="181" t="s">
        <v>92</v>
      </c>
      <c r="F16" s="174">
        <v>1455</v>
      </c>
      <c r="G16" s="122" t="s">
        <v>135</v>
      </c>
      <c r="H16" s="123"/>
      <c r="I16" s="124"/>
      <c r="J16" s="130" t="str">
        <f t="shared" si="1"/>
        <v>0</v>
      </c>
      <c r="K16" s="130">
        <v>83.3</v>
      </c>
      <c r="L16" s="131"/>
      <c r="M16" s="131"/>
      <c r="N16" s="134" t="s">
        <v>98</v>
      </c>
      <c r="O16" s="304" t="s">
        <v>138</v>
      </c>
      <c r="P16" s="303"/>
      <c r="Q16" s="305"/>
      <c r="R16" s="82">
        <f>H32/U16</f>
        <v>0.35374149659863946</v>
      </c>
      <c r="S16" s="83">
        <f>H32/(U16-U5)</f>
        <v>0.45614035087719296</v>
      </c>
      <c r="T16" s="83">
        <f>C32/U16</f>
        <v>32.055782312925174</v>
      </c>
      <c r="U16" s="83">
        <f>SUM(U5:U15)</f>
        <v>36.75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10517</v>
      </c>
      <c r="C17" s="18" t="s">
        <v>139</v>
      </c>
      <c r="D17" s="203" t="s">
        <v>140</v>
      </c>
      <c r="E17" s="181" t="s">
        <v>92</v>
      </c>
      <c r="F17" s="66">
        <v>1545</v>
      </c>
      <c r="G17" s="121" t="s">
        <v>106</v>
      </c>
      <c r="H17" s="123"/>
      <c r="I17" s="124"/>
      <c r="J17" s="130" t="str">
        <f t="shared" si="1"/>
        <v>0</v>
      </c>
      <c r="K17" s="130">
        <v>79.099999999999994</v>
      </c>
      <c r="L17" s="131"/>
      <c r="M17" s="131"/>
      <c r="N17" s="134" t="s">
        <v>98</v>
      </c>
      <c r="O17" s="304" t="s">
        <v>141</v>
      </c>
      <c r="P17" s="303"/>
      <c r="Q17" s="30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4"/>
      <c r="P18" s="303"/>
      <c r="Q18" s="30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4"/>
      <c r="P19" s="303"/>
      <c r="Q19" s="303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2"/>
      <c r="P20" s="373"/>
      <c r="Q20" s="37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4"/>
      <c r="P21" s="303"/>
      <c r="Q21" s="30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4"/>
      <c r="P22" s="303"/>
      <c r="Q22" s="305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0"/>
      <c r="Y23" s="371"/>
      <c r="Z23" s="371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4"/>
      <c r="P24" s="303"/>
      <c r="Q24" s="30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4"/>
      <c r="P25" s="303"/>
      <c r="Q25" s="305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4">
        <f>((C32+(R26+S26+T26)*0.5))</f>
        <v>1178.0500000000002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4"/>
      <c r="P26" s="303"/>
      <c r="Q26" s="305"/>
      <c r="R26" s="112">
        <f>R25*37.5</f>
        <v>0</v>
      </c>
      <c r="S26" s="102">
        <f>S25*41.5</f>
        <v>0</v>
      </c>
      <c r="T26" s="102">
        <f>T25*50</f>
        <v>0</v>
      </c>
      <c r="U26" s="37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4"/>
      <c r="P27" s="303"/>
      <c r="Q27" s="305"/>
      <c r="R27" s="367" t="s">
        <v>56</v>
      </c>
      <c r="S27" s="368"/>
      <c r="T27" s="368"/>
      <c r="U27" s="369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4"/>
      <c r="P28" s="303"/>
      <c r="Q28" s="305"/>
      <c r="R28" s="360"/>
      <c r="S28" s="361"/>
      <c r="T28" s="362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7"/>
      <c r="P29" s="348"/>
      <c r="Q29" s="349"/>
      <c r="R29" s="350"/>
      <c r="S29" s="351"/>
      <c r="T29" s="352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3" t="s">
        <v>48</v>
      </c>
      <c r="B30" s="354"/>
      <c r="C30" s="354"/>
      <c r="D30" s="354"/>
      <c r="E30" s="355"/>
      <c r="F30" s="354"/>
      <c r="G30" s="354"/>
      <c r="H30" s="211">
        <f t="shared" ref="H30:M30" si="3">SUM(H5:H29)</f>
        <v>365</v>
      </c>
      <c r="I30" s="105">
        <f>SUM(I5:I29)</f>
        <v>367.45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445.6</v>
      </c>
      <c r="L30" s="106">
        <f t="shared" si="3"/>
        <v>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56"/>
      <c r="S30" s="356"/>
      <c r="T30" s="357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8" t="s">
        <v>16</v>
      </c>
      <c r="B31" s="359"/>
      <c r="C31" s="359"/>
      <c r="D31" s="359"/>
      <c r="E31" s="359"/>
      <c r="F31" s="359"/>
      <c r="G31" s="359"/>
      <c r="H31" s="212">
        <f t="shared" ref="H31:J31" si="4">H30+H62+H94</f>
        <v>365</v>
      </c>
      <c r="I31" s="103">
        <f t="shared" si="4"/>
        <v>367.45</v>
      </c>
      <c r="J31" s="103">
        <f t="shared" si="4"/>
        <v>0</v>
      </c>
      <c r="K31" s="103">
        <f>K30+K62+K94</f>
        <v>445.6</v>
      </c>
      <c r="L31" s="97">
        <f>L30+L62+L94</f>
        <v>0</v>
      </c>
      <c r="M31" s="97">
        <f>M30+M62+M94</f>
        <v>0</v>
      </c>
      <c r="N31" s="217">
        <f>COUNT(H5:H29,H37:H61,H69:H93)</f>
        <v>4</v>
      </c>
      <c r="O31" s="104">
        <f>COUNT(I5:I29,I37:I61,I69:I93)</f>
        <v>4</v>
      </c>
      <c r="P31" s="104">
        <f>COUNTIF(G5:G29,"G*")+COUNTIF(G37:G61,"G*")+COUNTIF(G69:G93,"G*")+COUNTIF(G5:G29,"P*")+COUNTIF(G37:G61,"P*")+COUNTIF(G69:G93,"P*")</f>
        <v>5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365</v>
      </c>
      <c r="T31" s="343">
        <f>H31+I31+L31+M31</f>
        <v>732.45</v>
      </c>
      <c r="U31" s="344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3" t="s">
        <v>55</v>
      </c>
      <c r="B32" s="364"/>
      <c r="C32" s="107">
        <f>H31+I31+J31+K31</f>
        <v>1178.0500000000002</v>
      </c>
      <c r="D32" s="196"/>
      <c r="E32" s="107"/>
      <c r="F32" s="365" t="s">
        <v>53</v>
      </c>
      <c r="G32" s="365"/>
      <c r="H32" s="109">
        <f>COUNT(B5:B29,B37:B61,B69:B93)</f>
        <v>13</v>
      </c>
      <c r="I32" s="366" t="s">
        <v>54</v>
      </c>
      <c r="J32" s="366"/>
      <c r="K32" s="108">
        <f>C32/H32</f>
        <v>90.619230769230782</v>
      </c>
      <c r="L32" s="218"/>
      <c r="M32" s="218"/>
      <c r="N32" s="218">
        <f>H31/C32</f>
        <v>0.30983404779084073</v>
      </c>
      <c r="O32" s="218">
        <f>I31/C32</f>
        <v>0.31191375578286146</v>
      </c>
      <c r="P32" s="218">
        <f>K31/C32</f>
        <v>0.37825219642629765</v>
      </c>
      <c r="Q32" s="110">
        <f>J31/C32</f>
        <v>0</v>
      </c>
      <c r="R32" s="99" t="s">
        <v>82</v>
      </c>
      <c r="S32" s="213">
        <f>I31+M31</f>
        <v>367.45</v>
      </c>
      <c r="T32" s="345"/>
      <c r="U32" s="346"/>
      <c r="V32" s="55"/>
      <c r="W32" s="55"/>
      <c r="X32" s="56" t="s">
        <v>27</v>
      </c>
      <c r="Y32" s="56"/>
      <c r="Z32" s="54">
        <f>I31</f>
        <v>367.45</v>
      </c>
      <c r="AE32" s="37"/>
      <c r="AF32" s="37"/>
      <c r="AG32" s="37"/>
      <c r="AH32" s="37"/>
    </row>
    <row r="33" spans="1:34" ht="17.25" thickBot="1" x14ac:dyDescent="0.35">
      <c r="A33" s="297" t="s">
        <v>24</v>
      </c>
      <c r="B33" s="298"/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338"/>
      <c r="U33" s="339"/>
      <c r="X33" s="57" t="s">
        <v>29</v>
      </c>
      <c r="Y33" s="57"/>
      <c r="Z33" s="58">
        <f>SUM(Z31:Z32)</f>
        <v>-2377.5500000000002</v>
      </c>
      <c r="AE33" s="37"/>
      <c r="AF33" s="37"/>
      <c r="AG33" s="59"/>
      <c r="AH33" s="37"/>
    </row>
    <row r="34" spans="1:34" ht="17.25" thickBot="1" x14ac:dyDescent="0.35">
      <c r="A34" s="337" t="str">
        <f>A2</f>
        <v>08-08-2022</v>
      </c>
      <c r="B34" s="338"/>
      <c r="C34" s="338"/>
      <c r="D34" s="338"/>
      <c r="E34" s="338"/>
      <c r="F34" s="338"/>
      <c r="G34" s="339"/>
      <c r="H34" s="340" t="s">
        <v>49</v>
      </c>
      <c r="I34" s="341"/>
      <c r="J34" s="337" t="str">
        <f>J2</f>
        <v>SUNNY</v>
      </c>
      <c r="K34" s="339"/>
      <c r="L34" s="341" t="s">
        <v>50</v>
      </c>
      <c r="M34" s="342"/>
      <c r="N34" s="340"/>
      <c r="O34" s="338" t="str">
        <f>O2</f>
        <v>JOHN</v>
      </c>
      <c r="P34" s="338"/>
      <c r="Q34" s="339"/>
      <c r="R34" s="341" t="s">
        <v>51</v>
      </c>
      <c r="S34" s="340"/>
      <c r="T34" s="329">
        <f>T2</f>
        <v>5</v>
      </c>
      <c r="U34" s="32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30" t="s">
        <v>8</v>
      </c>
      <c r="P36" s="330"/>
      <c r="Q36" s="330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4"/>
      <c r="P37" s="303"/>
      <c r="Q37" s="305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1"/>
      <c r="P38" s="332"/>
      <c r="Q38" s="333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4"/>
      <c r="P39" s="303"/>
      <c r="Q39" s="305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4"/>
      <c r="P40" s="335"/>
      <c r="Q40" s="336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4"/>
      <c r="P41" s="335"/>
      <c r="Q41" s="336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6"/>
      <c r="P42" s="327"/>
      <c r="Q42" s="328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4"/>
      <c r="P43" s="303"/>
      <c r="Q43" s="305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4"/>
      <c r="P44" s="303"/>
      <c r="Q44" s="305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4"/>
      <c r="P45" s="303"/>
      <c r="Q45" s="305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4"/>
      <c r="P46" s="303"/>
      <c r="Q46" s="305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4"/>
      <c r="P47" s="303"/>
      <c r="Q47" s="305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4"/>
      <c r="P48" s="303"/>
      <c r="Q48" s="305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4"/>
      <c r="P49" s="303"/>
      <c r="Q49" s="305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4"/>
      <c r="P50" s="303"/>
      <c r="Q50" s="305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4"/>
      <c r="P51" s="303"/>
      <c r="Q51" s="303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4"/>
      <c r="P52" s="303"/>
      <c r="Q52" s="303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5"/>
      <c r="P53" s="304"/>
      <c r="Q53" s="304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5"/>
      <c r="P54" s="304"/>
      <c r="Q54" s="304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5"/>
      <c r="P55" s="304"/>
      <c r="Q55" s="304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3"/>
      <c r="P56" s="303"/>
      <c r="Q56" s="303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4"/>
      <c r="P57" s="303"/>
      <c r="Q57" s="303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3"/>
      <c r="P58" s="303"/>
      <c r="Q58" s="303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3"/>
      <c r="P59" s="303"/>
      <c r="Q59" s="303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4"/>
      <c r="P60" s="303"/>
      <c r="Q60" s="305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6"/>
      <c r="P61" s="307"/>
      <c r="Q61" s="308"/>
      <c r="R61" s="81"/>
      <c r="S61" s="68"/>
      <c r="T61" s="68"/>
      <c r="U61" s="77"/>
    </row>
    <row r="62" spans="1:21" x14ac:dyDescent="0.3">
      <c r="A62" s="309" t="s">
        <v>48</v>
      </c>
      <c r="B62" s="310"/>
      <c r="C62" s="310"/>
      <c r="D62" s="310"/>
      <c r="E62" s="310"/>
      <c r="F62" s="310"/>
      <c r="G62" s="310"/>
      <c r="H62" s="310">
        <f t="shared" ref="H62:M62" si="8">SUM(H37:H61)</f>
        <v>0</v>
      </c>
      <c r="I62" s="316">
        <f t="shared" si="8"/>
        <v>0</v>
      </c>
      <c r="J62" s="316">
        <f>J61+J60+J59+J58+J57+J56+J55+J54+J53+J52+J51+J50+J49+J48+J47+J46+J45+J44+J43+J42+J41+J40+J39+J38+J37</f>
        <v>0</v>
      </c>
      <c r="K62" s="316">
        <f>K61+K60+K59+K58+K57+K56+K55+K54+K53+K52+K51+K50+K49+K48+K47+K46+K45+K44+K43+K42+K41+K40+K39+K38+K37</f>
        <v>0</v>
      </c>
      <c r="L62" s="319">
        <f t="shared" si="8"/>
        <v>0</v>
      </c>
      <c r="M62" s="322">
        <f t="shared" si="8"/>
        <v>0</v>
      </c>
      <c r="N62" s="291"/>
      <c r="O62" s="292"/>
      <c r="P62" s="292"/>
      <c r="Q62" s="293"/>
      <c r="R62" s="5"/>
      <c r="S62" s="6"/>
      <c r="T62" s="7"/>
      <c r="U62" s="8"/>
    </row>
    <row r="63" spans="1:21" ht="17.25" thickBot="1" x14ac:dyDescent="0.35">
      <c r="A63" s="312"/>
      <c r="B63" s="313"/>
      <c r="C63" s="313"/>
      <c r="D63" s="313"/>
      <c r="E63" s="313"/>
      <c r="F63" s="313"/>
      <c r="G63" s="313"/>
      <c r="H63" s="313"/>
      <c r="I63" s="317"/>
      <c r="J63" s="317"/>
      <c r="K63" s="317"/>
      <c r="L63" s="320"/>
      <c r="M63" s="323"/>
      <c r="N63" s="294"/>
      <c r="O63" s="295"/>
      <c r="P63" s="295"/>
      <c r="Q63" s="296"/>
      <c r="R63" s="1"/>
      <c r="S63" s="2"/>
      <c r="T63" s="3"/>
      <c r="U63" s="4"/>
    </row>
    <row r="64" spans="1:21" ht="17.25" thickBot="1" x14ac:dyDescent="0.35">
      <c r="A64" s="314"/>
      <c r="B64" s="315"/>
      <c r="C64" s="315"/>
      <c r="D64" s="315"/>
      <c r="E64" s="315"/>
      <c r="F64" s="315"/>
      <c r="G64" s="315"/>
      <c r="H64" s="315"/>
      <c r="I64" s="318"/>
      <c r="J64" s="318"/>
      <c r="K64" s="318"/>
      <c r="L64" s="321"/>
      <c r="M64" s="324"/>
      <c r="N64" s="297"/>
      <c r="O64" s="298"/>
      <c r="P64" s="298"/>
      <c r="Q64" s="299"/>
      <c r="R64" s="300" t="s">
        <v>17</v>
      </c>
      <c r="S64" s="301"/>
      <c r="T64" s="301"/>
      <c r="U64" s="302"/>
    </row>
    <row r="65" spans="1:21" ht="17.25" thickBot="1" x14ac:dyDescent="0.35">
      <c r="A65" s="337" t="s">
        <v>24</v>
      </c>
      <c r="B65" s="338"/>
      <c r="C65" s="338"/>
      <c r="D65" s="338"/>
      <c r="E65" s="338"/>
      <c r="F65" s="338"/>
      <c r="G65" s="338"/>
      <c r="H65" s="338"/>
      <c r="I65" s="338"/>
      <c r="J65" s="338"/>
      <c r="K65" s="338"/>
      <c r="L65" s="338"/>
      <c r="M65" s="338"/>
      <c r="N65" s="338"/>
      <c r="O65" s="338"/>
      <c r="P65" s="338"/>
      <c r="Q65" s="338"/>
      <c r="R65" s="338"/>
      <c r="S65" s="338"/>
      <c r="T65" s="338"/>
      <c r="U65" s="339"/>
    </row>
    <row r="66" spans="1:21" ht="17.25" thickBot="1" x14ac:dyDescent="0.35">
      <c r="A66" s="337" t="str">
        <f>A34</f>
        <v>08-08-2022</v>
      </c>
      <c r="B66" s="338"/>
      <c r="C66" s="338"/>
      <c r="D66" s="338"/>
      <c r="E66" s="338"/>
      <c r="F66" s="338"/>
      <c r="G66" s="339"/>
      <c r="H66" s="340" t="s">
        <v>49</v>
      </c>
      <c r="I66" s="341"/>
      <c r="J66" s="337" t="str">
        <f>J34</f>
        <v>SUNNY</v>
      </c>
      <c r="K66" s="339"/>
      <c r="L66" s="341" t="s">
        <v>50</v>
      </c>
      <c r="M66" s="342"/>
      <c r="N66" s="340"/>
      <c r="O66" s="338" t="str">
        <f>O34</f>
        <v>JOHN</v>
      </c>
      <c r="P66" s="338"/>
      <c r="Q66" s="339"/>
      <c r="R66" s="341" t="s">
        <v>51</v>
      </c>
      <c r="S66" s="340"/>
      <c r="T66" s="329">
        <f>T34</f>
        <v>5</v>
      </c>
      <c r="U66" s="329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30" t="s">
        <v>8</v>
      </c>
      <c r="P68" s="330"/>
      <c r="Q68" s="330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4"/>
      <c r="P69" s="303"/>
      <c r="Q69" s="305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1"/>
      <c r="P70" s="332"/>
      <c r="Q70" s="333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4"/>
      <c r="P71" s="303"/>
      <c r="Q71" s="305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4"/>
      <c r="P72" s="335"/>
      <c r="Q72" s="336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4"/>
      <c r="P73" s="335"/>
      <c r="Q73" s="336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6"/>
      <c r="P74" s="327"/>
      <c r="Q74" s="328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4"/>
      <c r="P75" s="303"/>
      <c r="Q75" s="305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4"/>
      <c r="P76" s="303"/>
      <c r="Q76" s="305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4"/>
      <c r="P77" s="303"/>
      <c r="Q77" s="305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4"/>
      <c r="P78" s="303"/>
      <c r="Q78" s="305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4"/>
      <c r="P79" s="303"/>
      <c r="Q79" s="305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4"/>
      <c r="P80" s="303"/>
      <c r="Q80" s="305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4"/>
      <c r="P81" s="303"/>
      <c r="Q81" s="305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4"/>
      <c r="P82" s="303"/>
      <c r="Q82" s="305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4"/>
      <c r="P83" s="303"/>
      <c r="Q83" s="303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4"/>
      <c r="P84" s="303"/>
      <c r="Q84" s="303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5"/>
      <c r="P85" s="304"/>
      <c r="Q85" s="304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5"/>
      <c r="P86" s="304"/>
      <c r="Q86" s="304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5"/>
      <c r="P87" s="304"/>
      <c r="Q87" s="304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3"/>
      <c r="P88" s="303"/>
      <c r="Q88" s="303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4"/>
      <c r="P89" s="303"/>
      <c r="Q89" s="303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3"/>
      <c r="P90" s="303"/>
      <c r="Q90" s="303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3"/>
      <c r="P91" s="303"/>
      <c r="Q91" s="303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4"/>
      <c r="P92" s="303"/>
      <c r="Q92" s="305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6"/>
      <c r="P93" s="307"/>
      <c r="Q93" s="308"/>
      <c r="R93" s="81"/>
      <c r="S93" s="68"/>
      <c r="T93" s="68"/>
      <c r="U93" s="77"/>
    </row>
    <row r="94" spans="1:21" x14ac:dyDescent="0.3">
      <c r="A94" s="309" t="s">
        <v>48</v>
      </c>
      <c r="B94" s="310"/>
      <c r="C94" s="310"/>
      <c r="D94" s="310"/>
      <c r="E94" s="311"/>
      <c r="F94" s="310"/>
      <c r="G94" s="310"/>
      <c r="H94" s="310">
        <f t="shared" ref="H94:M94" si="12">SUM(H69:H93)</f>
        <v>0</v>
      </c>
      <c r="I94" s="316">
        <f t="shared" si="12"/>
        <v>0</v>
      </c>
      <c r="J94" s="316">
        <f>J93+J92+J91+J90+J89+J88+J87+J86+J85+J84+J83+J82+J81+J80+J79+J78+J77+J76+J75+J74+J73+J72+J71+J70+J69</f>
        <v>0</v>
      </c>
      <c r="K94" s="316">
        <f>K93+K92+K91+K90+K89+K88+K87+K86+K85+K84+K83+K82+K81+K80+K79+K78+K77+K76+K75+K74+K73+K72+K71+K70+K69</f>
        <v>0</v>
      </c>
      <c r="L94" s="319">
        <f t="shared" si="12"/>
        <v>0</v>
      </c>
      <c r="M94" s="322">
        <f t="shared" si="12"/>
        <v>0</v>
      </c>
      <c r="N94" s="291"/>
      <c r="O94" s="292"/>
      <c r="P94" s="292"/>
      <c r="Q94" s="293"/>
      <c r="R94" s="5"/>
      <c r="S94" s="6"/>
      <c r="T94" s="7"/>
      <c r="U94" s="8"/>
    </row>
    <row r="95" spans="1:21" ht="17.25" thickBot="1" x14ac:dyDescent="0.35">
      <c r="A95" s="312"/>
      <c r="B95" s="313"/>
      <c r="C95" s="313"/>
      <c r="D95" s="313"/>
      <c r="E95" s="313"/>
      <c r="F95" s="313"/>
      <c r="G95" s="313"/>
      <c r="H95" s="313"/>
      <c r="I95" s="317"/>
      <c r="J95" s="317"/>
      <c r="K95" s="317"/>
      <c r="L95" s="320"/>
      <c r="M95" s="323"/>
      <c r="N95" s="294"/>
      <c r="O95" s="295"/>
      <c r="P95" s="295"/>
      <c r="Q95" s="296"/>
      <c r="R95" s="1"/>
      <c r="S95" s="2"/>
      <c r="T95" s="3"/>
      <c r="U95" s="4"/>
    </row>
    <row r="96" spans="1:21" ht="17.25" thickBot="1" x14ac:dyDescent="0.35">
      <c r="A96" s="314"/>
      <c r="B96" s="315"/>
      <c r="C96" s="315"/>
      <c r="D96" s="315"/>
      <c r="E96" s="315"/>
      <c r="F96" s="315"/>
      <c r="G96" s="315"/>
      <c r="H96" s="315"/>
      <c r="I96" s="318"/>
      <c r="J96" s="318"/>
      <c r="K96" s="318"/>
      <c r="L96" s="321"/>
      <c r="M96" s="324"/>
      <c r="N96" s="297"/>
      <c r="O96" s="298"/>
      <c r="P96" s="298"/>
      <c r="Q96" s="299"/>
      <c r="R96" s="300" t="s">
        <v>52</v>
      </c>
      <c r="S96" s="301"/>
      <c r="T96" s="301"/>
      <c r="U96" s="302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4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R11" sqref="R1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7" t="s">
        <v>77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9"/>
    </row>
    <row r="2" spans="1:44" ht="17.25" thickBot="1" x14ac:dyDescent="0.35">
      <c r="A2" s="337" t="s">
        <v>142</v>
      </c>
      <c r="B2" s="338"/>
      <c r="C2" s="338"/>
      <c r="D2" s="338"/>
      <c r="E2" s="338"/>
      <c r="F2" s="338"/>
      <c r="G2" s="339"/>
      <c r="H2" s="340" t="s">
        <v>49</v>
      </c>
      <c r="I2" s="341"/>
      <c r="J2" s="337" t="s">
        <v>143</v>
      </c>
      <c r="K2" s="339"/>
      <c r="L2" s="341" t="s">
        <v>96</v>
      </c>
      <c r="M2" s="342"/>
      <c r="N2" s="340"/>
      <c r="O2" s="338" t="s">
        <v>99</v>
      </c>
      <c r="P2" s="338"/>
      <c r="Q2" s="339"/>
      <c r="R2" s="341" t="s">
        <v>51</v>
      </c>
      <c r="S2" s="340"/>
      <c r="T2" s="329">
        <v>4</v>
      </c>
      <c r="U2" s="32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0" t="s">
        <v>8</v>
      </c>
      <c r="P4" s="330"/>
      <c r="Q4" s="330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10518</v>
      </c>
      <c r="C5" s="68" t="s">
        <v>145</v>
      </c>
      <c r="D5" s="200" t="s">
        <v>147</v>
      </c>
      <c r="E5" s="181" t="s">
        <v>92</v>
      </c>
      <c r="F5" s="170">
        <v>830</v>
      </c>
      <c r="G5" s="118" t="s">
        <v>117</v>
      </c>
      <c r="H5" s="91"/>
      <c r="I5" s="124">
        <v>75.75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76"/>
      <c r="P5" s="377"/>
      <c r="Q5" s="378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10519</v>
      </c>
      <c r="C6" s="67" t="s">
        <v>148</v>
      </c>
      <c r="D6" s="200" t="s">
        <v>149</v>
      </c>
      <c r="E6" s="181" t="s">
        <v>92</v>
      </c>
      <c r="F6" s="171">
        <v>940</v>
      </c>
      <c r="G6" s="118" t="s">
        <v>150</v>
      </c>
      <c r="H6" s="91">
        <v>300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1"/>
      <c r="P6" s="332"/>
      <c r="Q6" s="333"/>
      <c r="R6" s="132" t="s">
        <v>144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10520</v>
      </c>
      <c r="C7" s="67" t="s">
        <v>151</v>
      </c>
      <c r="D7" s="200" t="s">
        <v>152</v>
      </c>
      <c r="E7" s="181" t="s">
        <v>92</v>
      </c>
      <c r="F7" s="171">
        <v>950</v>
      </c>
      <c r="G7" s="118" t="s">
        <v>110</v>
      </c>
      <c r="H7" s="91"/>
      <c r="I7" s="124">
        <v>75.75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4"/>
      <c r="P7" s="303"/>
      <c r="Q7" s="305"/>
      <c r="R7" s="134" t="s">
        <v>100</v>
      </c>
      <c r="S7" s="31">
        <v>0.375</v>
      </c>
      <c r="T7" s="32">
        <v>0.67708333333333337</v>
      </c>
      <c r="U7" s="92">
        <f t="shared" si="0"/>
        <v>7.2500000000000009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10521</v>
      </c>
      <c r="C8" s="27" t="s">
        <v>153</v>
      </c>
      <c r="D8" s="200" t="s">
        <v>154</v>
      </c>
      <c r="E8" s="181" t="s">
        <v>92</v>
      </c>
      <c r="F8" s="171">
        <v>1015</v>
      </c>
      <c r="G8" s="118" t="s">
        <v>117</v>
      </c>
      <c r="H8" s="91"/>
      <c r="I8" s="124">
        <v>75.75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34"/>
      <c r="P8" s="335"/>
      <c r="Q8" s="336"/>
      <c r="R8" s="26" t="s">
        <v>111</v>
      </c>
      <c r="S8" s="31">
        <v>0.41666666666666669</v>
      </c>
      <c r="T8" s="32">
        <v>0.625</v>
      </c>
      <c r="U8" s="92">
        <f t="shared" si="0"/>
        <v>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10522</v>
      </c>
      <c r="C9" s="63" t="s">
        <v>155</v>
      </c>
      <c r="D9" s="201" t="s">
        <v>156</v>
      </c>
      <c r="E9" s="181" t="s">
        <v>92</v>
      </c>
      <c r="F9" s="172">
        <v>1015</v>
      </c>
      <c r="G9" s="119" t="s">
        <v>110</v>
      </c>
      <c r="H9" s="91"/>
      <c r="I9" s="91">
        <v>121.2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4"/>
      <c r="P9" s="335"/>
      <c r="Q9" s="336"/>
      <c r="R9" s="26" t="s">
        <v>146</v>
      </c>
      <c r="S9" s="31">
        <v>0.59375</v>
      </c>
      <c r="T9" s="32">
        <v>0.63541666666666663</v>
      </c>
      <c r="U9" s="92">
        <f t="shared" si="0"/>
        <v>0.99999999999999911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10523</v>
      </c>
      <c r="C10" s="28" t="s">
        <v>157</v>
      </c>
      <c r="D10" s="202" t="s">
        <v>158</v>
      </c>
      <c r="E10" s="181" t="s">
        <v>92</v>
      </c>
      <c r="F10" s="173">
        <v>1045</v>
      </c>
      <c r="G10" s="120" t="s">
        <v>110</v>
      </c>
      <c r="H10" s="123">
        <v>95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26"/>
      <c r="P10" s="327"/>
      <c r="Q10" s="328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10524</v>
      </c>
      <c r="C11" s="18" t="s">
        <v>159</v>
      </c>
      <c r="D11" s="203" t="s">
        <v>160</v>
      </c>
      <c r="E11" s="181" t="s">
        <v>92</v>
      </c>
      <c r="F11" s="66">
        <v>1115</v>
      </c>
      <c r="G11" s="121" t="s">
        <v>117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04"/>
      <c r="P11" s="303"/>
      <c r="Q11" s="305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10525</v>
      </c>
      <c r="C12" s="64" t="s">
        <v>161</v>
      </c>
      <c r="D12" s="204" t="s">
        <v>162</v>
      </c>
      <c r="E12" s="181" t="s">
        <v>91</v>
      </c>
      <c r="F12" s="173">
        <v>1125</v>
      </c>
      <c r="G12" s="119" t="s">
        <v>117</v>
      </c>
      <c r="H12" s="123">
        <v>150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04"/>
      <c r="P12" s="303"/>
      <c r="Q12" s="30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10526</v>
      </c>
      <c r="C13" s="64" t="s">
        <v>163</v>
      </c>
      <c r="D13" s="204" t="s">
        <v>164</v>
      </c>
      <c r="E13" s="181" t="s">
        <v>92</v>
      </c>
      <c r="F13" s="173">
        <v>1130</v>
      </c>
      <c r="G13" s="119" t="s">
        <v>150</v>
      </c>
      <c r="H13" s="169">
        <v>250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04"/>
      <c r="P13" s="303"/>
      <c r="Q13" s="30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10527</v>
      </c>
      <c r="C14" s="65" t="s">
        <v>165</v>
      </c>
      <c r="D14" s="205" t="s">
        <v>166</v>
      </c>
      <c r="E14" s="181" t="s">
        <v>92</v>
      </c>
      <c r="F14" s="174">
        <v>1305</v>
      </c>
      <c r="G14" s="122" t="s">
        <v>110</v>
      </c>
      <c r="H14" s="123">
        <v>90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04"/>
      <c r="P14" s="303"/>
      <c r="Q14" s="305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10528</v>
      </c>
      <c r="C15" s="65" t="s">
        <v>170</v>
      </c>
      <c r="D15" s="205" t="s">
        <v>171</v>
      </c>
      <c r="E15" s="181" t="s">
        <v>92</v>
      </c>
      <c r="F15" s="174">
        <v>1315</v>
      </c>
      <c r="G15" s="122" t="s">
        <v>110</v>
      </c>
      <c r="H15" s="123">
        <v>75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04"/>
      <c r="P15" s="303"/>
      <c r="Q15" s="305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10529</v>
      </c>
      <c r="C16" s="65" t="s">
        <v>167</v>
      </c>
      <c r="D16" s="205" t="s">
        <v>168</v>
      </c>
      <c r="E16" s="181" t="s">
        <v>91</v>
      </c>
      <c r="F16" s="174">
        <v>1330</v>
      </c>
      <c r="G16" s="122" t="s">
        <v>44</v>
      </c>
      <c r="H16" s="123"/>
      <c r="I16" s="124"/>
      <c r="J16" s="130">
        <v>110</v>
      </c>
      <c r="K16" s="130" t="str">
        <f t="shared" si="2"/>
        <v>0</v>
      </c>
      <c r="L16" s="131"/>
      <c r="M16" s="131"/>
      <c r="N16" s="134" t="s">
        <v>99</v>
      </c>
      <c r="O16" s="304" t="s">
        <v>169</v>
      </c>
      <c r="P16" s="303"/>
      <c r="Q16" s="305"/>
      <c r="R16" s="82">
        <f>H32/U16</f>
        <v>0.41599999999999993</v>
      </c>
      <c r="S16" s="83">
        <f>H32/(U16-U5)</f>
        <v>0.5842696629213483</v>
      </c>
      <c r="T16" s="83">
        <f>C32/U16</f>
        <v>50.830399999999997</v>
      </c>
      <c r="U16" s="83">
        <f>SUM(U5:U15)</f>
        <v>31.250000000000004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10530</v>
      </c>
      <c r="C17" s="18" t="s">
        <v>172</v>
      </c>
      <c r="D17" s="203" t="s">
        <v>173</v>
      </c>
      <c r="E17" s="181" t="s">
        <v>92</v>
      </c>
      <c r="F17" s="66">
        <v>1555</v>
      </c>
      <c r="G17" s="121" t="s">
        <v>110</v>
      </c>
      <c r="H17" s="123"/>
      <c r="I17" s="124">
        <v>95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04"/>
      <c r="P17" s="303"/>
      <c r="Q17" s="30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4"/>
      <c r="P18" s="303"/>
      <c r="Q18" s="30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4"/>
      <c r="P19" s="303"/>
      <c r="Q19" s="303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2"/>
      <c r="P20" s="373"/>
      <c r="Q20" s="37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4"/>
      <c r="P21" s="303"/>
      <c r="Q21" s="30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4"/>
      <c r="P22" s="303"/>
      <c r="Q22" s="305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0"/>
      <c r="Y23" s="371"/>
      <c r="Z23" s="371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4"/>
      <c r="P24" s="303"/>
      <c r="Q24" s="30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4"/>
      <c r="P25" s="303"/>
      <c r="Q25" s="305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4">
        <f>((C32+(R26+S26+T26)*0.5))</f>
        <v>1588.45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4"/>
      <c r="P26" s="303"/>
      <c r="Q26" s="305"/>
      <c r="R26" s="112">
        <f>R25*37.5</f>
        <v>0</v>
      </c>
      <c r="S26" s="102">
        <f>S25*41.5</f>
        <v>0</v>
      </c>
      <c r="T26" s="102">
        <f>T25*50</f>
        <v>0</v>
      </c>
      <c r="U26" s="37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4"/>
      <c r="P27" s="303"/>
      <c r="Q27" s="305"/>
      <c r="R27" s="367" t="s">
        <v>56</v>
      </c>
      <c r="S27" s="368"/>
      <c r="T27" s="368"/>
      <c r="U27" s="369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4"/>
      <c r="P28" s="303"/>
      <c r="Q28" s="305"/>
      <c r="R28" s="360"/>
      <c r="S28" s="361"/>
      <c r="T28" s="362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7"/>
      <c r="P29" s="348"/>
      <c r="Q29" s="349"/>
      <c r="R29" s="350"/>
      <c r="S29" s="351"/>
      <c r="T29" s="352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3" t="s">
        <v>48</v>
      </c>
      <c r="B30" s="354"/>
      <c r="C30" s="354"/>
      <c r="D30" s="354"/>
      <c r="E30" s="355"/>
      <c r="F30" s="354"/>
      <c r="G30" s="354"/>
      <c r="H30" s="264">
        <f t="shared" ref="H30:M30" si="3">SUM(H5:H29)</f>
        <v>960</v>
      </c>
      <c r="I30" s="105">
        <f>SUM(I5:I29)</f>
        <v>518.45000000000005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6"/>
      <c r="S30" s="356"/>
      <c r="T30" s="357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8" t="s">
        <v>16</v>
      </c>
      <c r="B31" s="359"/>
      <c r="C31" s="359"/>
      <c r="D31" s="359"/>
      <c r="E31" s="359"/>
      <c r="F31" s="359"/>
      <c r="G31" s="359"/>
      <c r="H31" s="265">
        <f t="shared" ref="H31:J31" si="4">H30+H62+H94</f>
        <v>960</v>
      </c>
      <c r="I31" s="103">
        <f t="shared" si="4"/>
        <v>518.45000000000005</v>
      </c>
      <c r="J31" s="103">
        <f t="shared" si="4"/>
        <v>110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6</v>
      </c>
      <c r="O31" s="104">
        <f>COUNT(I5:I29,I37:I61,I69:I93)</f>
        <v>6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960</v>
      </c>
      <c r="T31" s="343">
        <f>H31+I31+L31+M31</f>
        <v>1478.45</v>
      </c>
      <c r="U31" s="344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3" t="s">
        <v>55</v>
      </c>
      <c r="B32" s="364"/>
      <c r="C32" s="107">
        <f>H31+I31+J31+K31</f>
        <v>1588.45</v>
      </c>
      <c r="D32" s="196"/>
      <c r="E32" s="107"/>
      <c r="F32" s="365" t="s">
        <v>53</v>
      </c>
      <c r="G32" s="365"/>
      <c r="H32" s="109">
        <f>COUNT(B5:B29,B37:B61,B69:B93)</f>
        <v>13</v>
      </c>
      <c r="I32" s="366" t="s">
        <v>54</v>
      </c>
      <c r="J32" s="366"/>
      <c r="K32" s="108">
        <f>C32/H32</f>
        <v>122.18846153846154</v>
      </c>
      <c r="L32" s="260"/>
      <c r="M32" s="260"/>
      <c r="N32" s="260">
        <f>H31/C32</f>
        <v>0.60436274355503794</v>
      </c>
      <c r="O32" s="260">
        <f>I31/C32</f>
        <v>0.32638735874594732</v>
      </c>
      <c r="P32" s="260">
        <f>K31/C32</f>
        <v>0</v>
      </c>
      <c r="Q32" s="110">
        <f>J31/C32</f>
        <v>6.9249897699014767E-2</v>
      </c>
      <c r="R32" s="99" t="s">
        <v>82</v>
      </c>
      <c r="S32" s="266">
        <f>I31+M31</f>
        <v>518.45000000000005</v>
      </c>
      <c r="T32" s="345"/>
      <c r="U32" s="346"/>
      <c r="V32" s="55"/>
      <c r="W32" s="55"/>
      <c r="X32" s="56" t="s">
        <v>27</v>
      </c>
      <c r="Y32" s="56"/>
      <c r="Z32" s="54">
        <f>I31</f>
        <v>518.45000000000005</v>
      </c>
      <c r="AE32" s="37"/>
      <c r="AF32" s="37"/>
      <c r="AG32" s="37"/>
      <c r="AH32" s="37"/>
    </row>
    <row r="33" spans="1:34" ht="17.25" thickBot="1" x14ac:dyDescent="0.35">
      <c r="A33" s="297" t="s">
        <v>24</v>
      </c>
      <c r="B33" s="298"/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338"/>
      <c r="U33" s="339"/>
      <c r="X33" s="57" t="s">
        <v>29</v>
      </c>
      <c r="Y33" s="57"/>
      <c r="Z33" s="58">
        <f>SUM(Z31:Z32)</f>
        <v>-2226.5500000000002</v>
      </c>
      <c r="AE33" s="37"/>
      <c r="AF33" s="37"/>
      <c r="AG33" s="59"/>
      <c r="AH33" s="37"/>
    </row>
    <row r="34" spans="1:34" ht="17.25" thickBot="1" x14ac:dyDescent="0.35">
      <c r="A34" s="337" t="str">
        <f>A2</f>
        <v>9 - 8 - 2022</v>
      </c>
      <c r="B34" s="338"/>
      <c r="C34" s="338"/>
      <c r="D34" s="338"/>
      <c r="E34" s="338"/>
      <c r="F34" s="338"/>
      <c r="G34" s="339"/>
      <c r="H34" s="340" t="s">
        <v>49</v>
      </c>
      <c r="I34" s="341"/>
      <c r="J34" s="337" t="str">
        <f>J2</f>
        <v>SHOWER</v>
      </c>
      <c r="K34" s="339"/>
      <c r="L34" s="341" t="s">
        <v>50</v>
      </c>
      <c r="M34" s="342"/>
      <c r="N34" s="340"/>
      <c r="O34" s="338" t="str">
        <f>O2</f>
        <v>HENDRA</v>
      </c>
      <c r="P34" s="338"/>
      <c r="Q34" s="339"/>
      <c r="R34" s="341" t="s">
        <v>51</v>
      </c>
      <c r="S34" s="340"/>
      <c r="T34" s="329">
        <f>T2</f>
        <v>4</v>
      </c>
      <c r="U34" s="32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0" t="s">
        <v>8</v>
      </c>
      <c r="P36" s="330"/>
      <c r="Q36" s="330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4"/>
      <c r="P37" s="303"/>
      <c r="Q37" s="305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1"/>
      <c r="P38" s="332"/>
      <c r="Q38" s="333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4"/>
      <c r="P39" s="303"/>
      <c r="Q39" s="305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4"/>
      <c r="P40" s="335"/>
      <c r="Q40" s="336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4"/>
      <c r="P41" s="335"/>
      <c r="Q41" s="336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6"/>
      <c r="P42" s="327"/>
      <c r="Q42" s="328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4"/>
      <c r="P43" s="303"/>
      <c r="Q43" s="305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4"/>
      <c r="P44" s="303"/>
      <c r="Q44" s="305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4"/>
      <c r="P45" s="303"/>
      <c r="Q45" s="305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4"/>
      <c r="P46" s="303"/>
      <c r="Q46" s="305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4"/>
      <c r="P47" s="303"/>
      <c r="Q47" s="305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4"/>
      <c r="P48" s="303"/>
      <c r="Q48" s="305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4"/>
      <c r="P49" s="303"/>
      <c r="Q49" s="305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4"/>
      <c r="P50" s="303"/>
      <c r="Q50" s="305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4"/>
      <c r="P51" s="303"/>
      <c r="Q51" s="303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4"/>
      <c r="P52" s="303"/>
      <c r="Q52" s="303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5"/>
      <c r="P53" s="304"/>
      <c r="Q53" s="304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5"/>
      <c r="P54" s="304"/>
      <c r="Q54" s="304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5"/>
      <c r="P55" s="304"/>
      <c r="Q55" s="304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3"/>
      <c r="P56" s="303"/>
      <c r="Q56" s="303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4"/>
      <c r="P57" s="303"/>
      <c r="Q57" s="303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3"/>
      <c r="P58" s="303"/>
      <c r="Q58" s="303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3"/>
      <c r="P59" s="303"/>
      <c r="Q59" s="303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4"/>
      <c r="P60" s="303"/>
      <c r="Q60" s="305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6"/>
      <c r="P61" s="307"/>
      <c r="Q61" s="308"/>
      <c r="R61" s="81"/>
      <c r="S61" s="68"/>
      <c r="T61" s="68"/>
      <c r="U61" s="77"/>
    </row>
    <row r="62" spans="1:21" x14ac:dyDescent="0.3">
      <c r="A62" s="309" t="s">
        <v>48</v>
      </c>
      <c r="B62" s="310"/>
      <c r="C62" s="310"/>
      <c r="D62" s="310"/>
      <c r="E62" s="310"/>
      <c r="F62" s="310"/>
      <c r="G62" s="310"/>
      <c r="H62" s="310">
        <f t="shared" ref="H62:M62" si="8">SUM(H37:H61)</f>
        <v>0</v>
      </c>
      <c r="I62" s="316">
        <f t="shared" si="8"/>
        <v>0</v>
      </c>
      <c r="J62" s="316">
        <f>J61+J60+J59+J58+J57+J56+J55+J54+J53+J52+J51+J50+J49+J48+J47+J46+J45+J44+J43+J42+J41+J40+J39+J38+J37</f>
        <v>0</v>
      </c>
      <c r="K62" s="316">
        <f>K61+K60+K59+K58+K57+K56+K55+K54+K53+K52+K51+K50+K49+K48+K47+K46+K45+K44+K43+K42+K41+K40+K39+K38+K37</f>
        <v>0</v>
      </c>
      <c r="L62" s="319">
        <f t="shared" si="8"/>
        <v>0</v>
      </c>
      <c r="M62" s="322">
        <f t="shared" si="8"/>
        <v>0</v>
      </c>
      <c r="N62" s="291"/>
      <c r="O62" s="292"/>
      <c r="P62" s="292"/>
      <c r="Q62" s="293"/>
      <c r="R62" s="5"/>
      <c r="S62" s="6"/>
      <c r="T62" s="7"/>
      <c r="U62" s="8"/>
    </row>
    <row r="63" spans="1:21" ht="17.25" thickBot="1" x14ac:dyDescent="0.35">
      <c r="A63" s="312"/>
      <c r="B63" s="313"/>
      <c r="C63" s="313"/>
      <c r="D63" s="313"/>
      <c r="E63" s="313"/>
      <c r="F63" s="313"/>
      <c r="G63" s="313"/>
      <c r="H63" s="313"/>
      <c r="I63" s="317"/>
      <c r="J63" s="317"/>
      <c r="K63" s="317"/>
      <c r="L63" s="320"/>
      <c r="M63" s="323"/>
      <c r="N63" s="294"/>
      <c r="O63" s="295"/>
      <c r="P63" s="295"/>
      <c r="Q63" s="296"/>
      <c r="R63" s="1"/>
      <c r="S63" s="2"/>
      <c r="T63" s="3"/>
      <c r="U63" s="4"/>
    </row>
    <row r="64" spans="1:21" ht="17.25" thickBot="1" x14ac:dyDescent="0.35">
      <c r="A64" s="314"/>
      <c r="B64" s="315"/>
      <c r="C64" s="315"/>
      <c r="D64" s="315"/>
      <c r="E64" s="315"/>
      <c r="F64" s="315"/>
      <c r="G64" s="315"/>
      <c r="H64" s="315"/>
      <c r="I64" s="318"/>
      <c r="J64" s="318"/>
      <c r="K64" s="318"/>
      <c r="L64" s="321"/>
      <c r="M64" s="324"/>
      <c r="N64" s="297"/>
      <c r="O64" s="298"/>
      <c r="P64" s="298"/>
      <c r="Q64" s="299"/>
      <c r="R64" s="300" t="s">
        <v>17</v>
      </c>
      <c r="S64" s="301"/>
      <c r="T64" s="301"/>
      <c r="U64" s="302"/>
    </row>
    <row r="65" spans="1:21" ht="17.25" thickBot="1" x14ac:dyDescent="0.35">
      <c r="A65" s="337" t="s">
        <v>24</v>
      </c>
      <c r="B65" s="338"/>
      <c r="C65" s="338"/>
      <c r="D65" s="338"/>
      <c r="E65" s="338"/>
      <c r="F65" s="338"/>
      <c r="G65" s="338"/>
      <c r="H65" s="338"/>
      <c r="I65" s="338"/>
      <c r="J65" s="338"/>
      <c r="K65" s="338"/>
      <c r="L65" s="338"/>
      <c r="M65" s="338"/>
      <c r="N65" s="338"/>
      <c r="O65" s="338"/>
      <c r="P65" s="338"/>
      <c r="Q65" s="338"/>
      <c r="R65" s="338"/>
      <c r="S65" s="338"/>
      <c r="T65" s="338"/>
      <c r="U65" s="339"/>
    </row>
    <row r="66" spans="1:21" ht="17.25" thickBot="1" x14ac:dyDescent="0.35">
      <c r="A66" s="337" t="str">
        <f>A34</f>
        <v>9 - 8 - 2022</v>
      </c>
      <c r="B66" s="338"/>
      <c r="C66" s="338"/>
      <c r="D66" s="338"/>
      <c r="E66" s="338"/>
      <c r="F66" s="338"/>
      <c r="G66" s="339"/>
      <c r="H66" s="340" t="s">
        <v>49</v>
      </c>
      <c r="I66" s="341"/>
      <c r="J66" s="337" t="str">
        <f>J34</f>
        <v>SHOWER</v>
      </c>
      <c r="K66" s="339"/>
      <c r="L66" s="341" t="s">
        <v>50</v>
      </c>
      <c r="M66" s="342"/>
      <c r="N66" s="340"/>
      <c r="O66" s="338" t="str">
        <f>O34</f>
        <v>HENDRA</v>
      </c>
      <c r="P66" s="338"/>
      <c r="Q66" s="339"/>
      <c r="R66" s="341" t="s">
        <v>51</v>
      </c>
      <c r="S66" s="340"/>
      <c r="T66" s="329">
        <f>T34</f>
        <v>4</v>
      </c>
      <c r="U66" s="329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0" t="s">
        <v>8</v>
      </c>
      <c r="P68" s="330"/>
      <c r="Q68" s="330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4"/>
      <c r="P69" s="303"/>
      <c r="Q69" s="305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1"/>
      <c r="P70" s="332"/>
      <c r="Q70" s="333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4"/>
      <c r="P71" s="303"/>
      <c r="Q71" s="305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4"/>
      <c r="P72" s="335"/>
      <c r="Q72" s="336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4"/>
      <c r="P73" s="335"/>
      <c r="Q73" s="336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6"/>
      <c r="P74" s="327"/>
      <c r="Q74" s="328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4"/>
      <c r="P75" s="303"/>
      <c r="Q75" s="305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4"/>
      <c r="P76" s="303"/>
      <c r="Q76" s="305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4"/>
      <c r="P77" s="303"/>
      <c r="Q77" s="305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4"/>
      <c r="P78" s="303"/>
      <c r="Q78" s="305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4"/>
      <c r="P79" s="303"/>
      <c r="Q79" s="305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4"/>
      <c r="P80" s="303"/>
      <c r="Q80" s="305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4"/>
      <c r="P81" s="303"/>
      <c r="Q81" s="305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4"/>
      <c r="P82" s="303"/>
      <c r="Q82" s="305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4"/>
      <c r="P83" s="303"/>
      <c r="Q83" s="303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4"/>
      <c r="P84" s="303"/>
      <c r="Q84" s="303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5"/>
      <c r="P85" s="304"/>
      <c r="Q85" s="304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5"/>
      <c r="P86" s="304"/>
      <c r="Q86" s="304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5"/>
      <c r="P87" s="304"/>
      <c r="Q87" s="304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3"/>
      <c r="P88" s="303"/>
      <c r="Q88" s="303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4"/>
      <c r="P89" s="303"/>
      <c r="Q89" s="303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3"/>
      <c r="P90" s="303"/>
      <c r="Q90" s="303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3"/>
      <c r="P91" s="303"/>
      <c r="Q91" s="303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4"/>
      <c r="P92" s="303"/>
      <c r="Q92" s="305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6"/>
      <c r="P93" s="307"/>
      <c r="Q93" s="308"/>
      <c r="R93" s="81"/>
      <c r="S93" s="68"/>
      <c r="T93" s="68"/>
      <c r="U93" s="77"/>
    </row>
    <row r="94" spans="1:21" x14ac:dyDescent="0.3">
      <c r="A94" s="309" t="s">
        <v>48</v>
      </c>
      <c r="B94" s="310"/>
      <c r="C94" s="310"/>
      <c r="D94" s="310"/>
      <c r="E94" s="311"/>
      <c r="F94" s="310"/>
      <c r="G94" s="310"/>
      <c r="H94" s="310">
        <f t="shared" ref="H94:M94" si="12">SUM(H69:H93)</f>
        <v>0</v>
      </c>
      <c r="I94" s="316">
        <f t="shared" si="12"/>
        <v>0</v>
      </c>
      <c r="J94" s="316">
        <f>J93+J92+J91+J90+J89+J88+J87+J86+J85+J84+J83+J82+J81+J80+J79+J78+J77+J76+J75+J74+J73+J72+J71+J70+J69</f>
        <v>0</v>
      </c>
      <c r="K94" s="316">
        <f>K93+K92+K91+K90+K89+K88+K87+K86+K85+K84+K83+K82+K81+K80+K79+K78+K77+K76+K75+K74+K73+K72+K71+K70+K69</f>
        <v>0</v>
      </c>
      <c r="L94" s="319">
        <f t="shared" si="12"/>
        <v>0</v>
      </c>
      <c r="M94" s="322">
        <f t="shared" si="12"/>
        <v>0</v>
      </c>
      <c r="N94" s="291"/>
      <c r="O94" s="292"/>
      <c r="P94" s="292"/>
      <c r="Q94" s="293"/>
      <c r="R94" s="5"/>
      <c r="S94" s="6"/>
      <c r="T94" s="7"/>
      <c r="U94" s="8"/>
    </row>
    <row r="95" spans="1:21" ht="17.25" thickBot="1" x14ac:dyDescent="0.35">
      <c r="A95" s="312"/>
      <c r="B95" s="313"/>
      <c r="C95" s="313"/>
      <c r="D95" s="313"/>
      <c r="E95" s="313"/>
      <c r="F95" s="313"/>
      <c r="G95" s="313"/>
      <c r="H95" s="313"/>
      <c r="I95" s="317"/>
      <c r="J95" s="317"/>
      <c r="K95" s="317"/>
      <c r="L95" s="320"/>
      <c r="M95" s="323"/>
      <c r="N95" s="294"/>
      <c r="O95" s="295"/>
      <c r="P95" s="295"/>
      <c r="Q95" s="296"/>
      <c r="R95" s="1"/>
      <c r="S95" s="2"/>
      <c r="T95" s="3"/>
      <c r="U95" s="4"/>
    </row>
    <row r="96" spans="1:21" ht="17.25" thickBot="1" x14ac:dyDescent="0.35">
      <c r="A96" s="314"/>
      <c r="B96" s="315"/>
      <c r="C96" s="315"/>
      <c r="D96" s="315"/>
      <c r="E96" s="315"/>
      <c r="F96" s="315"/>
      <c r="G96" s="315"/>
      <c r="H96" s="315"/>
      <c r="I96" s="318"/>
      <c r="J96" s="318"/>
      <c r="K96" s="318"/>
      <c r="L96" s="321"/>
      <c r="M96" s="324"/>
      <c r="N96" s="297"/>
      <c r="O96" s="298"/>
      <c r="P96" s="298"/>
      <c r="Q96" s="299"/>
      <c r="R96" s="300" t="s">
        <v>52</v>
      </c>
      <c r="S96" s="301"/>
      <c r="T96" s="301"/>
      <c r="U96" s="302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4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R7" sqref="R7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7" t="s">
        <v>77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9"/>
    </row>
    <row r="2" spans="1:44" ht="17.25" thickBot="1" x14ac:dyDescent="0.35">
      <c r="A2" s="337" t="s">
        <v>174</v>
      </c>
      <c r="B2" s="338"/>
      <c r="C2" s="338"/>
      <c r="D2" s="338"/>
      <c r="E2" s="338"/>
      <c r="F2" s="338"/>
      <c r="G2" s="339"/>
      <c r="H2" s="340" t="s">
        <v>49</v>
      </c>
      <c r="I2" s="341"/>
      <c r="J2" s="337" t="s">
        <v>175</v>
      </c>
      <c r="K2" s="339"/>
      <c r="L2" s="341" t="s">
        <v>96</v>
      </c>
      <c r="M2" s="342"/>
      <c r="N2" s="340"/>
      <c r="O2" s="338" t="s">
        <v>98</v>
      </c>
      <c r="P2" s="338"/>
      <c r="Q2" s="339"/>
      <c r="R2" s="341" t="s">
        <v>51</v>
      </c>
      <c r="S2" s="340"/>
      <c r="T2" s="329">
        <v>5</v>
      </c>
      <c r="U2" s="32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0" t="s">
        <v>8</v>
      </c>
      <c r="P4" s="330"/>
      <c r="Q4" s="330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10531</v>
      </c>
      <c r="C5" s="68" t="s">
        <v>176</v>
      </c>
      <c r="D5" s="200"/>
      <c r="E5" s="181" t="s">
        <v>105</v>
      </c>
      <c r="F5" s="170">
        <v>855</v>
      </c>
      <c r="G5" s="118" t="s">
        <v>110</v>
      </c>
      <c r="H5" s="91">
        <v>75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98</v>
      </c>
      <c r="O5" s="376"/>
      <c r="P5" s="377"/>
      <c r="Q5" s="378"/>
      <c r="R5" s="33" t="s">
        <v>98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10532</v>
      </c>
      <c r="C6" s="67" t="s">
        <v>177</v>
      </c>
      <c r="D6" s="200" t="s">
        <v>178</v>
      </c>
      <c r="E6" s="181" t="s">
        <v>92</v>
      </c>
      <c r="F6" s="171">
        <v>925</v>
      </c>
      <c r="G6" s="118" t="s">
        <v>106</v>
      </c>
      <c r="H6" s="91"/>
      <c r="I6" s="124"/>
      <c r="J6" s="130" t="str">
        <f t="shared" ref="J6:J29" si="1">IF(G6="RSL","55","0")</f>
        <v>0</v>
      </c>
      <c r="K6" s="130">
        <v>79.099999999999994</v>
      </c>
      <c r="L6" s="131"/>
      <c r="M6" s="131"/>
      <c r="N6" s="134" t="s">
        <v>98</v>
      </c>
      <c r="O6" s="331" t="s">
        <v>179</v>
      </c>
      <c r="P6" s="332"/>
      <c r="Q6" s="333"/>
      <c r="R6" s="33" t="s">
        <v>99</v>
      </c>
      <c r="S6" s="31">
        <v>0.33333333333333331</v>
      </c>
      <c r="T6" s="32">
        <v>0.69791666666666663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267">
        <v>10533</v>
      </c>
      <c r="C7" s="268" t="s">
        <v>182</v>
      </c>
      <c r="D7" s="269" t="s">
        <v>183</v>
      </c>
      <c r="E7" s="270" t="s">
        <v>181</v>
      </c>
      <c r="F7" s="271">
        <v>945</v>
      </c>
      <c r="G7" s="267" t="s">
        <v>106</v>
      </c>
      <c r="H7" s="272"/>
      <c r="I7" s="272"/>
      <c r="J7" s="272" t="str">
        <f t="shared" si="1"/>
        <v>0</v>
      </c>
      <c r="K7" s="272">
        <v>79.099999999999994</v>
      </c>
      <c r="L7" s="273"/>
      <c r="M7" s="273">
        <v>479.75</v>
      </c>
      <c r="N7" s="274" t="s">
        <v>98</v>
      </c>
      <c r="O7" s="379" t="s">
        <v>180</v>
      </c>
      <c r="P7" s="380"/>
      <c r="Q7" s="381"/>
      <c r="R7" s="132" t="s">
        <v>144</v>
      </c>
      <c r="S7" s="31">
        <v>0.33333333333333331</v>
      </c>
      <c r="T7" s="32">
        <v>0.69791666666666663</v>
      </c>
      <c r="U7" s="92">
        <f t="shared" si="0"/>
        <v>8.75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10534</v>
      </c>
      <c r="C8" s="27" t="s">
        <v>184</v>
      </c>
      <c r="D8" s="200" t="s">
        <v>185</v>
      </c>
      <c r="E8" s="181" t="s">
        <v>91</v>
      </c>
      <c r="F8" s="171">
        <v>1030</v>
      </c>
      <c r="G8" s="118" t="s">
        <v>186</v>
      </c>
      <c r="H8" s="91">
        <v>280</v>
      </c>
      <c r="I8" s="124"/>
      <c r="J8" s="130" t="str">
        <f t="shared" si="1"/>
        <v>0</v>
      </c>
      <c r="K8" s="130" t="str">
        <f t="shared" ref="K8:K29" si="2">IF(G8="GVS","37.5",IF(G8="GVM","41.5",IF(G8="GVL","50",IF(G8="PCS","45.8",IF(G8="PCM","50",IF(G8="PCL","58.3","0"))))))</f>
        <v>0</v>
      </c>
      <c r="L8" s="131"/>
      <c r="M8" s="131"/>
      <c r="N8" s="134" t="s">
        <v>98</v>
      </c>
      <c r="O8" s="334"/>
      <c r="P8" s="335"/>
      <c r="Q8" s="336"/>
      <c r="R8" s="134" t="s">
        <v>100</v>
      </c>
      <c r="S8" s="31">
        <v>0.375</v>
      </c>
      <c r="T8" s="32">
        <v>0.66666666666666663</v>
      </c>
      <c r="U8" s="92">
        <f t="shared" si="0"/>
        <v>6.9999999999999991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10535</v>
      </c>
      <c r="C9" s="63" t="s">
        <v>187</v>
      </c>
      <c r="D9" s="201" t="s">
        <v>188</v>
      </c>
      <c r="E9" s="181" t="s">
        <v>92</v>
      </c>
      <c r="F9" s="172">
        <v>1100</v>
      </c>
      <c r="G9" s="119" t="s">
        <v>132</v>
      </c>
      <c r="H9" s="91"/>
      <c r="I9" s="91">
        <v>50.5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98</v>
      </c>
      <c r="O9" s="334"/>
      <c r="P9" s="335"/>
      <c r="Q9" s="336"/>
      <c r="R9" s="26" t="s">
        <v>101</v>
      </c>
      <c r="S9" s="31">
        <v>0.35416666666666669</v>
      </c>
      <c r="T9" s="32">
        <v>0.4375</v>
      </c>
      <c r="U9" s="92">
        <f t="shared" si="0"/>
        <v>1.9999999999999996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10536</v>
      </c>
      <c r="C10" s="28" t="s">
        <v>189</v>
      </c>
      <c r="D10" s="202" t="s">
        <v>190</v>
      </c>
      <c r="E10" s="181" t="s">
        <v>91</v>
      </c>
      <c r="F10" s="173">
        <v>1115</v>
      </c>
      <c r="G10" s="120" t="s">
        <v>191</v>
      </c>
      <c r="H10" s="123">
        <v>420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98</v>
      </c>
      <c r="O10" s="326"/>
      <c r="P10" s="327"/>
      <c r="Q10" s="328"/>
      <c r="R10" s="26"/>
      <c r="S10" s="31">
        <v>0.66666666666666663</v>
      </c>
      <c r="T10" s="32">
        <v>0.69791666666666663</v>
      </c>
      <c r="U10" s="92">
        <f t="shared" si="0"/>
        <v>0.75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10537</v>
      </c>
      <c r="C11" s="18" t="s">
        <v>192</v>
      </c>
      <c r="D11" s="203" t="s">
        <v>193</v>
      </c>
      <c r="E11" s="181" t="s">
        <v>92</v>
      </c>
      <c r="F11" s="66">
        <v>1120</v>
      </c>
      <c r="G11" s="121" t="s">
        <v>132</v>
      </c>
      <c r="H11" s="123">
        <v>60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98</v>
      </c>
      <c r="O11" s="304"/>
      <c r="P11" s="303"/>
      <c r="Q11" s="305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10538</v>
      </c>
      <c r="C12" s="64" t="s">
        <v>194</v>
      </c>
      <c r="D12" s="204" t="s">
        <v>195</v>
      </c>
      <c r="E12" s="181" t="s">
        <v>92</v>
      </c>
      <c r="F12" s="173">
        <v>1200</v>
      </c>
      <c r="G12" s="119" t="s">
        <v>110</v>
      </c>
      <c r="H12" s="123">
        <v>95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98</v>
      </c>
      <c r="O12" s="304"/>
      <c r="P12" s="303"/>
      <c r="Q12" s="30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10539</v>
      </c>
      <c r="C13" s="64" t="s">
        <v>196</v>
      </c>
      <c r="D13" s="204" t="s">
        <v>197</v>
      </c>
      <c r="E13" s="181" t="s">
        <v>91</v>
      </c>
      <c r="F13" s="173">
        <v>1210</v>
      </c>
      <c r="G13" s="119" t="s">
        <v>125</v>
      </c>
      <c r="H13" s="169">
        <v>100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98</v>
      </c>
      <c r="O13" s="304"/>
      <c r="P13" s="303"/>
      <c r="Q13" s="30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10540</v>
      </c>
      <c r="C14" s="65" t="s">
        <v>198</v>
      </c>
      <c r="D14" s="205" t="s">
        <v>199</v>
      </c>
      <c r="E14" s="181" t="s">
        <v>92</v>
      </c>
      <c r="F14" s="174">
        <v>1230</v>
      </c>
      <c r="G14" s="122" t="s">
        <v>125</v>
      </c>
      <c r="H14" s="123"/>
      <c r="I14" s="125">
        <v>150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98</v>
      </c>
      <c r="O14" s="304"/>
      <c r="P14" s="303"/>
      <c r="Q14" s="305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10541</v>
      </c>
      <c r="C15" s="65" t="s">
        <v>200</v>
      </c>
      <c r="D15" s="205" t="s">
        <v>201</v>
      </c>
      <c r="E15" s="181" t="s">
        <v>92</v>
      </c>
      <c r="F15" s="174">
        <v>1300</v>
      </c>
      <c r="G15" s="122" t="s">
        <v>117</v>
      </c>
      <c r="H15" s="123">
        <v>75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98</v>
      </c>
      <c r="O15" s="304"/>
      <c r="P15" s="303"/>
      <c r="Q15" s="305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10542</v>
      </c>
      <c r="C16" s="65" t="s">
        <v>202</v>
      </c>
      <c r="D16" s="205" t="s">
        <v>203</v>
      </c>
      <c r="E16" s="181" t="s">
        <v>92</v>
      </c>
      <c r="F16" s="174">
        <v>1300</v>
      </c>
      <c r="G16" s="122" t="s">
        <v>117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98</v>
      </c>
      <c r="O16" s="304"/>
      <c r="P16" s="303"/>
      <c r="Q16" s="305"/>
      <c r="R16" s="82">
        <f>H32/U16</f>
        <v>0.3888888888888889</v>
      </c>
      <c r="S16" s="83">
        <f>H32/(U16-U5)</f>
        <v>0.51376146788990829</v>
      </c>
      <c r="T16" s="83">
        <f>C32/U16</f>
        <v>48.297222222222224</v>
      </c>
      <c r="U16" s="83">
        <f>SUM(U5:U15)</f>
        <v>36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10543</v>
      </c>
      <c r="C17" s="18" t="s">
        <v>204</v>
      </c>
      <c r="D17" s="203" t="s">
        <v>205</v>
      </c>
      <c r="E17" s="181" t="s">
        <v>92</v>
      </c>
      <c r="F17" s="66">
        <v>1300</v>
      </c>
      <c r="G17" s="121" t="s">
        <v>125</v>
      </c>
      <c r="H17" s="123">
        <v>150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98</v>
      </c>
      <c r="O17" s="304"/>
      <c r="P17" s="303"/>
      <c r="Q17" s="30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10544</v>
      </c>
      <c r="C18" s="18" t="s">
        <v>206</v>
      </c>
      <c r="D18" s="203" t="s">
        <v>207</v>
      </c>
      <c r="E18" s="181" t="s">
        <v>91</v>
      </c>
      <c r="F18" s="66">
        <v>1315</v>
      </c>
      <c r="G18" s="20" t="s">
        <v>110</v>
      </c>
      <c r="H18" s="123"/>
      <c r="I18" s="124">
        <v>50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98</v>
      </c>
      <c r="O18" s="304"/>
      <c r="P18" s="303"/>
      <c r="Q18" s="30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4"/>
      <c r="P19" s="303"/>
      <c r="Q19" s="303"/>
      <c r="R19" s="93" t="s">
        <v>45</v>
      </c>
      <c r="S19" s="94">
        <f>COUNT(L5:M29,L37:M61,L69:M93)</f>
        <v>1</v>
      </c>
      <c r="T19" s="116">
        <f>SUM(L5:M29,L37:M61,L69:M93)</f>
        <v>479.75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2"/>
      <c r="P20" s="373"/>
      <c r="Q20" s="37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4"/>
      <c r="P21" s="303"/>
      <c r="Q21" s="30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4"/>
      <c r="P22" s="303"/>
      <c r="Q22" s="305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0"/>
      <c r="Y23" s="371"/>
      <c r="Z23" s="371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4"/>
      <c r="P24" s="303"/>
      <c r="Q24" s="30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4"/>
      <c r="P25" s="303"/>
      <c r="Q25" s="305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4">
        <f>((C32+(R26+S26+T26)*0.5))</f>
        <v>1738.7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4"/>
      <c r="P26" s="303"/>
      <c r="Q26" s="305"/>
      <c r="R26" s="112">
        <f>R25*37.5</f>
        <v>0</v>
      </c>
      <c r="S26" s="102">
        <f>S25*41.5</f>
        <v>0</v>
      </c>
      <c r="T26" s="102">
        <f>T25*50</f>
        <v>0</v>
      </c>
      <c r="U26" s="37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4"/>
      <c r="P27" s="303"/>
      <c r="Q27" s="305"/>
      <c r="R27" s="367" t="s">
        <v>56</v>
      </c>
      <c r="S27" s="368"/>
      <c r="T27" s="368"/>
      <c r="U27" s="369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4"/>
      <c r="P28" s="303"/>
      <c r="Q28" s="305"/>
      <c r="R28" s="360"/>
      <c r="S28" s="361"/>
      <c r="T28" s="362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7"/>
      <c r="P29" s="348"/>
      <c r="Q29" s="349"/>
      <c r="R29" s="350"/>
      <c r="S29" s="351"/>
      <c r="T29" s="352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3" t="s">
        <v>48</v>
      </c>
      <c r="B30" s="354"/>
      <c r="C30" s="354"/>
      <c r="D30" s="354"/>
      <c r="E30" s="355"/>
      <c r="F30" s="354"/>
      <c r="G30" s="354"/>
      <c r="H30" s="264">
        <f t="shared" ref="H30:M30" si="3">SUM(H5:H29)</f>
        <v>1255</v>
      </c>
      <c r="I30" s="105">
        <f>SUM(I5:I29)</f>
        <v>325.5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158.19999999999999</v>
      </c>
      <c r="L30" s="106">
        <f t="shared" si="3"/>
        <v>0</v>
      </c>
      <c r="M30" s="106">
        <f t="shared" si="3"/>
        <v>479.75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6"/>
      <c r="S30" s="356"/>
      <c r="T30" s="357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8" t="s">
        <v>16</v>
      </c>
      <c r="B31" s="359"/>
      <c r="C31" s="359"/>
      <c r="D31" s="359"/>
      <c r="E31" s="359"/>
      <c r="F31" s="359"/>
      <c r="G31" s="359"/>
      <c r="H31" s="265">
        <f t="shared" ref="H31:J31" si="4">H30+H62+H94</f>
        <v>1255</v>
      </c>
      <c r="I31" s="103">
        <f t="shared" si="4"/>
        <v>325.5</v>
      </c>
      <c r="J31" s="103">
        <f t="shared" si="4"/>
        <v>0</v>
      </c>
      <c r="K31" s="103">
        <f>K30+K62+K94</f>
        <v>158.19999999999999</v>
      </c>
      <c r="L31" s="97">
        <f>L30+L62+L94</f>
        <v>0</v>
      </c>
      <c r="M31" s="97">
        <f>M30+M62+M94</f>
        <v>479.75</v>
      </c>
      <c r="N31" s="262">
        <f>COUNT(H5:H29,H37:H61,H69:H93)</f>
        <v>8</v>
      </c>
      <c r="O31" s="104">
        <f>COUNT(I5:I29,I37:I61,I69:I93)</f>
        <v>4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1255</v>
      </c>
      <c r="T31" s="343">
        <f>H31+I31+L31+M31</f>
        <v>2060.25</v>
      </c>
      <c r="U31" s="344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3" t="s">
        <v>55</v>
      </c>
      <c r="B32" s="364"/>
      <c r="C32" s="107">
        <f>H31+I31+J31+K31</f>
        <v>1738.7</v>
      </c>
      <c r="D32" s="196"/>
      <c r="E32" s="107"/>
      <c r="F32" s="365" t="s">
        <v>53</v>
      </c>
      <c r="G32" s="365"/>
      <c r="H32" s="109">
        <f>COUNT(B5:B29,B37:B61,B69:B93)</f>
        <v>14</v>
      </c>
      <c r="I32" s="366" t="s">
        <v>54</v>
      </c>
      <c r="J32" s="366"/>
      <c r="K32" s="108">
        <f>C32/H32</f>
        <v>124.19285714285715</v>
      </c>
      <c r="L32" s="260"/>
      <c r="M32" s="260"/>
      <c r="N32" s="260">
        <f>H31/C32</f>
        <v>0.72180364640248462</v>
      </c>
      <c r="O32" s="260">
        <f>I31/C32</f>
        <v>0.18720883418646114</v>
      </c>
      <c r="P32" s="260">
        <f>K31/C32</f>
        <v>9.0987519411054221E-2</v>
      </c>
      <c r="Q32" s="110">
        <f>J31/C32</f>
        <v>0</v>
      </c>
      <c r="R32" s="99" t="s">
        <v>82</v>
      </c>
      <c r="S32" s="266">
        <f>I31+M31</f>
        <v>805.25</v>
      </c>
      <c r="T32" s="345"/>
      <c r="U32" s="346"/>
      <c r="V32" s="55"/>
      <c r="W32" s="55"/>
      <c r="X32" s="56" t="s">
        <v>27</v>
      </c>
      <c r="Y32" s="56"/>
      <c r="Z32" s="54">
        <f>I31</f>
        <v>325.5</v>
      </c>
      <c r="AE32" s="37"/>
      <c r="AF32" s="37"/>
      <c r="AG32" s="37"/>
      <c r="AH32" s="37"/>
    </row>
    <row r="33" spans="1:34" ht="17.25" thickBot="1" x14ac:dyDescent="0.35">
      <c r="A33" s="297" t="s">
        <v>24</v>
      </c>
      <c r="B33" s="298"/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338"/>
      <c r="U33" s="339"/>
      <c r="X33" s="57" t="s">
        <v>29</v>
      </c>
      <c r="Y33" s="57"/>
      <c r="Z33" s="58">
        <f>SUM(Z31:Z32)</f>
        <v>-2419.5</v>
      </c>
      <c r="AE33" s="37"/>
      <c r="AF33" s="37"/>
      <c r="AG33" s="59"/>
      <c r="AH33" s="37"/>
    </row>
    <row r="34" spans="1:34" ht="17.25" thickBot="1" x14ac:dyDescent="0.35">
      <c r="A34" s="337" t="str">
        <f>A2</f>
        <v>10-08-2022</v>
      </c>
      <c r="B34" s="338"/>
      <c r="C34" s="338"/>
      <c r="D34" s="338"/>
      <c r="E34" s="338"/>
      <c r="F34" s="338"/>
      <c r="G34" s="339"/>
      <c r="H34" s="340" t="s">
        <v>49</v>
      </c>
      <c r="I34" s="341"/>
      <c r="J34" s="337" t="str">
        <f>J2</f>
        <v>MIX</v>
      </c>
      <c r="K34" s="339"/>
      <c r="L34" s="341" t="s">
        <v>50</v>
      </c>
      <c r="M34" s="342"/>
      <c r="N34" s="340"/>
      <c r="O34" s="338" t="str">
        <f>O2</f>
        <v>JOHN</v>
      </c>
      <c r="P34" s="338"/>
      <c r="Q34" s="339"/>
      <c r="R34" s="341" t="s">
        <v>51</v>
      </c>
      <c r="S34" s="340"/>
      <c r="T34" s="329">
        <f>T2</f>
        <v>5</v>
      </c>
      <c r="U34" s="32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0" t="s">
        <v>8</v>
      </c>
      <c r="P36" s="330"/>
      <c r="Q36" s="330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4"/>
      <c r="P37" s="303"/>
      <c r="Q37" s="305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1"/>
      <c r="P38" s="332"/>
      <c r="Q38" s="333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4"/>
      <c r="P39" s="303"/>
      <c r="Q39" s="305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4"/>
      <c r="P40" s="335"/>
      <c r="Q40" s="336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4"/>
      <c r="P41" s="335"/>
      <c r="Q41" s="336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6"/>
      <c r="P42" s="327"/>
      <c r="Q42" s="328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4"/>
      <c r="P43" s="303"/>
      <c r="Q43" s="305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4"/>
      <c r="P44" s="303"/>
      <c r="Q44" s="305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4"/>
      <c r="P45" s="303"/>
      <c r="Q45" s="305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4"/>
      <c r="P46" s="303"/>
      <c r="Q46" s="305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4"/>
      <c r="P47" s="303"/>
      <c r="Q47" s="305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4"/>
      <c r="P48" s="303"/>
      <c r="Q48" s="305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4"/>
      <c r="P49" s="303"/>
      <c r="Q49" s="305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4"/>
      <c r="P50" s="303"/>
      <c r="Q50" s="305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4"/>
      <c r="P51" s="303"/>
      <c r="Q51" s="303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4"/>
      <c r="P52" s="303"/>
      <c r="Q52" s="303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5"/>
      <c r="P53" s="304"/>
      <c r="Q53" s="304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5"/>
      <c r="P54" s="304"/>
      <c r="Q54" s="304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5"/>
      <c r="P55" s="304"/>
      <c r="Q55" s="304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3"/>
      <c r="P56" s="303"/>
      <c r="Q56" s="303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4"/>
      <c r="P57" s="303"/>
      <c r="Q57" s="303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3"/>
      <c r="P58" s="303"/>
      <c r="Q58" s="303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3"/>
      <c r="P59" s="303"/>
      <c r="Q59" s="303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4"/>
      <c r="P60" s="303"/>
      <c r="Q60" s="305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6"/>
      <c r="P61" s="307"/>
      <c r="Q61" s="308"/>
      <c r="R61" s="81"/>
      <c r="S61" s="68"/>
      <c r="T61" s="68"/>
      <c r="U61" s="77"/>
    </row>
    <row r="62" spans="1:21" x14ac:dyDescent="0.3">
      <c r="A62" s="309" t="s">
        <v>48</v>
      </c>
      <c r="B62" s="310"/>
      <c r="C62" s="310"/>
      <c r="D62" s="310"/>
      <c r="E62" s="310"/>
      <c r="F62" s="310"/>
      <c r="G62" s="310"/>
      <c r="H62" s="310">
        <f t="shared" ref="H62:M62" si="8">SUM(H37:H61)</f>
        <v>0</v>
      </c>
      <c r="I62" s="316">
        <f t="shared" si="8"/>
        <v>0</v>
      </c>
      <c r="J62" s="316">
        <f>J61+J60+J59+J58+J57+J56+J55+J54+J53+J52+J51+J50+J49+J48+J47+J46+J45+J44+J43+J42+J41+J40+J39+J38+J37</f>
        <v>0</v>
      </c>
      <c r="K62" s="316">
        <f>K61+K60+K59+K58+K57+K56+K55+K54+K53+K52+K51+K50+K49+K48+K47+K46+K45+K44+K43+K42+K41+K40+K39+K38+K37</f>
        <v>0</v>
      </c>
      <c r="L62" s="319">
        <f t="shared" si="8"/>
        <v>0</v>
      </c>
      <c r="M62" s="322">
        <f t="shared" si="8"/>
        <v>0</v>
      </c>
      <c r="N62" s="291"/>
      <c r="O62" s="292"/>
      <c r="P62" s="292"/>
      <c r="Q62" s="293"/>
      <c r="R62" s="5"/>
      <c r="S62" s="6"/>
      <c r="T62" s="7"/>
      <c r="U62" s="8"/>
    </row>
    <row r="63" spans="1:21" ht="17.25" thickBot="1" x14ac:dyDescent="0.35">
      <c r="A63" s="312"/>
      <c r="B63" s="313"/>
      <c r="C63" s="313"/>
      <c r="D63" s="313"/>
      <c r="E63" s="313"/>
      <c r="F63" s="313"/>
      <c r="G63" s="313"/>
      <c r="H63" s="313"/>
      <c r="I63" s="317"/>
      <c r="J63" s="317"/>
      <c r="K63" s="317"/>
      <c r="L63" s="320"/>
      <c r="M63" s="323"/>
      <c r="N63" s="294"/>
      <c r="O63" s="295"/>
      <c r="P63" s="295"/>
      <c r="Q63" s="296"/>
      <c r="R63" s="1"/>
      <c r="S63" s="2"/>
      <c r="T63" s="3"/>
      <c r="U63" s="4"/>
    </row>
    <row r="64" spans="1:21" ht="17.25" thickBot="1" x14ac:dyDescent="0.35">
      <c r="A64" s="314"/>
      <c r="B64" s="315"/>
      <c r="C64" s="315"/>
      <c r="D64" s="315"/>
      <c r="E64" s="315"/>
      <c r="F64" s="315"/>
      <c r="G64" s="315"/>
      <c r="H64" s="315"/>
      <c r="I64" s="318"/>
      <c r="J64" s="318"/>
      <c r="K64" s="318"/>
      <c r="L64" s="321"/>
      <c r="M64" s="324"/>
      <c r="N64" s="297"/>
      <c r="O64" s="298"/>
      <c r="P64" s="298"/>
      <c r="Q64" s="299"/>
      <c r="R64" s="300" t="s">
        <v>17</v>
      </c>
      <c r="S64" s="301"/>
      <c r="T64" s="301"/>
      <c r="U64" s="302"/>
    </row>
    <row r="65" spans="1:21" ht="17.25" thickBot="1" x14ac:dyDescent="0.35">
      <c r="A65" s="337" t="s">
        <v>24</v>
      </c>
      <c r="B65" s="338"/>
      <c r="C65" s="338"/>
      <c r="D65" s="338"/>
      <c r="E65" s="338"/>
      <c r="F65" s="338"/>
      <c r="G65" s="338"/>
      <c r="H65" s="338"/>
      <c r="I65" s="338"/>
      <c r="J65" s="338"/>
      <c r="K65" s="338"/>
      <c r="L65" s="338"/>
      <c r="M65" s="338"/>
      <c r="N65" s="338"/>
      <c r="O65" s="338"/>
      <c r="P65" s="338"/>
      <c r="Q65" s="338"/>
      <c r="R65" s="338"/>
      <c r="S65" s="338"/>
      <c r="T65" s="338"/>
      <c r="U65" s="339"/>
    </row>
    <row r="66" spans="1:21" ht="17.25" thickBot="1" x14ac:dyDescent="0.35">
      <c r="A66" s="337" t="str">
        <f>A34</f>
        <v>10-08-2022</v>
      </c>
      <c r="B66" s="338"/>
      <c r="C66" s="338"/>
      <c r="D66" s="338"/>
      <c r="E66" s="338"/>
      <c r="F66" s="338"/>
      <c r="G66" s="339"/>
      <c r="H66" s="340" t="s">
        <v>49</v>
      </c>
      <c r="I66" s="341"/>
      <c r="J66" s="337" t="str">
        <f>J34</f>
        <v>MIX</v>
      </c>
      <c r="K66" s="339"/>
      <c r="L66" s="341" t="s">
        <v>50</v>
      </c>
      <c r="M66" s="342"/>
      <c r="N66" s="340"/>
      <c r="O66" s="338" t="str">
        <f>O34</f>
        <v>JOHN</v>
      </c>
      <c r="P66" s="338"/>
      <c r="Q66" s="339"/>
      <c r="R66" s="341" t="s">
        <v>51</v>
      </c>
      <c r="S66" s="340"/>
      <c r="T66" s="329">
        <f>T34</f>
        <v>5</v>
      </c>
      <c r="U66" s="329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0" t="s">
        <v>8</v>
      </c>
      <c r="P68" s="330"/>
      <c r="Q68" s="330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4"/>
      <c r="P69" s="303"/>
      <c r="Q69" s="305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1"/>
      <c r="P70" s="332"/>
      <c r="Q70" s="333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4"/>
      <c r="P71" s="303"/>
      <c r="Q71" s="305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4"/>
      <c r="P72" s="335"/>
      <c r="Q72" s="336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4"/>
      <c r="P73" s="335"/>
      <c r="Q73" s="336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6"/>
      <c r="P74" s="327"/>
      <c r="Q74" s="328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4"/>
      <c r="P75" s="303"/>
      <c r="Q75" s="305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4"/>
      <c r="P76" s="303"/>
      <c r="Q76" s="305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4"/>
      <c r="P77" s="303"/>
      <c r="Q77" s="305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4"/>
      <c r="P78" s="303"/>
      <c r="Q78" s="305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4"/>
      <c r="P79" s="303"/>
      <c r="Q79" s="305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4"/>
      <c r="P80" s="303"/>
      <c r="Q80" s="305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4"/>
      <c r="P81" s="303"/>
      <c r="Q81" s="305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4"/>
      <c r="P82" s="303"/>
      <c r="Q82" s="305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4"/>
      <c r="P83" s="303"/>
      <c r="Q83" s="303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4"/>
      <c r="P84" s="303"/>
      <c r="Q84" s="303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5"/>
      <c r="P85" s="304"/>
      <c r="Q85" s="304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5"/>
      <c r="P86" s="304"/>
      <c r="Q86" s="304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5"/>
      <c r="P87" s="304"/>
      <c r="Q87" s="304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3"/>
      <c r="P88" s="303"/>
      <c r="Q88" s="303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4"/>
      <c r="P89" s="303"/>
      <c r="Q89" s="303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3"/>
      <c r="P90" s="303"/>
      <c r="Q90" s="303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3"/>
      <c r="P91" s="303"/>
      <c r="Q91" s="303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4"/>
      <c r="P92" s="303"/>
      <c r="Q92" s="305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6"/>
      <c r="P93" s="307"/>
      <c r="Q93" s="308"/>
      <c r="R93" s="81"/>
      <c r="S93" s="68"/>
      <c r="T93" s="68"/>
      <c r="U93" s="77"/>
    </row>
    <row r="94" spans="1:21" x14ac:dyDescent="0.3">
      <c r="A94" s="309" t="s">
        <v>48</v>
      </c>
      <c r="B94" s="310"/>
      <c r="C94" s="310"/>
      <c r="D94" s="310"/>
      <c r="E94" s="311"/>
      <c r="F94" s="310"/>
      <c r="G94" s="310"/>
      <c r="H94" s="310">
        <f t="shared" ref="H94:M94" si="12">SUM(H69:H93)</f>
        <v>0</v>
      </c>
      <c r="I94" s="316">
        <f t="shared" si="12"/>
        <v>0</v>
      </c>
      <c r="J94" s="316">
        <f>J93+J92+J91+J90+J89+J88+J87+J86+J85+J84+J83+J82+J81+J80+J79+J78+J77+J76+J75+J74+J73+J72+J71+J70+J69</f>
        <v>0</v>
      </c>
      <c r="K94" s="316">
        <f>K93+K92+K91+K90+K89+K88+K87+K86+K85+K84+K83+K82+K81+K80+K79+K78+K77+K76+K75+K74+K73+K72+K71+K70+K69</f>
        <v>0</v>
      </c>
      <c r="L94" s="319">
        <f t="shared" si="12"/>
        <v>0</v>
      </c>
      <c r="M94" s="322">
        <f t="shared" si="12"/>
        <v>0</v>
      </c>
      <c r="N94" s="291"/>
      <c r="O94" s="292"/>
      <c r="P94" s="292"/>
      <c r="Q94" s="293"/>
      <c r="R94" s="5"/>
      <c r="S94" s="6"/>
      <c r="T94" s="7"/>
      <c r="U94" s="8"/>
    </row>
    <row r="95" spans="1:21" ht="17.25" thickBot="1" x14ac:dyDescent="0.35">
      <c r="A95" s="312"/>
      <c r="B95" s="313"/>
      <c r="C95" s="313"/>
      <c r="D95" s="313"/>
      <c r="E95" s="313"/>
      <c r="F95" s="313"/>
      <c r="G95" s="313"/>
      <c r="H95" s="313"/>
      <c r="I95" s="317"/>
      <c r="J95" s="317"/>
      <c r="K95" s="317"/>
      <c r="L95" s="320"/>
      <c r="M95" s="323"/>
      <c r="N95" s="294"/>
      <c r="O95" s="295"/>
      <c r="P95" s="295"/>
      <c r="Q95" s="296"/>
      <c r="R95" s="1"/>
      <c r="S95" s="2"/>
      <c r="T95" s="3"/>
      <c r="U95" s="4"/>
    </row>
    <row r="96" spans="1:21" ht="17.25" thickBot="1" x14ac:dyDescent="0.35">
      <c r="A96" s="314"/>
      <c r="B96" s="315"/>
      <c r="C96" s="315"/>
      <c r="D96" s="315"/>
      <c r="E96" s="315"/>
      <c r="F96" s="315"/>
      <c r="G96" s="315"/>
      <c r="H96" s="315"/>
      <c r="I96" s="318"/>
      <c r="J96" s="318"/>
      <c r="K96" s="318"/>
      <c r="L96" s="321"/>
      <c r="M96" s="324"/>
      <c r="N96" s="297"/>
      <c r="O96" s="298"/>
      <c r="P96" s="298"/>
      <c r="Q96" s="299"/>
      <c r="R96" s="300" t="s">
        <v>52</v>
      </c>
      <c r="S96" s="301"/>
      <c r="T96" s="301"/>
      <c r="U96" s="302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T8" sqref="T8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7" t="s">
        <v>77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9"/>
    </row>
    <row r="2" spans="1:44" ht="17.25" thickBot="1" x14ac:dyDescent="0.35">
      <c r="A2" s="337" t="s">
        <v>208</v>
      </c>
      <c r="B2" s="338"/>
      <c r="C2" s="338"/>
      <c r="D2" s="338"/>
      <c r="E2" s="338"/>
      <c r="F2" s="338"/>
      <c r="G2" s="339"/>
      <c r="H2" s="340" t="s">
        <v>49</v>
      </c>
      <c r="I2" s="341"/>
      <c r="J2" s="337" t="s">
        <v>209</v>
      </c>
      <c r="K2" s="339"/>
      <c r="L2" s="341" t="s">
        <v>96</v>
      </c>
      <c r="M2" s="342"/>
      <c r="N2" s="340"/>
      <c r="O2" s="338" t="s">
        <v>98</v>
      </c>
      <c r="P2" s="338"/>
      <c r="Q2" s="339"/>
      <c r="R2" s="341" t="s">
        <v>51</v>
      </c>
      <c r="S2" s="340"/>
      <c r="T2" s="329">
        <v>4</v>
      </c>
      <c r="U2" s="32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0" t="s">
        <v>8</v>
      </c>
      <c r="P4" s="330"/>
      <c r="Q4" s="330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10545</v>
      </c>
      <c r="C5" s="68" t="s">
        <v>211</v>
      </c>
      <c r="D5" s="200" t="s">
        <v>212</v>
      </c>
      <c r="E5" s="181" t="s">
        <v>181</v>
      </c>
      <c r="F5" s="170">
        <v>820</v>
      </c>
      <c r="G5" s="118" t="s">
        <v>117</v>
      </c>
      <c r="H5" s="91">
        <v>75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2" t="s">
        <v>99</v>
      </c>
      <c r="O5" s="376"/>
      <c r="P5" s="377"/>
      <c r="Q5" s="378"/>
      <c r="R5" s="33" t="s">
        <v>98</v>
      </c>
      <c r="S5" s="31">
        <v>0.35416666666666669</v>
      </c>
      <c r="T5" s="32">
        <v>0.69791666666666663</v>
      </c>
      <c r="U5" s="92">
        <f t="shared" ref="U5:U15" si="0">(T5-S5)*24</f>
        <v>8.2499999999999982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10546</v>
      </c>
      <c r="C6" s="67" t="s">
        <v>213</v>
      </c>
      <c r="D6" s="200" t="s">
        <v>214</v>
      </c>
      <c r="E6" s="181" t="s">
        <v>105</v>
      </c>
      <c r="F6" s="171">
        <v>900</v>
      </c>
      <c r="G6" s="118" t="s">
        <v>106</v>
      </c>
      <c r="H6" s="91"/>
      <c r="I6" s="124"/>
      <c r="J6" s="130" t="str">
        <f t="shared" ref="J6:J29" si="1">IF(G6="RSL","55","0")</f>
        <v>0</v>
      </c>
      <c r="K6" s="130">
        <v>79.099999999999994</v>
      </c>
      <c r="L6" s="131"/>
      <c r="M6" s="131"/>
      <c r="N6" s="134" t="s">
        <v>98</v>
      </c>
      <c r="O6" s="331" t="s">
        <v>215</v>
      </c>
      <c r="P6" s="332"/>
      <c r="Q6" s="333"/>
      <c r="R6" s="132" t="s">
        <v>99</v>
      </c>
      <c r="S6" s="31">
        <v>0.33333333333333331</v>
      </c>
      <c r="T6" s="32">
        <v>0.69791666666666663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10547</v>
      </c>
      <c r="C7" s="67" t="s">
        <v>216</v>
      </c>
      <c r="D7" s="200" t="s">
        <v>219</v>
      </c>
      <c r="E7" s="181" t="s">
        <v>92</v>
      </c>
      <c r="F7" s="171">
        <v>920</v>
      </c>
      <c r="G7" s="118" t="s">
        <v>110</v>
      </c>
      <c r="H7" s="91"/>
      <c r="I7" s="124">
        <v>95.95</v>
      </c>
      <c r="J7" s="130" t="str">
        <f t="shared" si="1"/>
        <v>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98</v>
      </c>
      <c r="O7" s="304"/>
      <c r="P7" s="303"/>
      <c r="Q7" s="305"/>
      <c r="R7" s="134" t="s">
        <v>210</v>
      </c>
      <c r="S7" s="31">
        <v>0.375</v>
      </c>
      <c r="T7" s="32">
        <v>0.67708333333333337</v>
      </c>
      <c r="U7" s="92">
        <f t="shared" si="0"/>
        <v>7.2500000000000009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10548</v>
      </c>
      <c r="C8" s="27" t="s">
        <v>217</v>
      </c>
      <c r="D8" s="200" t="s">
        <v>218</v>
      </c>
      <c r="E8" s="181" t="s">
        <v>92</v>
      </c>
      <c r="F8" s="171">
        <v>945</v>
      </c>
      <c r="G8" s="118" t="s">
        <v>110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98</v>
      </c>
      <c r="O8" s="334"/>
      <c r="P8" s="335"/>
      <c r="Q8" s="336"/>
      <c r="R8" s="26" t="s">
        <v>101</v>
      </c>
      <c r="S8" s="31">
        <v>0.35416666666666669</v>
      </c>
      <c r="T8" s="32">
        <v>0.69791666666666663</v>
      </c>
      <c r="U8" s="92">
        <f t="shared" si="0"/>
        <v>8.2499999999999982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10549</v>
      </c>
      <c r="C9" s="63" t="s">
        <v>220</v>
      </c>
      <c r="D9" s="201" t="s">
        <v>221</v>
      </c>
      <c r="E9" s="181" t="s">
        <v>92</v>
      </c>
      <c r="F9" s="172">
        <v>1000</v>
      </c>
      <c r="G9" s="119" t="s">
        <v>110</v>
      </c>
      <c r="H9" s="91">
        <v>75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98</v>
      </c>
      <c r="O9" s="334"/>
      <c r="P9" s="335"/>
      <c r="Q9" s="336"/>
      <c r="R9" s="26" t="s">
        <v>255</v>
      </c>
      <c r="S9" s="31">
        <v>0.5</v>
      </c>
      <c r="T9" s="32">
        <v>0.66666666666666663</v>
      </c>
      <c r="U9" s="92">
        <f t="shared" si="0"/>
        <v>3.9999999999999991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10550</v>
      </c>
      <c r="C10" s="28" t="s">
        <v>247</v>
      </c>
      <c r="D10" s="202" t="s">
        <v>248</v>
      </c>
      <c r="E10" s="181" t="s">
        <v>92</v>
      </c>
      <c r="F10" s="173">
        <v>1030</v>
      </c>
      <c r="G10" s="120" t="s">
        <v>110</v>
      </c>
      <c r="H10" s="123"/>
      <c r="I10" s="125">
        <v>95.95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98</v>
      </c>
      <c r="O10" s="326"/>
      <c r="P10" s="327"/>
      <c r="Q10" s="328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10551</v>
      </c>
      <c r="C11" s="18" t="s">
        <v>222</v>
      </c>
      <c r="D11" s="203" t="s">
        <v>223</v>
      </c>
      <c r="E11" s="181" t="s">
        <v>92</v>
      </c>
      <c r="F11" s="66">
        <v>1110</v>
      </c>
      <c r="G11" s="121" t="s">
        <v>110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98</v>
      </c>
      <c r="O11" s="304"/>
      <c r="P11" s="303"/>
      <c r="Q11" s="305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10552</v>
      </c>
      <c r="C12" s="64" t="s">
        <v>224</v>
      </c>
      <c r="D12" s="204" t="s">
        <v>225</v>
      </c>
      <c r="E12" s="181" t="s">
        <v>91</v>
      </c>
      <c r="F12" s="173">
        <v>1110</v>
      </c>
      <c r="G12" s="119" t="s">
        <v>125</v>
      </c>
      <c r="H12" s="123"/>
      <c r="I12" s="125">
        <v>151.5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98</v>
      </c>
      <c r="O12" s="304"/>
      <c r="P12" s="303"/>
      <c r="Q12" s="30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10553</v>
      </c>
      <c r="C13" s="64" t="s">
        <v>226</v>
      </c>
      <c r="D13" s="204" t="s">
        <v>227</v>
      </c>
      <c r="E13" s="181" t="s">
        <v>92</v>
      </c>
      <c r="F13" s="173">
        <v>1130</v>
      </c>
      <c r="G13" s="119" t="s">
        <v>110</v>
      </c>
      <c r="H13" s="169">
        <v>95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98</v>
      </c>
      <c r="O13" s="304"/>
      <c r="P13" s="303"/>
      <c r="Q13" s="30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10554</v>
      </c>
      <c r="C14" s="65" t="s">
        <v>228</v>
      </c>
      <c r="D14" s="205" t="s">
        <v>229</v>
      </c>
      <c r="E14" s="181" t="s">
        <v>92</v>
      </c>
      <c r="F14" s="174">
        <v>1130</v>
      </c>
      <c r="G14" s="122" t="s">
        <v>135</v>
      </c>
      <c r="H14" s="123"/>
      <c r="I14" s="125"/>
      <c r="J14" s="130" t="str">
        <f t="shared" si="1"/>
        <v>0</v>
      </c>
      <c r="K14" s="130">
        <v>62.5</v>
      </c>
      <c r="L14" s="131"/>
      <c r="M14" s="131"/>
      <c r="N14" s="134" t="s">
        <v>98</v>
      </c>
      <c r="O14" s="304" t="s">
        <v>230</v>
      </c>
      <c r="P14" s="303"/>
      <c r="Q14" s="305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10555</v>
      </c>
      <c r="C15" s="65" t="s">
        <v>231</v>
      </c>
      <c r="D15" s="205" t="s">
        <v>232</v>
      </c>
      <c r="E15" s="181" t="s">
        <v>92</v>
      </c>
      <c r="F15" s="174">
        <v>1145</v>
      </c>
      <c r="G15" s="122" t="s">
        <v>233</v>
      </c>
      <c r="H15" s="123">
        <v>100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98</v>
      </c>
      <c r="O15" s="304"/>
      <c r="P15" s="303"/>
      <c r="Q15" s="305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10556</v>
      </c>
      <c r="C16" s="65" t="s">
        <v>234</v>
      </c>
      <c r="D16" s="205" t="s">
        <v>235</v>
      </c>
      <c r="E16" s="181" t="s">
        <v>92</v>
      </c>
      <c r="F16" s="174">
        <v>1215</v>
      </c>
      <c r="G16" s="122" t="s">
        <v>110</v>
      </c>
      <c r="H16" s="123"/>
      <c r="I16" s="124">
        <v>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98</v>
      </c>
      <c r="O16" s="304"/>
      <c r="P16" s="303"/>
      <c r="Q16" s="305"/>
      <c r="R16" s="82">
        <f>H32/U16</f>
        <v>0.52054794520547942</v>
      </c>
      <c r="S16" s="83">
        <f>H32/(U16-U5)</f>
        <v>0.67256637168141598</v>
      </c>
      <c r="T16" s="83">
        <f>C32/U16</f>
        <v>41.919178082191777</v>
      </c>
      <c r="U16" s="83">
        <f>SUM(U5:U15)</f>
        <v>36.5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10557</v>
      </c>
      <c r="C17" s="18" t="s">
        <v>236</v>
      </c>
      <c r="D17" s="203" t="s">
        <v>237</v>
      </c>
      <c r="E17" s="181" t="s">
        <v>92</v>
      </c>
      <c r="F17" s="66">
        <v>1240</v>
      </c>
      <c r="G17" s="121" t="s">
        <v>238</v>
      </c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98</v>
      </c>
      <c r="O17" s="304" t="s">
        <v>239</v>
      </c>
      <c r="P17" s="303"/>
      <c r="Q17" s="30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10558</v>
      </c>
      <c r="C18" s="18" t="s">
        <v>245</v>
      </c>
      <c r="D18" s="203" t="s">
        <v>246</v>
      </c>
      <c r="E18" s="181" t="s">
        <v>92</v>
      </c>
      <c r="F18" s="66">
        <v>1250</v>
      </c>
      <c r="G18" s="20" t="s">
        <v>117</v>
      </c>
      <c r="H18" s="123"/>
      <c r="I18" s="124">
        <v>55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98</v>
      </c>
      <c r="O18" s="304"/>
      <c r="P18" s="303"/>
      <c r="Q18" s="30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10559</v>
      </c>
      <c r="C19" s="18" t="s">
        <v>242</v>
      </c>
      <c r="D19" s="203" t="s">
        <v>243</v>
      </c>
      <c r="E19" s="181" t="s">
        <v>92</v>
      </c>
      <c r="F19" s="66">
        <v>1300</v>
      </c>
      <c r="G19" s="121" t="s">
        <v>106</v>
      </c>
      <c r="H19" s="123"/>
      <c r="I19" s="124"/>
      <c r="J19" s="130" t="str">
        <f t="shared" si="1"/>
        <v>0</v>
      </c>
      <c r="K19" s="130">
        <v>79.099999999999994</v>
      </c>
      <c r="L19" s="131"/>
      <c r="M19" s="131"/>
      <c r="N19" s="134" t="s">
        <v>98</v>
      </c>
      <c r="O19" s="304" t="s">
        <v>244</v>
      </c>
      <c r="P19" s="303"/>
      <c r="Q19" s="303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10560</v>
      </c>
      <c r="C20" s="18" t="s">
        <v>240</v>
      </c>
      <c r="D20" s="203" t="s">
        <v>241</v>
      </c>
      <c r="E20" s="181" t="s">
        <v>91</v>
      </c>
      <c r="F20" s="66">
        <v>1300</v>
      </c>
      <c r="G20" s="121" t="s">
        <v>110</v>
      </c>
      <c r="H20" s="123">
        <v>95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98</v>
      </c>
      <c r="O20" s="372"/>
      <c r="P20" s="373"/>
      <c r="Q20" s="37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10561</v>
      </c>
      <c r="C21" s="18" t="s">
        <v>249</v>
      </c>
      <c r="D21" s="203" t="s">
        <v>250</v>
      </c>
      <c r="E21" s="181" t="s">
        <v>92</v>
      </c>
      <c r="F21" s="66">
        <v>1500</v>
      </c>
      <c r="G21" s="20" t="s">
        <v>117</v>
      </c>
      <c r="H21" s="123">
        <v>75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98</v>
      </c>
      <c r="O21" s="304"/>
      <c r="P21" s="303"/>
      <c r="Q21" s="30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10562</v>
      </c>
      <c r="C22" s="127" t="s">
        <v>251</v>
      </c>
      <c r="D22" s="206" t="s">
        <v>252</v>
      </c>
      <c r="E22" s="181" t="s">
        <v>91</v>
      </c>
      <c r="F22" s="175">
        <v>1500</v>
      </c>
      <c r="G22" s="263" t="s">
        <v>117</v>
      </c>
      <c r="H22" s="89">
        <v>55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98</v>
      </c>
      <c r="O22" s="304"/>
      <c r="P22" s="303"/>
      <c r="Q22" s="305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10563</v>
      </c>
      <c r="C23" s="136" t="s">
        <v>253</v>
      </c>
      <c r="D23" s="207" t="s">
        <v>254</v>
      </c>
      <c r="E23" s="181" t="s">
        <v>105</v>
      </c>
      <c r="F23" s="176">
        <v>1520</v>
      </c>
      <c r="G23" s="165" t="s">
        <v>110</v>
      </c>
      <c r="H23" s="89"/>
      <c r="I23" s="141">
        <v>95.95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98</v>
      </c>
      <c r="O23" s="163"/>
      <c r="P23" s="164"/>
      <c r="Q23" s="159"/>
      <c r="R23" s="113"/>
      <c r="S23" s="114"/>
      <c r="T23" s="114"/>
      <c r="U23" s="115"/>
      <c r="X23" s="370"/>
      <c r="Y23" s="371"/>
      <c r="Z23" s="371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4"/>
      <c r="P24" s="303"/>
      <c r="Q24" s="30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4"/>
      <c r="P25" s="303"/>
      <c r="Q25" s="305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74">
        <f>((C32+(R26+S26+T26)*0.5))</f>
        <v>1555.05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4"/>
      <c r="P26" s="303"/>
      <c r="Q26" s="305"/>
      <c r="R26" s="112">
        <f>R25*37.5</f>
        <v>0</v>
      </c>
      <c r="S26" s="102">
        <f>S25*41.5</f>
        <v>0</v>
      </c>
      <c r="T26" s="102">
        <f>T25*50</f>
        <v>50</v>
      </c>
      <c r="U26" s="37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4"/>
      <c r="P27" s="303"/>
      <c r="Q27" s="305"/>
      <c r="R27" s="367" t="s">
        <v>56</v>
      </c>
      <c r="S27" s="368"/>
      <c r="T27" s="368"/>
      <c r="U27" s="369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4"/>
      <c r="P28" s="303"/>
      <c r="Q28" s="305"/>
      <c r="R28" s="360"/>
      <c r="S28" s="361"/>
      <c r="T28" s="362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7"/>
      <c r="P29" s="348"/>
      <c r="Q29" s="349"/>
      <c r="R29" s="350"/>
      <c r="S29" s="351"/>
      <c r="T29" s="352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3" t="s">
        <v>48</v>
      </c>
      <c r="B30" s="354"/>
      <c r="C30" s="354"/>
      <c r="D30" s="354"/>
      <c r="E30" s="355"/>
      <c r="F30" s="354"/>
      <c r="G30" s="354"/>
      <c r="H30" s="264">
        <f t="shared" ref="H30:M30" si="3">SUM(H5:H29)</f>
        <v>570</v>
      </c>
      <c r="I30" s="105">
        <f>SUM(I5:I29)</f>
        <v>739.35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220.7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6"/>
      <c r="S30" s="356"/>
      <c r="T30" s="357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8" t="s">
        <v>16</v>
      </c>
      <c r="B31" s="359"/>
      <c r="C31" s="359"/>
      <c r="D31" s="359"/>
      <c r="E31" s="359"/>
      <c r="F31" s="359"/>
      <c r="G31" s="359"/>
      <c r="H31" s="265">
        <f t="shared" ref="H31:J31" si="4">H30+H62+H94</f>
        <v>570</v>
      </c>
      <c r="I31" s="103">
        <f t="shared" si="4"/>
        <v>739.35</v>
      </c>
      <c r="J31" s="103">
        <f t="shared" si="4"/>
        <v>0</v>
      </c>
      <c r="K31" s="103">
        <f>K30+K62+K94</f>
        <v>220.7</v>
      </c>
      <c r="L31" s="97">
        <f>L30+L62+L94</f>
        <v>0</v>
      </c>
      <c r="M31" s="97">
        <f>M30+M62+M94</f>
        <v>0</v>
      </c>
      <c r="N31" s="262">
        <f>COUNT(H5:H29,H37:H61,H69:H93)</f>
        <v>7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570</v>
      </c>
      <c r="T31" s="343">
        <f>H31+I31+L31+M31</f>
        <v>1309.3499999999999</v>
      </c>
      <c r="U31" s="344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3" t="s">
        <v>55</v>
      </c>
      <c r="B32" s="364"/>
      <c r="C32" s="107">
        <f>H31+I31+J31+K31</f>
        <v>1530.05</v>
      </c>
      <c r="D32" s="196"/>
      <c r="E32" s="107"/>
      <c r="F32" s="365" t="s">
        <v>53</v>
      </c>
      <c r="G32" s="365"/>
      <c r="H32" s="109">
        <f>COUNT(B5:B29,B37:B61,B69:B93)</f>
        <v>19</v>
      </c>
      <c r="I32" s="366" t="s">
        <v>54</v>
      </c>
      <c r="J32" s="366"/>
      <c r="K32" s="108">
        <f>C32/H32</f>
        <v>80.528947368421044</v>
      </c>
      <c r="L32" s="260"/>
      <c r="M32" s="260"/>
      <c r="N32" s="260">
        <f>H31/C32</f>
        <v>0.37253684520113722</v>
      </c>
      <c r="O32" s="260">
        <f>I31/C32</f>
        <v>0.48321950263063301</v>
      </c>
      <c r="P32" s="260">
        <f>K31/C32</f>
        <v>0.14424365216822979</v>
      </c>
      <c r="Q32" s="110">
        <f>J31/C32</f>
        <v>0</v>
      </c>
      <c r="R32" s="99" t="s">
        <v>82</v>
      </c>
      <c r="S32" s="266">
        <f>I31+M31</f>
        <v>739.35</v>
      </c>
      <c r="T32" s="345"/>
      <c r="U32" s="346"/>
      <c r="V32" s="55"/>
      <c r="W32" s="55"/>
      <c r="X32" s="56" t="s">
        <v>27</v>
      </c>
      <c r="Y32" s="56"/>
      <c r="Z32" s="54">
        <f>I31</f>
        <v>739.35</v>
      </c>
      <c r="AE32" s="37"/>
      <c r="AF32" s="37"/>
      <c r="AG32" s="37"/>
      <c r="AH32" s="37"/>
    </row>
    <row r="33" spans="1:34" ht="17.25" thickBot="1" x14ac:dyDescent="0.35">
      <c r="A33" s="297" t="s">
        <v>24</v>
      </c>
      <c r="B33" s="298"/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338"/>
      <c r="U33" s="339"/>
      <c r="X33" s="57" t="s">
        <v>29</v>
      </c>
      <c r="Y33" s="57"/>
      <c r="Z33" s="58">
        <f>SUM(Z31:Z32)</f>
        <v>-2005.65</v>
      </c>
      <c r="AE33" s="37"/>
      <c r="AF33" s="37"/>
      <c r="AG33" s="59"/>
      <c r="AH33" s="37"/>
    </row>
    <row r="34" spans="1:34" ht="17.25" thickBot="1" x14ac:dyDescent="0.35">
      <c r="A34" s="337" t="str">
        <f>A2</f>
        <v>11 - 8 - 2022</v>
      </c>
      <c r="B34" s="338"/>
      <c r="C34" s="338"/>
      <c r="D34" s="338"/>
      <c r="E34" s="338"/>
      <c r="F34" s="338"/>
      <c r="G34" s="339"/>
      <c r="H34" s="340" t="s">
        <v>49</v>
      </c>
      <c r="I34" s="341"/>
      <c r="J34" s="337" t="str">
        <f>J2</f>
        <v>CLOUDY</v>
      </c>
      <c r="K34" s="339"/>
      <c r="L34" s="341" t="s">
        <v>50</v>
      </c>
      <c r="M34" s="342"/>
      <c r="N34" s="340"/>
      <c r="O34" s="338" t="str">
        <f>O2</f>
        <v>JOHN</v>
      </c>
      <c r="P34" s="338"/>
      <c r="Q34" s="339"/>
      <c r="R34" s="341" t="s">
        <v>51</v>
      </c>
      <c r="S34" s="340"/>
      <c r="T34" s="329">
        <f>T2</f>
        <v>4</v>
      </c>
      <c r="U34" s="32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0" t="s">
        <v>8</v>
      </c>
      <c r="P36" s="330"/>
      <c r="Q36" s="330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4"/>
      <c r="P37" s="303"/>
      <c r="Q37" s="305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1"/>
      <c r="P38" s="332"/>
      <c r="Q38" s="333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4"/>
      <c r="P39" s="303"/>
      <c r="Q39" s="305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4"/>
      <c r="P40" s="335"/>
      <c r="Q40" s="336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4"/>
      <c r="P41" s="335"/>
      <c r="Q41" s="336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6"/>
      <c r="P42" s="327"/>
      <c r="Q42" s="328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4"/>
      <c r="P43" s="303"/>
      <c r="Q43" s="305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4"/>
      <c r="P44" s="303"/>
      <c r="Q44" s="305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4"/>
      <c r="P45" s="303"/>
      <c r="Q45" s="305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4"/>
      <c r="P46" s="303"/>
      <c r="Q46" s="305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4"/>
      <c r="P47" s="303"/>
      <c r="Q47" s="305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4"/>
      <c r="P48" s="303"/>
      <c r="Q48" s="305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4"/>
      <c r="P49" s="303"/>
      <c r="Q49" s="305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4"/>
      <c r="P50" s="303"/>
      <c r="Q50" s="305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4"/>
      <c r="P51" s="303"/>
      <c r="Q51" s="303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4"/>
      <c r="P52" s="303"/>
      <c r="Q52" s="303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5"/>
      <c r="P53" s="304"/>
      <c r="Q53" s="304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5"/>
      <c r="P54" s="304"/>
      <c r="Q54" s="304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5"/>
      <c r="P55" s="304"/>
      <c r="Q55" s="304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3"/>
      <c r="P56" s="303"/>
      <c r="Q56" s="303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4"/>
      <c r="P57" s="303"/>
      <c r="Q57" s="303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3"/>
      <c r="P58" s="303"/>
      <c r="Q58" s="303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3"/>
      <c r="P59" s="303"/>
      <c r="Q59" s="303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4"/>
      <c r="P60" s="303"/>
      <c r="Q60" s="305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6"/>
      <c r="P61" s="307"/>
      <c r="Q61" s="308"/>
      <c r="R61" s="81"/>
      <c r="S61" s="68"/>
      <c r="T61" s="68"/>
      <c r="U61" s="77"/>
    </row>
    <row r="62" spans="1:21" x14ac:dyDescent="0.3">
      <c r="A62" s="309" t="s">
        <v>48</v>
      </c>
      <c r="B62" s="310"/>
      <c r="C62" s="310"/>
      <c r="D62" s="310"/>
      <c r="E62" s="310"/>
      <c r="F62" s="310"/>
      <c r="G62" s="310"/>
      <c r="H62" s="310">
        <f t="shared" ref="H62:M62" si="8">SUM(H37:H61)</f>
        <v>0</v>
      </c>
      <c r="I62" s="316">
        <f t="shared" si="8"/>
        <v>0</v>
      </c>
      <c r="J62" s="316">
        <f>J61+J60+J59+J58+J57+J56+J55+J54+J53+J52+J51+J50+J49+J48+J47+J46+J45+J44+J43+J42+J41+J40+J39+J38+J37</f>
        <v>0</v>
      </c>
      <c r="K62" s="316">
        <f>K61+K60+K59+K58+K57+K56+K55+K54+K53+K52+K51+K50+K49+K48+K47+K46+K45+K44+K43+K42+K41+K40+K39+K38+K37</f>
        <v>0</v>
      </c>
      <c r="L62" s="319">
        <f t="shared" si="8"/>
        <v>0</v>
      </c>
      <c r="M62" s="322">
        <f t="shared" si="8"/>
        <v>0</v>
      </c>
      <c r="N62" s="291"/>
      <c r="O62" s="292"/>
      <c r="P62" s="292"/>
      <c r="Q62" s="293"/>
      <c r="R62" s="5"/>
      <c r="S62" s="6"/>
      <c r="T62" s="7"/>
      <c r="U62" s="8"/>
    </row>
    <row r="63" spans="1:21" ht="17.25" thickBot="1" x14ac:dyDescent="0.35">
      <c r="A63" s="312"/>
      <c r="B63" s="313"/>
      <c r="C63" s="313"/>
      <c r="D63" s="313"/>
      <c r="E63" s="313"/>
      <c r="F63" s="313"/>
      <c r="G63" s="313"/>
      <c r="H63" s="313"/>
      <c r="I63" s="317"/>
      <c r="J63" s="317"/>
      <c r="K63" s="317"/>
      <c r="L63" s="320"/>
      <c r="M63" s="323"/>
      <c r="N63" s="294"/>
      <c r="O63" s="295"/>
      <c r="P63" s="295"/>
      <c r="Q63" s="296"/>
      <c r="R63" s="1"/>
      <c r="S63" s="2"/>
      <c r="T63" s="3"/>
      <c r="U63" s="4"/>
    </row>
    <row r="64" spans="1:21" ht="17.25" thickBot="1" x14ac:dyDescent="0.35">
      <c r="A64" s="314"/>
      <c r="B64" s="315"/>
      <c r="C64" s="315"/>
      <c r="D64" s="315"/>
      <c r="E64" s="315"/>
      <c r="F64" s="315"/>
      <c r="G64" s="315"/>
      <c r="H64" s="315"/>
      <c r="I64" s="318"/>
      <c r="J64" s="318"/>
      <c r="K64" s="318"/>
      <c r="L64" s="321"/>
      <c r="M64" s="324"/>
      <c r="N64" s="297"/>
      <c r="O64" s="298"/>
      <c r="P64" s="298"/>
      <c r="Q64" s="299"/>
      <c r="R64" s="300" t="s">
        <v>17</v>
      </c>
      <c r="S64" s="301"/>
      <c r="T64" s="301"/>
      <c r="U64" s="302"/>
    </row>
    <row r="65" spans="1:21" ht="17.25" thickBot="1" x14ac:dyDescent="0.35">
      <c r="A65" s="337" t="s">
        <v>24</v>
      </c>
      <c r="B65" s="338"/>
      <c r="C65" s="338"/>
      <c r="D65" s="338"/>
      <c r="E65" s="338"/>
      <c r="F65" s="338"/>
      <c r="G65" s="338"/>
      <c r="H65" s="338"/>
      <c r="I65" s="338"/>
      <c r="J65" s="338"/>
      <c r="K65" s="338"/>
      <c r="L65" s="338"/>
      <c r="M65" s="338"/>
      <c r="N65" s="338"/>
      <c r="O65" s="338"/>
      <c r="P65" s="338"/>
      <c r="Q65" s="338"/>
      <c r="R65" s="338"/>
      <c r="S65" s="338"/>
      <c r="T65" s="338"/>
      <c r="U65" s="339"/>
    </row>
    <row r="66" spans="1:21" ht="17.25" thickBot="1" x14ac:dyDescent="0.35">
      <c r="A66" s="337" t="str">
        <f>A34</f>
        <v>11 - 8 - 2022</v>
      </c>
      <c r="B66" s="338"/>
      <c r="C66" s="338"/>
      <c r="D66" s="338"/>
      <c r="E66" s="338"/>
      <c r="F66" s="338"/>
      <c r="G66" s="339"/>
      <c r="H66" s="340" t="s">
        <v>49</v>
      </c>
      <c r="I66" s="341"/>
      <c r="J66" s="337" t="str">
        <f>J34</f>
        <v>CLOUDY</v>
      </c>
      <c r="K66" s="339"/>
      <c r="L66" s="341" t="s">
        <v>50</v>
      </c>
      <c r="M66" s="342"/>
      <c r="N66" s="340"/>
      <c r="O66" s="338" t="str">
        <f>O34</f>
        <v>JOHN</v>
      </c>
      <c r="P66" s="338"/>
      <c r="Q66" s="339"/>
      <c r="R66" s="341" t="s">
        <v>51</v>
      </c>
      <c r="S66" s="340"/>
      <c r="T66" s="329">
        <f>T34</f>
        <v>4</v>
      </c>
      <c r="U66" s="329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0" t="s">
        <v>8</v>
      </c>
      <c r="P68" s="330"/>
      <c r="Q68" s="330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4"/>
      <c r="P69" s="303"/>
      <c r="Q69" s="305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1"/>
      <c r="P70" s="332"/>
      <c r="Q70" s="333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4"/>
      <c r="P71" s="303"/>
      <c r="Q71" s="305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4"/>
      <c r="P72" s="335"/>
      <c r="Q72" s="336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4"/>
      <c r="P73" s="335"/>
      <c r="Q73" s="336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6"/>
      <c r="P74" s="327"/>
      <c r="Q74" s="328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4"/>
      <c r="P75" s="303"/>
      <c r="Q75" s="305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4"/>
      <c r="P76" s="303"/>
      <c r="Q76" s="305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4"/>
      <c r="P77" s="303"/>
      <c r="Q77" s="305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4"/>
      <c r="P78" s="303"/>
      <c r="Q78" s="305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4"/>
      <c r="P79" s="303"/>
      <c r="Q79" s="305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4"/>
      <c r="P80" s="303"/>
      <c r="Q80" s="305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4"/>
      <c r="P81" s="303"/>
      <c r="Q81" s="305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4"/>
      <c r="P82" s="303"/>
      <c r="Q82" s="305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4"/>
      <c r="P83" s="303"/>
      <c r="Q83" s="303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4"/>
      <c r="P84" s="303"/>
      <c r="Q84" s="303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5"/>
      <c r="P85" s="304"/>
      <c r="Q85" s="304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5"/>
      <c r="P86" s="304"/>
      <c r="Q86" s="304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5"/>
      <c r="P87" s="304"/>
      <c r="Q87" s="304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3"/>
      <c r="P88" s="303"/>
      <c r="Q88" s="303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4"/>
      <c r="P89" s="303"/>
      <c r="Q89" s="303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3"/>
      <c r="P90" s="303"/>
      <c r="Q90" s="303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3"/>
      <c r="P91" s="303"/>
      <c r="Q91" s="303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4"/>
      <c r="P92" s="303"/>
      <c r="Q92" s="305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6"/>
      <c r="P93" s="307"/>
      <c r="Q93" s="308"/>
      <c r="R93" s="81"/>
      <c r="S93" s="68"/>
      <c r="T93" s="68"/>
      <c r="U93" s="77"/>
    </row>
    <row r="94" spans="1:21" x14ac:dyDescent="0.3">
      <c r="A94" s="309" t="s">
        <v>48</v>
      </c>
      <c r="B94" s="310"/>
      <c r="C94" s="310"/>
      <c r="D94" s="310"/>
      <c r="E94" s="311"/>
      <c r="F94" s="310"/>
      <c r="G94" s="310"/>
      <c r="H94" s="310">
        <f t="shared" ref="H94:M94" si="12">SUM(H69:H93)</f>
        <v>0</v>
      </c>
      <c r="I94" s="316">
        <f t="shared" si="12"/>
        <v>0</v>
      </c>
      <c r="J94" s="316">
        <f>J93+J92+J91+J90+J89+J88+J87+J86+J85+J84+J83+J82+J81+J80+J79+J78+J77+J76+J75+J74+J73+J72+J71+J70+J69</f>
        <v>0</v>
      </c>
      <c r="K94" s="316">
        <f>K93+K92+K91+K90+K89+K88+K87+K86+K85+K84+K83+K82+K81+K80+K79+K78+K77+K76+K75+K74+K73+K72+K71+K70+K69</f>
        <v>0</v>
      </c>
      <c r="L94" s="319">
        <f t="shared" si="12"/>
        <v>0</v>
      </c>
      <c r="M94" s="322">
        <f t="shared" si="12"/>
        <v>0</v>
      </c>
      <c r="N94" s="291"/>
      <c r="O94" s="292"/>
      <c r="P94" s="292"/>
      <c r="Q94" s="293"/>
      <c r="R94" s="5"/>
      <c r="S94" s="6"/>
      <c r="T94" s="7"/>
      <c r="U94" s="8"/>
    </row>
    <row r="95" spans="1:21" ht="17.25" thickBot="1" x14ac:dyDescent="0.35">
      <c r="A95" s="312"/>
      <c r="B95" s="313"/>
      <c r="C95" s="313"/>
      <c r="D95" s="313"/>
      <c r="E95" s="313"/>
      <c r="F95" s="313"/>
      <c r="G95" s="313"/>
      <c r="H95" s="313"/>
      <c r="I95" s="317"/>
      <c r="J95" s="317"/>
      <c r="K95" s="317"/>
      <c r="L95" s="320"/>
      <c r="M95" s="323"/>
      <c r="N95" s="294"/>
      <c r="O95" s="295"/>
      <c r="P95" s="295"/>
      <c r="Q95" s="296"/>
      <c r="R95" s="1"/>
      <c r="S95" s="2"/>
      <c r="T95" s="3"/>
      <c r="U95" s="4"/>
    </row>
    <row r="96" spans="1:21" ht="17.25" thickBot="1" x14ac:dyDescent="0.35">
      <c r="A96" s="314"/>
      <c r="B96" s="315"/>
      <c r="C96" s="315"/>
      <c r="D96" s="315"/>
      <c r="E96" s="315"/>
      <c r="F96" s="315"/>
      <c r="G96" s="315"/>
      <c r="H96" s="315"/>
      <c r="I96" s="318"/>
      <c r="J96" s="318"/>
      <c r="K96" s="318"/>
      <c r="L96" s="321"/>
      <c r="M96" s="324"/>
      <c r="N96" s="297"/>
      <c r="O96" s="298"/>
      <c r="P96" s="298"/>
      <c r="Q96" s="299"/>
      <c r="R96" s="300" t="s">
        <v>52</v>
      </c>
      <c r="S96" s="301"/>
      <c r="T96" s="301"/>
      <c r="U96" s="302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4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T8" sqref="T8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7" t="s">
        <v>77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9"/>
    </row>
    <row r="2" spans="1:44" ht="17.25" thickBot="1" x14ac:dyDescent="0.35">
      <c r="A2" s="337" t="s">
        <v>256</v>
      </c>
      <c r="B2" s="338"/>
      <c r="C2" s="338"/>
      <c r="D2" s="338"/>
      <c r="E2" s="338"/>
      <c r="F2" s="338"/>
      <c r="G2" s="339"/>
      <c r="H2" s="340" t="s">
        <v>49</v>
      </c>
      <c r="I2" s="341"/>
      <c r="J2" s="337" t="s">
        <v>143</v>
      </c>
      <c r="K2" s="339"/>
      <c r="L2" s="341" t="s">
        <v>96</v>
      </c>
      <c r="M2" s="342"/>
      <c r="N2" s="340"/>
      <c r="O2" s="338" t="s">
        <v>99</v>
      </c>
      <c r="P2" s="338"/>
      <c r="Q2" s="339"/>
      <c r="R2" s="341" t="s">
        <v>51</v>
      </c>
      <c r="S2" s="340"/>
      <c r="T2" s="329">
        <v>4</v>
      </c>
      <c r="U2" s="32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0" t="s">
        <v>8</v>
      </c>
      <c r="P4" s="330"/>
      <c r="Q4" s="330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10564</v>
      </c>
      <c r="C5" s="68" t="s">
        <v>258</v>
      </c>
      <c r="D5" s="200" t="s">
        <v>259</v>
      </c>
      <c r="E5" s="181" t="s">
        <v>91</v>
      </c>
      <c r="F5" s="170">
        <v>1000</v>
      </c>
      <c r="G5" s="118" t="s">
        <v>117</v>
      </c>
      <c r="H5" s="91"/>
      <c r="I5" s="124">
        <v>55.55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76"/>
      <c r="P5" s="377"/>
      <c r="Q5" s="378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10565</v>
      </c>
      <c r="C6" s="67" t="s">
        <v>260</v>
      </c>
      <c r="D6" s="200" t="s">
        <v>261</v>
      </c>
      <c r="E6" s="181" t="s">
        <v>91</v>
      </c>
      <c r="F6" s="171">
        <v>1000</v>
      </c>
      <c r="G6" s="118" t="s">
        <v>110</v>
      </c>
      <c r="H6" s="91">
        <v>95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1"/>
      <c r="P6" s="332"/>
      <c r="Q6" s="333"/>
      <c r="R6" s="132" t="s">
        <v>144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10566</v>
      </c>
      <c r="C7" s="67" t="s">
        <v>262</v>
      </c>
      <c r="D7" s="200" t="s">
        <v>263</v>
      </c>
      <c r="E7" s="181" t="s">
        <v>92</v>
      </c>
      <c r="F7" s="171">
        <v>1035</v>
      </c>
      <c r="G7" s="118" t="s">
        <v>264</v>
      </c>
      <c r="H7" s="91">
        <v>150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4"/>
      <c r="P7" s="303"/>
      <c r="Q7" s="305"/>
      <c r="R7" s="134" t="s">
        <v>101</v>
      </c>
      <c r="S7" s="31">
        <v>0.35416666666666669</v>
      </c>
      <c r="T7" s="32">
        <v>0.70833333333333337</v>
      </c>
      <c r="U7" s="92">
        <f t="shared" si="0"/>
        <v>8.5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10567</v>
      </c>
      <c r="C8" s="27" t="s">
        <v>265</v>
      </c>
      <c r="D8" s="200" t="s">
        <v>266</v>
      </c>
      <c r="E8" s="181" t="s">
        <v>92</v>
      </c>
      <c r="F8" s="171">
        <v>1100</v>
      </c>
      <c r="G8" s="118" t="s">
        <v>110</v>
      </c>
      <c r="H8" s="91"/>
      <c r="I8" s="124">
        <v>95.95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34"/>
      <c r="P8" s="335"/>
      <c r="Q8" s="336"/>
      <c r="R8" s="26" t="s">
        <v>111</v>
      </c>
      <c r="S8" s="31">
        <v>0.4375</v>
      </c>
      <c r="T8" s="32">
        <v>0.64583333333333337</v>
      </c>
      <c r="U8" s="92">
        <f t="shared" si="0"/>
        <v>5.0000000000000009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10568</v>
      </c>
      <c r="C9" s="63" t="s">
        <v>267</v>
      </c>
      <c r="D9" s="201" t="s">
        <v>268</v>
      </c>
      <c r="E9" s="181" t="s">
        <v>92</v>
      </c>
      <c r="F9" s="172">
        <v>1230</v>
      </c>
      <c r="G9" s="119" t="s">
        <v>269</v>
      </c>
      <c r="H9" s="91"/>
      <c r="I9" s="91">
        <v>202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4"/>
      <c r="P9" s="335"/>
      <c r="Q9" s="336"/>
      <c r="R9" s="26" t="s">
        <v>257</v>
      </c>
      <c r="S9" s="31">
        <v>0.54166666666666663</v>
      </c>
      <c r="T9" s="32">
        <v>0.70833333333333337</v>
      </c>
      <c r="U9" s="92">
        <f t="shared" si="0"/>
        <v>4.0000000000000018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10569</v>
      </c>
      <c r="C10" s="28" t="s">
        <v>270</v>
      </c>
      <c r="D10" s="202" t="s">
        <v>271</v>
      </c>
      <c r="E10" s="181" t="s">
        <v>92</v>
      </c>
      <c r="F10" s="173">
        <v>1120</v>
      </c>
      <c r="G10" s="120" t="s">
        <v>117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26"/>
      <c r="P10" s="327"/>
      <c r="Q10" s="328"/>
      <c r="R10" s="26" t="s">
        <v>255</v>
      </c>
      <c r="S10" s="31">
        <v>0.54166666666666663</v>
      </c>
      <c r="T10" s="32">
        <v>0.70833333333333337</v>
      </c>
      <c r="U10" s="92">
        <f t="shared" si="0"/>
        <v>4.0000000000000018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10570</v>
      </c>
      <c r="C11" s="18" t="s">
        <v>272</v>
      </c>
      <c r="D11" s="203" t="s">
        <v>273</v>
      </c>
      <c r="E11" s="181" t="s">
        <v>92</v>
      </c>
      <c r="F11" s="66">
        <v>1130</v>
      </c>
      <c r="G11" s="121" t="s">
        <v>117</v>
      </c>
      <c r="H11" s="123">
        <v>75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04"/>
      <c r="P11" s="303"/>
      <c r="Q11" s="305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10571</v>
      </c>
      <c r="C12" s="64" t="s">
        <v>274</v>
      </c>
      <c r="D12" s="204" t="s">
        <v>275</v>
      </c>
      <c r="E12" s="181" t="s">
        <v>91</v>
      </c>
      <c r="F12" s="173">
        <v>1215</v>
      </c>
      <c r="G12" s="119" t="s">
        <v>125</v>
      </c>
      <c r="H12" s="123"/>
      <c r="I12" s="125">
        <v>151.5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04"/>
      <c r="P12" s="303"/>
      <c r="Q12" s="30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10572</v>
      </c>
      <c r="C13" s="64" t="s">
        <v>276</v>
      </c>
      <c r="D13" s="204" t="s">
        <v>277</v>
      </c>
      <c r="E13" s="181" t="s">
        <v>92</v>
      </c>
      <c r="F13" s="173">
        <v>1230</v>
      </c>
      <c r="G13" s="119" t="s">
        <v>110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04"/>
      <c r="P13" s="303"/>
      <c r="Q13" s="30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10573</v>
      </c>
      <c r="C14" s="65" t="s">
        <v>278</v>
      </c>
      <c r="D14" s="205" t="s">
        <v>279</v>
      </c>
      <c r="E14" s="181" t="s">
        <v>91</v>
      </c>
      <c r="F14" s="174">
        <v>1300</v>
      </c>
      <c r="G14" s="122" t="s">
        <v>150</v>
      </c>
      <c r="H14" s="123">
        <v>280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04"/>
      <c r="P14" s="303"/>
      <c r="Q14" s="305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10574</v>
      </c>
      <c r="C15" s="65" t="s">
        <v>280</v>
      </c>
      <c r="D15" s="205" t="s">
        <v>281</v>
      </c>
      <c r="E15" s="181" t="s">
        <v>92</v>
      </c>
      <c r="F15" s="174">
        <v>1305</v>
      </c>
      <c r="G15" s="122" t="s">
        <v>117</v>
      </c>
      <c r="H15" s="123">
        <v>75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04"/>
      <c r="P15" s="303"/>
      <c r="Q15" s="305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10575</v>
      </c>
      <c r="C16" s="65" t="s">
        <v>282</v>
      </c>
      <c r="D16" s="205" t="s">
        <v>283</v>
      </c>
      <c r="E16" s="181" t="s">
        <v>91</v>
      </c>
      <c r="F16" s="174">
        <v>1320</v>
      </c>
      <c r="G16" s="122" t="s">
        <v>269</v>
      </c>
      <c r="H16" s="123"/>
      <c r="I16" s="124">
        <v>100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04" t="s">
        <v>284</v>
      </c>
      <c r="P16" s="303"/>
      <c r="Q16" s="305"/>
      <c r="R16" s="82">
        <f>H32/U16</f>
        <v>0.35443037974683539</v>
      </c>
      <c r="S16" s="83">
        <f>H32/(U16-U5)</f>
        <v>0.45901639344262285</v>
      </c>
      <c r="T16" s="83">
        <f>C32/U16</f>
        <v>39.49367088607594</v>
      </c>
      <c r="U16" s="83">
        <f>SUM(U5:U15)</f>
        <v>39.500000000000007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10576</v>
      </c>
      <c r="C17" s="18" t="s">
        <v>285</v>
      </c>
      <c r="D17" s="203" t="s">
        <v>286</v>
      </c>
      <c r="E17" s="181" t="s">
        <v>92</v>
      </c>
      <c r="F17" s="66">
        <v>1450</v>
      </c>
      <c r="G17" s="121" t="s">
        <v>117</v>
      </c>
      <c r="H17" s="123">
        <v>55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04"/>
      <c r="P17" s="303"/>
      <c r="Q17" s="30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10577</v>
      </c>
      <c r="C18" s="18" t="s">
        <v>287</v>
      </c>
      <c r="D18" s="203" t="s">
        <v>288</v>
      </c>
      <c r="E18" s="181" t="s">
        <v>92</v>
      </c>
      <c r="F18" s="66">
        <v>1530</v>
      </c>
      <c r="G18" s="20" t="s">
        <v>117</v>
      </c>
      <c r="H18" s="123">
        <v>75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04"/>
      <c r="P18" s="303"/>
      <c r="Q18" s="30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4"/>
      <c r="P19" s="303"/>
      <c r="Q19" s="303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2"/>
      <c r="P20" s="373"/>
      <c r="Q20" s="37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4"/>
      <c r="P21" s="303"/>
      <c r="Q21" s="30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4"/>
      <c r="P22" s="303"/>
      <c r="Q22" s="305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0"/>
      <c r="Y23" s="371"/>
      <c r="Z23" s="371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4"/>
      <c r="P24" s="303"/>
      <c r="Q24" s="30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4"/>
      <c r="P25" s="303"/>
      <c r="Q25" s="305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4">
        <f>((C32+(R26+S26+T26)*0.5))</f>
        <v>1560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4"/>
      <c r="P26" s="303"/>
      <c r="Q26" s="305"/>
      <c r="R26" s="112">
        <f>R25*37.5</f>
        <v>0</v>
      </c>
      <c r="S26" s="102">
        <f>S25*41.5</f>
        <v>0</v>
      </c>
      <c r="T26" s="102">
        <f>T25*50</f>
        <v>0</v>
      </c>
      <c r="U26" s="37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4"/>
      <c r="P27" s="303"/>
      <c r="Q27" s="305"/>
      <c r="R27" s="367" t="s">
        <v>56</v>
      </c>
      <c r="S27" s="368"/>
      <c r="T27" s="368"/>
      <c r="U27" s="369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4"/>
      <c r="P28" s="303"/>
      <c r="Q28" s="305"/>
      <c r="R28" s="360"/>
      <c r="S28" s="361"/>
      <c r="T28" s="362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7"/>
      <c r="P29" s="348"/>
      <c r="Q29" s="349"/>
      <c r="R29" s="350"/>
      <c r="S29" s="351"/>
      <c r="T29" s="352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3" t="s">
        <v>48</v>
      </c>
      <c r="B30" s="354"/>
      <c r="C30" s="354"/>
      <c r="D30" s="354"/>
      <c r="E30" s="355"/>
      <c r="F30" s="354"/>
      <c r="G30" s="354"/>
      <c r="H30" s="264">
        <f t="shared" ref="H30:M30" si="3">SUM(H5:H29)</f>
        <v>805</v>
      </c>
      <c r="I30" s="105">
        <f>SUM(I5:I29)</f>
        <v>755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6"/>
      <c r="S30" s="356"/>
      <c r="T30" s="357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8" t="s">
        <v>16</v>
      </c>
      <c r="B31" s="359"/>
      <c r="C31" s="359"/>
      <c r="D31" s="359"/>
      <c r="E31" s="359"/>
      <c r="F31" s="359"/>
      <c r="G31" s="359"/>
      <c r="H31" s="265">
        <f t="shared" ref="H31:J31" si="4">H30+H62+H94</f>
        <v>805</v>
      </c>
      <c r="I31" s="103">
        <f t="shared" si="4"/>
        <v>755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7</v>
      </c>
      <c r="O31" s="104">
        <f>COUNT(I5:I29,I37:I61,I69:I93)</f>
        <v>7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805</v>
      </c>
      <c r="T31" s="343">
        <f>H31+I31+L31+M31</f>
        <v>1560</v>
      </c>
      <c r="U31" s="344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3" t="s">
        <v>55</v>
      </c>
      <c r="B32" s="364"/>
      <c r="C32" s="107">
        <f>H31+I31+J31+K31</f>
        <v>1560</v>
      </c>
      <c r="D32" s="196"/>
      <c r="E32" s="107"/>
      <c r="F32" s="365" t="s">
        <v>53</v>
      </c>
      <c r="G32" s="365"/>
      <c r="H32" s="109">
        <f>COUNT(B5:B29,B37:B61,B69:B93)</f>
        <v>14</v>
      </c>
      <c r="I32" s="366" t="s">
        <v>54</v>
      </c>
      <c r="J32" s="366"/>
      <c r="K32" s="108">
        <f>C32/H32</f>
        <v>111.42857142857143</v>
      </c>
      <c r="L32" s="260"/>
      <c r="M32" s="260"/>
      <c r="N32" s="260">
        <f>H31/C32</f>
        <v>0.51602564102564108</v>
      </c>
      <c r="O32" s="260">
        <f>I31/C32</f>
        <v>0.48397435897435898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755</v>
      </c>
      <c r="T32" s="345"/>
      <c r="U32" s="346"/>
      <c r="V32" s="55"/>
      <c r="W32" s="55"/>
      <c r="X32" s="56" t="s">
        <v>27</v>
      </c>
      <c r="Y32" s="56"/>
      <c r="Z32" s="54">
        <f>I31</f>
        <v>755</v>
      </c>
      <c r="AE32" s="37"/>
      <c r="AF32" s="37"/>
      <c r="AG32" s="37"/>
      <c r="AH32" s="37"/>
    </row>
    <row r="33" spans="1:34" ht="17.25" thickBot="1" x14ac:dyDescent="0.35">
      <c r="A33" s="297" t="s">
        <v>24</v>
      </c>
      <c r="B33" s="298"/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338"/>
      <c r="U33" s="339"/>
      <c r="X33" s="57" t="s">
        <v>29</v>
      </c>
      <c r="Y33" s="57"/>
      <c r="Z33" s="58">
        <f>SUM(Z31:Z32)</f>
        <v>-1990</v>
      </c>
      <c r="AE33" s="37"/>
      <c r="AF33" s="37"/>
      <c r="AG33" s="59"/>
      <c r="AH33" s="37"/>
    </row>
    <row r="34" spans="1:34" ht="17.25" thickBot="1" x14ac:dyDescent="0.35">
      <c r="A34" s="337" t="str">
        <f>A2</f>
        <v>12 - 8 - 2022</v>
      </c>
      <c r="B34" s="338"/>
      <c r="C34" s="338"/>
      <c r="D34" s="338"/>
      <c r="E34" s="338"/>
      <c r="F34" s="338"/>
      <c r="G34" s="339"/>
      <c r="H34" s="340" t="s">
        <v>49</v>
      </c>
      <c r="I34" s="341"/>
      <c r="J34" s="337" t="str">
        <f>J2</f>
        <v>SHOWER</v>
      </c>
      <c r="K34" s="339"/>
      <c r="L34" s="341" t="s">
        <v>50</v>
      </c>
      <c r="M34" s="342"/>
      <c r="N34" s="340"/>
      <c r="O34" s="338" t="str">
        <f>O2</f>
        <v>HENDRA</v>
      </c>
      <c r="P34" s="338"/>
      <c r="Q34" s="339"/>
      <c r="R34" s="341" t="s">
        <v>51</v>
      </c>
      <c r="S34" s="340"/>
      <c r="T34" s="329">
        <f>T2</f>
        <v>4</v>
      </c>
      <c r="U34" s="32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0" t="s">
        <v>8</v>
      </c>
      <c r="P36" s="330"/>
      <c r="Q36" s="330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4"/>
      <c r="P37" s="303"/>
      <c r="Q37" s="305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1"/>
      <c r="P38" s="332"/>
      <c r="Q38" s="333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4"/>
      <c r="P39" s="303"/>
      <c r="Q39" s="305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4"/>
      <c r="P40" s="335"/>
      <c r="Q40" s="336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4"/>
      <c r="P41" s="335"/>
      <c r="Q41" s="336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6"/>
      <c r="P42" s="327"/>
      <c r="Q42" s="328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4"/>
      <c r="P43" s="303"/>
      <c r="Q43" s="305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4"/>
      <c r="P44" s="303"/>
      <c r="Q44" s="305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4"/>
      <c r="P45" s="303"/>
      <c r="Q45" s="305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4"/>
      <c r="P46" s="303"/>
      <c r="Q46" s="305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4"/>
      <c r="P47" s="303"/>
      <c r="Q47" s="305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4"/>
      <c r="P48" s="303"/>
      <c r="Q48" s="305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4"/>
      <c r="P49" s="303"/>
      <c r="Q49" s="305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4"/>
      <c r="P50" s="303"/>
      <c r="Q50" s="305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4"/>
      <c r="P51" s="303"/>
      <c r="Q51" s="303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4"/>
      <c r="P52" s="303"/>
      <c r="Q52" s="303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5"/>
      <c r="P53" s="304"/>
      <c r="Q53" s="304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5"/>
      <c r="P54" s="304"/>
      <c r="Q54" s="304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5"/>
      <c r="P55" s="304"/>
      <c r="Q55" s="304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3"/>
      <c r="P56" s="303"/>
      <c r="Q56" s="303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4"/>
      <c r="P57" s="303"/>
      <c r="Q57" s="303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3"/>
      <c r="P58" s="303"/>
      <c r="Q58" s="303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3"/>
      <c r="P59" s="303"/>
      <c r="Q59" s="303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4"/>
      <c r="P60" s="303"/>
      <c r="Q60" s="305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6"/>
      <c r="P61" s="307"/>
      <c r="Q61" s="308"/>
      <c r="R61" s="81"/>
      <c r="S61" s="68"/>
      <c r="T61" s="68"/>
      <c r="U61" s="77"/>
    </row>
    <row r="62" spans="1:21" x14ac:dyDescent="0.3">
      <c r="A62" s="309" t="s">
        <v>48</v>
      </c>
      <c r="B62" s="310"/>
      <c r="C62" s="310"/>
      <c r="D62" s="310"/>
      <c r="E62" s="310"/>
      <c r="F62" s="310"/>
      <c r="G62" s="310"/>
      <c r="H62" s="310">
        <f t="shared" ref="H62:M62" si="8">SUM(H37:H61)</f>
        <v>0</v>
      </c>
      <c r="I62" s="316">
        <f t="shared" si="8"/>
        <v>0</v>
      </c>
      <c r="J62" s="316">
        <f>J61+J60+J59+J58+J57+J56+J55+J54+J53+J52+J51+J50+J49+J48+J47+J46+J45+J44+J43+J42+J41+J40+J39+J38+J37</f>
        <v>0</v>
      </c>
      <c r="K62" s="316">
        <f>K61+K60+K59+K58+K57+K56+K55+K54+K53+K52+K51+K50+K49+K48+K47+K46+K45+K44+K43+K42+K41+K40+K39+K38+K37</f>
        <v>0</v>
      </c>
      <c r="L62" s="319">
        <f t="shared" si="8"/>
        <v>0</v>
      </c>
      <c r="M62" s="322">
        <f t="shared" si="8"/>
        <v>0</v>
      </c>
      <c r="N62" s="291"/>
      <c r="O62" s="292"/>
      <c r="P62" s="292"/>
      <c r="Q62" s="293"/>
      <c r="R62" s="5"/>
      <c r="S62" s="6"/>
      <c r="T62" s="7"/>
      <c r="U62" s="8"/>
    </row>
    <row r="63" spans="1:21" ht="17.25" thickBot="1" x14ac:dyDescent="0.35">
      <c r="A63" s="312"/>
      <c r="B63" s="313"/>
      <c r="C63" s="313"/>
      <c r="D63" s="313"/>
      <c r="E63" s="313"/>
      <c r="F63" s="313"/>
      <c r="G63" s="313"/>
      <c r="H63" s="313"/>
      <c r="I63" s="317"/>
      <c r="J63" s="317"/>
      <c r="K63" s="317"/>
      <c r="L63" s="320"/>
      <c r="M63" s="323"/>
      <c r="N63" s="294"/>
      <c r="O63" s="295"/>
      <c r="P63" s="295"/>
      <c r="Q63" s="296"/>
      <c r="R63" s="1"/>
      <c r="S63" s="2"/>
      <c r="T63" s="3"/>
      <c r="U63" s="4"/>
    </row>
    <row r="64" spans="1:21" ht="17.25" thickBot="1" x14ac:dyDescent="0.35">
      <c r="A64" s="314"/>
      <c r="B64" s="315"/>
      <c r="C64" s="315"/>
      <c r="D64" s="315"/>
      <c r="E64" s="315"/>
      <c r="F64" s="315"/>
      <c r="G64" s="315"/>
      <c r="H64" s="315"/>
      <c r="I64" s="318"/>
      <c r="J64" s="318"/>
      <c r="K64" s="318"/>
      <c r="L64" s="321"/>
      <c r="M64" s="324"/>
      <c r="N64" s="297"/>
      <c r="O64" s="298"/>
      <c r="P64" s="298"/>
      <c r="Q64" s="299"/>
      <c r="R64" s="300" t="s">
        <v>17</v>
      </c>
      <c r="S64" s="301"/>
      <c r="T64" s="301"/>
      <c r="U64" s="302"/>
    </row>
    <row r="65" spans="1:21" ht="17.25" thickBot="1" x14ac:dyDescent="0.35">
      <c r="A65" s="337" t="s">
        <v>24</v>
      </c>
      <c r="B65" s="338"/>
      <c r="C65" s="338"/>
      <c r="D65" s="338"/>
      <c r="E65" s="338"/>
      <c r="F65" s="338"/>
      <c r="G65" s="338"/>
      <c r="H65" s="338"/>
      <c r="I65" s="338"/>
      <c r="J65" s="338"/>
      <c r="K65" s="338"/>
      <c r="L65" s="338"/>
      <c r="M65" s="338"/>
      <c r="N65" s="338"/>
      <c r="O65" s="338"/>
      <c r="P65" s="338"/>
      <c r="Q65" s="338"/>
      <c r="R65" s="338"/>
      <c r="S65" s="338"/>
      <c r="T65" s="338"/>
      <c r="U65" s="339"/>
    </row>
    <row r="66" spans="1:21" ht="17.25" thickBot="1" x14ac:dyDescent="0.35">
      <c r="A66" s="337" t="str">
        <f>A34</f>
        <v>12 - 8 - 2022</v>
      </c>
      <c r="B66" s="338"/>
      <c r="C66" s="338"/>
      <c r="D66" s="338"/>
      <c r="E66" s="338"/>
      <c r="F66" s="338"/>
      <c r="G66" s="339"/>
      <c r="H66" s="340" t="s">
        <v>49</v>
      </c>
      <c r="I66" s="341"/>
      <c r="J66" s="337" t="str">
        <f>J34</f>
        <v>SHOWER</v>
      </c>
      <c r="K66" s="339"/>
      <c r="L66" s="341" t="s">
        <v>50</v>
      </c>
      <c r="M66" s="342"/>
      <c r="N66" s="340"/>
      <c r="O66" s="338" t="str">
        <f>O34</f>
        <v>HENDRA</v>
      </c>
      <c r="P66" s="338"/>
      <c r="Q66" s="339"/>
      <c r="R66" s="341" t="s">
        <v>51</v>
      </c>
      <c r="S66" s="340"/>
      <c r="T66" s="329">
        <f>T34</f>
        <v>4</v>
      </c>
      <c r="U66" s="329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0" t="s">
        <v>8</v>
      </c>
      <c r="P68" s="330"/>
      <c r="Q68" s="330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4"/>
      <c r="P69" s="303"/>
      <c r="Q69" s="305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1"/>
      <c r="P70" s="332"/>
      <c r="Q70" s="333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4"/>
      <c r="P71" s="303"/>
      <c r="Q71" s="305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4"/>
      <c r="P72" s="335"/>
      <c r="Q72" s="336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4"/>
      <c r="P73" s="335"/>
      <c r="Q73" s="336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6"/>
      <c r="P74" s="327"/>
      <c r="Q74" s="328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4"/>
      <c r="P75" s="303"/>
      <c r="Q75" s="305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4"/>
      <c r="P76" s="303"/>
      <c r="Q76" s="305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4"/>
      <c r="P77" s="303"/>
      <c r="Q77" s="305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4"/>
      <c r="P78" s="303"/>
      <c r="Q78" s="305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4"/>
      <c r="P79" s="303"/>
      <c r="Q79" s="305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4"/>
      <c r="P80" s="303"/>
      <c r="Q80" s="305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4"/>
      <c r="P81" s="303"/>
      <c r="Q81" s="305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4"/>
      <c r="P82" s="303"/>
      <c r="Q82" s="305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4"/>
      <c r="P83" s="303"/>
      <c r="Q83" s="303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4"/>
      <c r="P84" s="303"/>
      <c r="Q84" s="303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5"/>
      <c r="P85" s="304"/>
      <c r="Q85" s="304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5"/>
      <c r="P86" s="304"/>
      <c r="Q86" s="304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5"/>
      <c r="P87" s="304"/>
      <c r="Q87" s="304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3"/>
      <c r="P88" s="303"/>
      <c r="Q88" s="303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4"/>
      <c r="P89" s="303"/>
      <c r="Q89" s="303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3"/>
      <c r="P90" s="303"/>
      <c r="Q90" s="303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3"/>
      <c r="P91" s="303"/>
      <c r="Q91" s="303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4"/>
      <c r="P92" s="303"/>
      <c r="Q92" s="305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6"/>
      <c r="P93" s="307"/>
      <c r="Q93" s="308"/>
      <c r="R93" s="81"/>
      <c r="S93" s="68"/>
      <c r="T93" s="68"/>
      <c r="U93" s="77"/>
    </row>
    <row r="94" spans="1:21" x14ac:dyDescent="0.3">
      <c r="A94" s="309" t="s">
        <v>48</v>
      </c>
      <c r="B94" s="310"/>
      <c r="C94" s="310"/>
      <c r="D94" s="310"/>
      <c r="E94" s="311"/>
      <c r="F94" s="310"/>
      <c r="G94" s="310"/>
      <c r="H94" s="310">
        <f t="shared" ref="H94:M94" si="12">SUM(H69:H93)</f>
        <v>0</v>
      </c>
      <c r="I94" s="316">
        <f t="shared" si="12"/>
        <v>0</v>
      </c>
      <c r="J94" s="316">
        <f>J93+J92+J91+J90+J89+J88+J87+J86+J85+J84+J83+J82+J81+J80+J79+J78+J77+J76+J75+J74+J73+J72+J71+J70+J69</f>
        <v>0</v>
      </c>
      <c r="K94" s="316">
        <f>K93+K92+K91+K90+K89+K88+K87+K86+K85+K84+K83+K82+K81+K80+K79+K78+K77+K76+K75+K74+K73+K72+K71+K70+K69</f>
        <v>0</v>
      </c>
      <c r="L94" s="319">
        <f t="shared" si="12"/>
        <v>0</v>
      </c>
      <c r="M94" s="322">
        <f t="shared" si="12"/>
        <v>0</v>
      </c>
      <c r="N94" s="291"/>
      <c r="O94" s="292"/>
      <c r="P94" s="292"/>
      <c r="Q94" s="293"/>
      <c r="R94" s="5"/>
      <c r="S94" s="6"/>
      <c r="T94" s="7"/>
      <c r="U94" s="8"/>
    </row>
    <row r="95" spans="1:21" ht="17.25" thickBot="1" x14ac:dyDescent="0.35">
      <c r="A95" s="312"/>
      <c r="B95" s="313"/>
      <c r="C95" s="313"/>
      <c r="D95" s="313"/>
      <c r="E95" s="313"/>
      <c r="F95" s="313"/>
      <c r="G95" s="313"/>
      <c r="H95" s="313"/>
      <c r="I95" s="317"/>
      <c r="J95" s="317"/>
      <c r="K95" s="317"/>
      <c r="L95" s="320"/>
      <c r="M95" s="323"/>
      <c r="N95" s="294"/>
      <c r="O95" s="295"/>
      <c r="P95" s="295"/>
      <c r="Q95" s="296"/>
      <c r="R95" s="1"/>
      <c r="S95" s="2"/>
      <c r="T95" s="3"/>
      <c r="U95" s="4"/>
    </row>
    <row r="96" spans="1:21" ht="17.25" thickBot="1" x14ac:dyDescent="0.35">
      <c r="A96" s="314"/>
      <c r="B96" s="315"/>
      <c r="C96" s="315"/>
      <c r="D96" s="315"/>
      <c r="E96" s="315"/>
      <c r="F96" s="315"/>
      <c r="G96" s="315"/>
      <c r="H96" s="315"/>
      <c r="I96" s="318"/>
      <c r="J96" s="318"/>
      <c r="K96" s="318"/>
      <c r="L96" s="321"/>
      <c r="M96" s="324"/>
      <c r="N96" s="297"/>
      <c r="O96" s="298"/>
      <c r="P96" s="298"/>
      <c r="Q96" s="299"/>
      <c r="R96" s="300" t="s">
        <v>52</v>
      </c>
      <c r="S96" s="301"/>
      <c r="T96" s="301"/>
      <c r="U96" s="302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O14" sqref="O14:Q14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7" t="s">
        <v>77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9"/>
    </row>
    <row r="2" spans="1:44" ht="17.25" thickBot="1" x14ac:dyDescent="0.35">
      <c r="A2" s="337" t="s">
        <v>289</v>
      </c>
      <c r="B2" s="338"/>
      <c r="C2" s="338"/>
      <c r="D2" s="338"/>
      <c r="E2" s="338"/>
      <c r="F2" s="338"/>
      <c r="G2" s="339"/>
      <c r="H2" s="340" t="s">
        <v>49</v>
      </c>
      <c r="I2" s="341"/>
      <c r="J2" s="337" t="s">
        <v>209</v>
      </c>
      <c r="K2" s="339"/>
      <c r="L2" s="341" t="s">
        <v>96</v>
      </c>
      <c r="M2" s="342"/>
      <c r="N2" s="340"/>
      <c r="O2" s="338" t="s">
        <v>98</v>
      </c>
      <c r="P2" s="338"/>
      <c r="Q2" s="339"/>
      <c r="R2" s="341" t="s">
        <v>51</v>
      </c>
      <c r="S2" s="340"/>
      <c r="T2" s="329">
        <v>8</v>
      </c>
      <c r="U2" s="32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0" t="s">
        <v>8</v>
      </c>
      <c r="P4" s="330"/>
      <c r="Q4" s="330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753">
        <v>10578</v>
      </c>
      <c r="C5" s="68" t="s">
        <v>290</v>
      </c>
      <c r="D5" s="200" t="s">
        <v>291</v>
      </c>
      <c r="E5" s="181" t="s">
        <v>105</v>
      </c>
      <c r="F5" s="170">
        <v>805</v>
      </c>
      <c r="G5" s="118" t="s">
        <v>292</v>
      </c>
      <c r="H5" s="91"/>
      <c r="I5" s="754">
        <v>95.95</v>
      </c>
      <c r="J5" s="755" t="str">
        <f>IF(G5="RSL","55","0")</f>
        <v>0</v>
      </c>
      <c r="K5" s="755" t="str">
        <f>IF(G5="GVS","37.5",IF(G5="GVM","41.5",IF(G5="GVL","50",IF(G5="PCS","45.8",IF(G5="PCM","50",IF(G5="PCL","58.3","0"))))))</f>
        <v>0</v>
      </c>
      <c r="L5" s="131"/>
      <c r="M5" s="131"/>
      <c r="N5" s="132" t="s">
        <v>293</v>
      </c>
      <c r="O5" s="376"/>
      <c r="P5" s="377"/>
      <c r="Q5" s="378"/>
      <c r="R5" s="33" t="s">
        <v>298</v>
      </c>
      <c r="S5" s="31">
        <v>0.35416666666666669</v>
      </c>
      <c r="T5" s="32">
        <v>0.71875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756">
        <v>10579</v>
      </c>
      <c r="C6" s="67" t="s">
        <v>294</v>
      </c>
      <c r="D6" s="200" t="s">
        <v>295</v>
      </c>
      <c r="E6" s="181" t="s">
        <v>296</v>
      </c>
      <c r="F6" s="171">
        <v>925</v>
      </c>
      <c r="G6" s="118" t="s">
        <v>297</v>
      </c>
      <c r="H6" s="91">
        <v>55</v>
      </c>
      <c r="I6" s="754"/>
      <c r="J6" s="755" t="str">
        <f t="shared" ref="J6:J26" si="1">IF(G6="RSL","55","0")</f>
        <v>0</v>
      </c>
      <c r="K6" s="755" t="str">
        <f t="shared" ref="K6:K26" si="2">IF(G6="GVS","37.5",IF(G6="GVM","41.5",IF(G6="GVL","50",IF(G6="PCS","45.8",IF(G6="PCM","50",IF(G6="PCL","58.3","0"))))))</f>
        <v>0</v>
      </c>
      <c r="L6" s="131"/>
      <c r="M6" s="131"/>
      <c r="N6" s="134" t="s">
        <v>298</v>
      </c>
      <c r="O6" s="376"/>
      <c r="P6" s="377"/>
      <c r="Q6" s="378"/>
      <c r="R6" s="132" t="s">
        <v>293</v>
      </c>
      <c r="S6" s="31">
        <v>0.33333333333333331</v>
      </c>
      <c r="T6" s="32">
        <v>0.71875</v>
      </c>
      <c r="U6" s="92">
        <f t="shared" si="0"/>
        <v>9.25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753">
        <v>10580</v>
      </c>
      <c r="C7" s="67" t="s">
        <v>299</v>
      </c>
      <c r="D7" s="200" t="s">
        <v>300</v>
      </c>
      <c r="E7" s="181" t="s">
        <v>296</v>
      </c>
      <c r="F7" s="171">
        <v>1025</v>
      </c>
      <c r="G7" s="118" t="s">
        <v>292</v>
      </c>
      <c r="H7" s="91">
        <v>95</v>
      </c>
      <c r="I7" s="754"/>
      <c r="J7" s="755" t="str">
        <f t="shared" si="1"/>
        <v>0</v>
      </c>
      <c r="K7" s="755" t="str">
        <f t="shared" si="2"/>
        <v>0</v>
      </c>
      <c r="L7" s="131"/>
      <c r="M7" s="131"/>
      <c r="N7" s="134" t="s">
        <v>298</v>
      </c>
      <c r="O7" s="376"/>
      <c r="P7" s="377"/>
      <c r="Q7" s="378"/>
      <c r="R7" s="134" t="s">
        <v>346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756">
        <v>10581</v>
      </c>
      <c r="C8" s="27" t="s">
        <v>301</v>
      </c>
      <c r="D8" s="200" t="s">
        <v>302</v>
      </c>
      <c r="E8" s="181" t="s">
        <v>296</v>
      </c>
      <c r="F8" s="171">
        <v>1100</v>
      </c>
      <c r="G8" s="118" t="s">
        <v>303</v>
      </c>
      <c r="H8" s="91">
        <v>400</v>
      </c>
      <c r="I8" s="754"/>
      <c r="J8" s="755" t="str">
        <f t="shared" si="1"/>
        <v>0</v>
      </c>
      <c r="K8" s="755" t="str">
        <f t="shared" si="2"/>
        <v>0</v>
      </c>
      <c r="L8" s="131"/>
      <c r="M8" s="131"/>
      <c r="N8" s="134" t="s">
        <v>298</v>
      </c>
      <c r="O8" s="376"/>
      <c r="P8" s="377"/>
      <c r="Q8" s="378"/>
      <c r="R8" s="26" t="s">
        <v>347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753">
        <v>10582</v>
      </c>
      <c r="C9" s="68" t="s">
        <v>304</v>
      </c>
      <c r="D9" s="200" t="s">
        <v>305</v>
      </c>
      <c r="E9" s="181" t="s">
        <v>306</v>
      </c>
      <c r="F9" s="170">
        <v>1105</v>
      </c>
      <c r="G9" s="118" t="s">
        <v>307</v>
      </c>
      <c r="H9" s="91">
        <v>380</v>
      </c>
      <c r="I9" s="754"/>
      <c r="J9" s="755" t="str">
        <f t="shared" si="1"/>
        <v>0</v>
      </c>
      <c r="K9" s="755" t="str">
        <f t="shared" si="2"/>
        <v>0</v>
      </c>
      <c r="L9" s="131"/>
      <c r="M9" s="131"/>
      <c r="N9" s="134" t="s">
        <v>298</v>
      </c>
      <c r="O9" s="376"/>
      <c r="P9" s="377"/>
      <c r="Q9" s="378"/>
      <c r="R9" s="26" t="s">
        <v>348</v>
      </c>
      <c r="S9" s="31">
        <v>0.35416666666666669</v>
      </c>
      <c r="T9" s="32">
        <v>0.71875</v>
      </c>
      <c r="U9" s="92">
        <f t="shared" si="0"/>
        <v>8.75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756">
        <v>10583</v>
      </c>
      <c r="C10" s="68" t="s">
        <v>308</v>
      </c>
      <c r="D10" s="200" t="s">
        <v>309</v>
      </c>
      <c r="E10" s="181" t="s">
        <v>306</v>
      </c>
      <c r="F10" s="170">
        <v>1110</v>
      </c>
      <c r="G10" s="118" t="s">
        <v>310</v>
      </c>
      <c r="H10" s="91"/>
      <c r="I10" s="754"/>
      <c r="J10" s="755" t="str">
        <f t="shared" si="1"/>
        <v>0</v>
      </c>
      <c r="K10" s="755">
        <v>79.099999999999994</v>
      </c>
      <c r="L10" s="131"/>
      <c r="M10" s="131"/>
      <c r="N10" s="134" t="s">
        <v>298</v>
      </c>
      <c r="O10" s="376" t="s">
        <v>311</v>
      </c>
      <c r="P10" s="377"/>
      <c r="Q10" s="378"/>
      <c r="R10" s="26" t="s">
        <v>349</v>
      </c>
      <c r="S10" s="31">
        <v>0.39583333333333331</v>
      </c>
      <c r="T10" s="32">
        <v>0.71875</v>
      </c>
      <c r="U10" s="92">
        <f t="shared" si="0"/>
        <v>7.75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753">
        <v>10584</v>
      </c>
      <c r="C11" s="68" t="s">
        <v>312</v>
      </c>
      <c r="D11" s="200" t="s">
        <v>313</v>
      </c>
      <c r="E11" s="181" t="s">
        <v>296</v>
      </c>
      <c r="F11" s="170">
        <v>1115</v>
      </c>
      <c r="G11" s="118" t="s">
        <v>297</v>
      </c>
      <c r="H11" s="91"/>
      <c r="I11" s="754">
        <v>75.75</v>
      </c>
      <c r="J11" s="755" t="str">
        <f t="shared" si="1"/>
        <v>0</v>
      </c>
      <c r="K11" s="755" t="str">
        <f t="shared" si="2"/>
        <v>0</v>
      </c>
      <c r="L11" s="131"/>
      <c r="M11" s="131"/>
      <c r="N11" s="134" t="s">
        <v>298</v>
      </c>
      <c r="O11" s="376"/>
      <c r="P11" s="377"/>
      <c r="Q11" s="378"/>
      <c r="R11" s="26" t="s">
        <v>350</v>
      </c>
      <c r="S11" s="31">
        <v>0.36458333333333331</v>
      </c>
      <c r="T11" s="32">
        <v>0.71875</v>
      </c>
      <c r="U11" s="92">
        <f t="shared" si="0"/>
        <v>8.5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756">
        <v>10585</v>
      </c>
      <c r="C12" s="68" t="s">
        <v>314</v>
      </c>
      <c r="D12" s="200" t="s">
        <v>315</v>
      </c>
      <c r="E12" s="181" t="s">
        <v>296</v>
      </c>
      <c r="F12" s="170">
        <v>1130</v>
      </c>
      <c r="G12" s="118" t="s">
        <v>292</v>
      </c>
      <c r="H12" s="91"/>
      <c r="I12" s="754">
        <v>95.95</v>
      </c>
      <c r="J12" s="755" t="str">
        <f t="shared" si="1"/>
        <v>0</v>
      </c>
      <c r="K12" s="755" t="str">
        <f t="shared" si="2"/>
        <v>0</v>
      </c>
      <c r="L12" s="131"/>
      <c r="M12" s="131"/>
      <c r="N12" s="134" t="s">
        <v>298</v>
      </c>
      <c r="O12" s="376"/>
      <c r="P12" s="377"/>
      <c r="Q12" s="378"/>
      <c r="R12" s="26" t="s">
        <v>351</v>
      </c>
      <c r="S12" s="31">
        <v>0.39583333333333331</v>
      </c>
      <c r="T12" s="32">
        <v>0.70833333333333337</v>
      </c>
      <c r="U12" s="92">
        <f t="shared" si="0"/>
        <v>7.5000000000000018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753">
        <v>10586</v>
      </c>
      <c r="C13" s="68" t="s">
        <v>316</v>
      </c>
      <c r="D13" s="200" t="s">
        <v>317</v>
      </c>
      <c r="E13" s="181" t="s">
        <v>181</v>
      </c>
      <c r="F13" s="170">
        <v>1145</v>
      </c>
      <c r="G13" s="118" t="s">
        <v>292</v>
      </c>
      <c r="H13" s="91">
        <v>75</v>
      </c>
      <c r="I13" s="754"/>
      <c r="J13" s="755" t="str">
        <f t="shared" si="1"/>
        <v>0</v>
      </c>
      <c r="K13" s="755" t="str">
        <f t="shared" si="2"/>
        <v>0</v>
      </c>
      <c r="L13" s="131"/>
      <c r="M13" s="131"/>
      <c r="N13" s="134" t="s">
        <v>298</v>
      </c>
      <c r="O13" s="376"/>
      <c r="P13" s="377"/>
      <c r="Q13" s="378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756">
        <v>10587</v>
      </c>
      <c r="C14" s="68" t="s">
        <v>318</v>
      </c>
      <c r="D14" s="200" t="s">
        <v>319</v>
      </c>
      <c r="E14" s="181" t="s">
        <v>306</v>
      </c>
      <c r="F14" s="170">
        <v>1220</v>
      </c>
      <c r="G14" s="118" t="s">
        <v>297</v>
      </c>
      <c r="H14" s="91"/>
      <c r="I14" s="754">
        <v>75</v>
      </c>
      <c r="J14" s="755" t="str">
        <f t="shared" si="1"/>
        <v>0</v>
      </c>
      <c r="K14" s="755" t="str">
        <f t="shared" si="2"/>
        <v>0</v>
      </c>
      <c r="L14" s="131"/>
      <c r="M14" s="131"/>
      <c r="N14" s="134" t="s">
        <v>298</v>
      </c>
      <c r="O14" s="376"/>
      <c r="P14" s="377"/>
      <c r="Q14" s="378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753">
        <v>10588</v>
      </c>
      <c r="C15" s="68" t="s">
        <v>320</v>
      </c>
      <c r="D15" s="200" t="s">
        <v>321</v>
      </c>
      <c r="E15" s="181" t="s">
        <v>306</v>
      </c>
      <c r="F15" s="170">
        <v>1230</v>
      </c>
      <c r="G15" s="118" t="s">
        <v>292</v>
      </c>
      <c r="H15" s="91">
        <v>95</v>
      </c>
      <c r="I15" s="754"/>
      <c r="J15" s="755" t="str">
        <f t="shared" si="1"/>
        <v>0</v>
      </c>
      <c r="K15" s="755" t="str">
        <f t="shared" si="2"/>
        <v>0</v>
      </c>
      <c r="L15" s="131"/>
      <c r="M15" s="131"/>
      <c r="N15" s="134" t="s">
        <v>298</v>
      </c>
      <c r="O15" s="376"/>
      <c r="P15" s="377"/>
      <c r="Q15" s="378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756">
        <v>10589</v>
      </c>
      <c r="C16" s="68" t="s">
        <v>322</v>
      </c>
      <c r="D16" s="200" t="s">
        <v>323</v>
      </c>
      <c r="E16" s="181" t="s">
        <v>306</v>
      </c>
      <c r="F16" s="170">
        <v>1250</v>
      </c>
      <c r="G16" s="118" t="s">
        <v>324</v>
      </c>
      <c r="H16" s="91"/>
      <c r="I16" s="754">
        <v>131.30000000000001</v>
      </c>
      <c r="J16" s="755" t="str">
        <f t="shared" si="1"/>
        <v>0</v>
      </c>
      <c r="K16" s="755" t="str">
        <f t="shared" si="2"/>
        <v>0</v>
      </c>
      <c r="L16" s="131"/>
      <c r="M16" s="131"/>
      <c r="N16" s="134" t="s">
        <v>298</v>
      </c>
      <c r="O16" s="376"/>
      <c r="P16" s="377"/>
      <c r="Q16" s="378"/>
      <c r="R16" s="82">
        <f>H32/U16</f>
        <v>0.32592592592592595</v>
      </c>
      <c r="S16" s="83">
        <f>H32/(U16-U5)</f>
        <v>0.37446808510638296</v>
      </c>
      <c r="T16" s="83">
        <f>C32/U16</f>
        <v>41.097037037037033</v>
      </c>
      <c r="U16" s="83">
        <f>SUM(U5:U15)</f>
        <v>67.5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753">
        <v>10590</v>
      </c>
      <c r="C17" s="68" t="s">
        <v>325</v>
      </c>
      <c r="D17" s="200" t="s">
        <v>326</v>
      </c>
      <c r="E17" s="181" t="s">
        <v>306</v>
      </c>
      <c r="F17" s="170">
        <v>1330</v>
      </c>
      <c r="G17" s="118" t="s">
        <v>292</v>
      </c>
      <c r="H17" s="91"/>
      <c r="I17" s="754">
        <v>95.95</v>
      </c>
      <c r="J17" s="755" t="str">
        <f t="shared" si="1"/>
        <v>0</v>
      </c>
      <c r="K17" s="755" t="str">
        <f t="shared" si="2"/>
        <v>0</v>
      </c>
      <c r="L17" s="131"/>
      <c r="M17" s="131"/>
      <c r="N17" s="134" t="s">
        <v>298</v>
      </c>
      <c r="O17" s="376"/>
      <c r="P17" s="377"/>
      <c r="Q17" s="378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756">
        <v>10591</v>
      </c>
      <c r="C18" s="68" t="s">
        <v>327</v>
      </c>
      <c r="D18" s="200" t="s">
        <v>328</v>
      </c>
      <c r="E18" s="181" t="s">
        <v>306</v>
      </c>
      <c r="F18" s="170">
        <v>1330</v>
      </c>
      <c r="G18" s="118" t="s">
        <v>297</v>
      </c>
      <c r="H18" s="91">
        <v>55</v>
      </c>
      <c r="I18" s="754"/>
      <c r="J18" s="755" t="str">
        <f t="shared" si="1"/>
        <v>0</v>
      </c>
      <c r="K18" s="755" t="str">
        <f t="shared" si="2"/>
        <v>0</v>
      </c>
      <c r="L18" s="131"/>
      <c r="M18" s="131"/>
      <c r="N18" s="134" t="s">
        <v>298</v>
      </c>
      <c r="O18" s="376"/>
      <c r="P18" s="377"/>
      <c r="Q18" s="378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753">
        <v>10592</v>
      </c>
      <c r="C19" s="68" t="s">
        <v>329</v>
      </c>
      <c r="D19" s="200" t="s">
        <v>330</v>
      </c>
      <c r="E19" s="181" t="s">
        <v>296</v>
      </c>
      <c r="F19" s="170">
        <v>1340</v>
      </c>
      <c r="G19" s="118" t="s">
        <v>292</v>
      </c>
      <c r="H19" s="91">
        <v>75</v>
      </c>
      <c r="I19" s="754"/>
      <c r="J19" s="755" t="str">
        <f t="shared" si="1"/>
        <v>0</v>
      </c>
      <c r="K19" s="755" t="str">
        <f t="shared" si="2"/>
        <v>0</v>
      </c>
      <c r="L19" s="131"/>
      <c r="M19" s="131"/>
      <c r="N19" s="134" t="s">
        <v>298</v>
      </c>
      <c r="O19" s="376"/>
      <c r="P19" s="377"/>
      <c r="Q19" s="378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756">
        <v>10593</v>
      </c>
      <c r="C20" s="68" t="s">
        <v>331</v>
      </c>
      <c r="D20" s="200" t="s">
        <v>332</v>
      </c>
      <c r="E20" s="181" t="s">
        <v>296</v>
      </c>
      <c r="F20" s="170">
        <v>1410</v>
      </c>
      <c r="G20" s="118" t="s">
        <v>303</v>
      </c>
      <c r="H20" s="91">
        <v>400</v>
      </c>
      <c r="I20" s="754"/>
      <c r="J20" s="755" t="str">
        <f t="shared" si="1"/>
        <v>0</v>
      </c>
      <c r="K20" s="755" t="str">
        <f t="shared" si="2"/>
        <v>0</v>
      </c>
      <c r="L20" s="131"/>
      <c r="M20" s="131"/>
      <c r="N20" s="134" t="s">
        <v>298</v>
      </c>
      <c r="O20" s="376"/>
      <c r="P20" s="377"/>
      <c r="Q20" s="37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753">
        <v>10594</v>
      </c>
      <c r="C21" s="68" t="s">
        <v>333</v>
      </c>
      <c r="D21" s="200" t="s">
        <v>334</v>
      </c>
      <c r="E21" s="181" t="s">
        <v>296</v>
      </c>
      <c r="F21" s="170">
        <v>1415</v>
      </c>
      <c r="G21" s="118" t="s">
        <v>292</v>
      </c>
      <c r="H21" s="91"/>
      <c r="I21" s="754">
        <v>95</v>
      </c>
      <c r="J21" s="755" t="str">
        <f t="shared" si="1"/>
        <v>0</v>
      </c>
      <c r="K21" s="755" t="str">
        <f t="shared" si="2"/>
        <v>0</v>
      </c>
      <c r="L21" s="131"/>
      <c r="M21" s="131"/>
      <c r="N21" s="134" t="s">
        <v>298</v>
      </c>
      <c r="O21" s="376"/>
      <c r="P21" s="377"/>
      <c r="Q21" s="37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756">
        <v>10595</v>
      </c>
      <c r="C22" s="68" t="s">
        <v>335</v>
      </c>
      <c r="D22" s="200" t="s">
        <v>336</v>
      </c>
      <c r="E22" s="181" t="s">
        <v>306</v>
      </c>
      <c r="F22" s="170">
        <v>1420</v>
      </c>
      <c r="G22" s="118" t="s">
        <v>292</v>
      </c>
      <c r="H22" s="91">
        <v>95</v>
      </c>
      <c r="I22" s="754"/>
      <c r="J22" s="755" t="str">
        <f t="shared" si="1"/>
        <v>0</v>
      </c>
      <c r="K22" s="755" t="str">
        <f t="shared" si="2"/>
        <v>0</v>
      </c>
      <c r="L22" s="131"/>
      <c r="M22" s="131"/>
      <c r="N22" s="134" t="s">
        <v>298</v>
      </c>
      <c r="O22" s="376"/>
      <c r="P22" s="377"/>
      <c r="Q22" s="378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753">
        <v>10596</v>
      </c>
      <c r="C23" s="68" t="s">
        <v>337</v>
      </c>
      <c r="D23" s="200" t="s">
        <v>338</v>
      </c>
      <c r="E23" s="181" t="s">
        <v>306</v>
      </c>
      <c r="F23" s="170">
        <v>1425</v>
      </c>
      <c r="G23" s="118" t="s">
        <v>297</v>
      </c>
      <c r="H23" s="91">
        <v>55</v>
      </c>
      <c r="I23" s="754"/>
      <c r="J23" s="755" t="str">
        <f t="shared" si="1"/>
        <v>0</v>
      </c>
      <c r="K23" s="755" t="str">
        <f t="shared" si="2"/>
        <v>0</v>
      </c>
      <c r="L23" s="131"/>
      <c r="M23" s="131"/>
      <c r="N23" s="134" t="s">
        <v>298</v>
      </c>
      <c r="O23" s="376"/>
      <c r="P23" s="377"/>
      <c r="Q23" s="378"/>
      <c r="R23" s="113"/>
      <c r="S23" s="114"/>
      <c r="T23" s="114"/>
      <c r="U23" s="115"/>
      <c r="X23" s="370"/>
      <c r="Y23" s="371"/>
      <c r="Z23" s="371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756">
        <v>10597</v>
      </c>
      <c r="C24" s="68" t="s">
        <v>339</v>
      </c>
      <c r="D24" s="200" t="s">
        <v>340</v>
      </c>
      <c r="E24" s="181" t="s">
        <v>296</v>
      </c>
      <c r="F24" s="170">
        <v>1430</v>
      </c>
      <c r="G24" s="118" t="s">
        <v>292</v>
      </c>
      <c r="H24" s="91"/>
      <c r="I24" s="754">
        <v>75</v>
      </c>
      <c r="J24" s="755" t="str">
        <f t="shared" si="1"/>
        <v>0</v>
      </c>
      <c r="K24" s="755" t="str">
        <f t="shared" si="2"/>
        <v>0</v>
      </c>
      <c r="L24" s="131"/>
      <c r="M24" s="131"/>
      <c r="N24" s="134" t="s">
        <v>298</v>
      </c>
      <c r="O24" s="376"/>
      <c r="P24" s="377"/>
      <c r="Q24" s="378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753">
        <v>10598</v>
      </c>
      <c r="C25" s="132" t="s">
        <v>341</v>
      </c>
      <c r="D25" s="208" t="s">
        <v>342</v>
      </c>
      <c r="E25" s="181" t="s">
        <v>296</v>
      </c>
      <c r="F25" s="175">
        <v>1515</v>
      </c>
      <c r="G25" s="290" t="s">
        <v>310</v>
      </c>
      <c r="H25" s="90"/>
      <c r="I25" s="90"/>
      <c r="J25" s="755" t="str">
        <f t="shared" si="1"/>
        <v>0</v>
      </c>
      <c r="K25" s="755">
        <v>79.099999999999994</v>
      </c>
      <c r="L25" s="69"/>
      <c r="M25" s="69"/>
      <c r="N25" s="134" t="s">
        <v>298</v>
      </c>
      <c r="O25" s="376" t="s">
        <v>343</v>
      </c>
      <c r="P25" s="377"/>
      <c r="Q25" s="378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4">
        <f>((C32+(R26+S26+T26)*0.5))</f>
        <v>2774.0499999999997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756">
        <v>10599</v>
      </c>
      <c r="C26" s="27" t="s">
        <v>344</v>
      </c>
      <c r="D26" s="209" t="s">
        <v>345</v>
      </c>
      <c r="E26" s="181" t="s">
        <v>296</v>
      </c>
      <c r="F26" s="177">
        <v>1540</v>
      </c>
      <c r="G26" s="20" t="s">
        <v>292</v>
      </c>
      <c r="H26" s="89"/>
      <c r="I26" s="757">
        <v>95.95</v>
      </c>
      <c r="J26" s="755" t="str">
        <f t="shared" si="1"/>
        <v>0</v>
      </c>
      <c r="K26" s="755" t="str">
        <f t="shared" si="2"/>
        <v>0</v>
      </c>
      <c r="L26" s="69"/>
      <c r="M26" s="69"/>
      <c r="N26" s="134" t="s">
        <v>298</v>
      </c>
      <c r="O26" s="376"/>
      <c r="P26" s="377"/>
      <c r="Q26" s="378"/>
      <c r="R26" s="112">
        <f>R25*37.5</f>
        <v>0</v>
      </c>
      <c r="S26" s="102">
        <f>S25*41.5</f>
        <v>0</v>
      </c>
      <c r="T26" s="102">
        <f>T25*50</f>
        <v>0</v>
      </c>
      <c r="U26" s="37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ref="J6:J29" si="3">IF(G27="RSL","55","0")</f>
        <v>0</v>
      </c>
      <c r="K27" s="130" t="str">
        <f t="shared" ref="K6:K29" si="4">IF(G27="GVS","37.5",IF(G27="GVM","41.5",IF(G27="GVL","50",IF(G27="PCS","45.8",IF(G27="PCM","50",IF(G27="PCL","58.3","0"))))))</f>
        <v>0</v>
      </c>
      <c r="L27" s="69"/>
      <c r="M27" s="69"/>
      <c r="N27" s="134"/>
      <c r="O27" s="304"/>
      <c r="P27" s="303"/>
      <c r="Q27" s="305"/>
      <c r="R27" s="367" t="s">
        <v>56</v>
      </c>
      <c r="S27" s="368"/>
      <c r="T27" s="368"/>
      <c r="U27" s="369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3"/>
        <v>0</v>
      </c>
      <c r="K28" s="130" t="str">
        <f t="shared" si="4"/>
        <v>0</v>
      </c>
      <c r="L28" s="69"/>
      <c r="M28" s="69"/>
      <c r="N28" s="134"/>
      <c r="O28" s="304"/>
      <c r="P28" s="303"/>
      <c r="Q28" s="305"/>
      <c r="R28" s="360"/>
      <c r="S28" s="361"/>
      <c r="T28" s="362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3"/>
        <v>0</v>
      </c>
      <c r="K29" s="130" t="str">
        <f t="shared" si="4"/>
        <v>0</v>
      </c>
      <c r="L29" s="69"/>
      <c r="M29" s="69"/>
      <c r="N29" s="134"/>
      <c r="O29" s="347"/>
      <c r="P29" s="348"/>
      <c r="Q29" s="349"/>
      <c r="R29" s="350"/>
      <c r="S29" s="351"/>
      <c r="T29" s="352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3" t="s">
        <v>48</v>
      </c>
      <c r="B30" s="354"/>
      <c r="C30" s="354"/>
      <c r="D30" s="354"/>
      <c r="E30" s="355"/>
      <c r="F30" s="354"/>
      <c r="G30" s="354"/>
      <c r="H30" s="264">
        <f t="shared" ref="H30:M30" si="5">SUM(H5:H29)</f>
        <v>1780</v>
      </c>
      <c r="I30" s="105">
        <f>SUM(I5:I29)</f>
        <v>835.85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158.19999999999999</v>
      </c>
      <c r="L30" s="106">
        <f t="shared" si="5"/>
        <v>0</v>
      </c>
      <c r="M30" s="106">
        <f t="shared" si="5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6"/>
      <c r="S30" s="356"/>
      <c r="T30" s="357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8" t="s">
        <v>16</v>
      </c>
      <c r="B31" s="359"/>
      <c r="C31" s="359"/>
      <c r="D31" s="359"/>
      <c r="E31" s="359"/>
      <c r="F31" s="359"/>
      <c r="G31" s="359"/>
      <c r="H31" s="265">
        <f t="shared" ref="H31:J31" si="6">H30+H62+H94</f>
        <v>1780</v>
      </c>
      <c r="I31" s="103">
        <f t="shared" si="6"/>
        <v>835.85</v>
      </c>
      <c r="J31" s="103">
        <f t="shared" si="6"/>
        <v>0</v>
      </c>
      <c r="K31" s="103">
        <f>K30+K62+K94</f>
        <v>158.19999999999999</v>
      </c>
      <c r="L31" s="97">
        <f>L30+L62+L94</f>
        <v>0</v>
      </c>
      <c r="M31" s="97">
        <f>M30+M62+M94</f>
        <v>0</v>
      </c>
      <c r="N31" s="262">
        <f>COUNT(H5:H29,H37:H61,H69:H93)</f>
        <v>11</v>
      </c>
      <c r="O31" s="104">
        <f>COUNT(I5:I29,I37:I61,I69:I93)</f>
        <v>9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1780</v>
      </c>
      <c r="T31" s="343">
        <f>H31+I31+L31+M31</f>
        <v>2615.85</v>
      </c>
      <c r="U31" s="344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3" t="s">
        <v>55</v>
      </c>
      <c r="B32" s="364"/>
      <c r="C32" s="107">
        <f>H31+I31+J31+K31</f>
        <v>2774.0499999999997</v>
      </c>
      <c r="D32" s="196"/>
      <c r="E32" s="107"/>
      <c r="F32" s="365" t="s">
        <v>53</v>
      </c>
      <c r="G32" s="365"/>
      <c r="H32" s="109">
        <f>COUNT(B5:B29,B37:B61,B69:B93)</f>
        <v>22</v>
      </c>
      <c r="I32" s="366" t="s">
        <v>54</v>
      </c>
      <c r="J32" s="366"/>
      <c r="K32" s="108">
        <f>C32/H32</f>
        <v>126.0931818181818</v>
      </c>
      <c r="L32" s="260"/>
      <c r="M32" s="260"/>
      <c r="N32" s="260">
        <f>H31/C32</f>
        <v>0.6416611092085579</v>
      </c>
      <c r="O32" s="260">
        <f>I31/C32</f>
        <v>0.30131035850110854</v>
      </c>
      <c r="P32" s="260">
        <f>K31/C32</f>
        <v>5.7028532290333632E-2</v>
      </c>
      <c r="Q32" s="110">
        <f>J31/C32</f>
        <v>0</v>
      </c>
      <c r="R32" s="99" t="s">
        <v>82</v>
      </c>
      <c r="S32" s="266">
        <f>I31+M31</f>
        <v>835.85</v>
      </c>
      <c r="T32" s="345"/>
      <c r="U32" s="346"/>
      <c r="V32" s="55"/>
      <c r="W32" s="55"/>
      <c r="X32" s="56" t="s">
        <v>27</v>
      </c>
      <c r="Y32" s="56"/>
      <c r="Z32" s="54">
        <f>I31</f>
        <v>835.85</v>
      </c>
      <c r="AE32" s="37"/>
      <c r="AF32" s="37"/>
      <c r="AG32" s="37"/>
      <c r="AH32" s="37"/>
    </row>
    <row r="33" spans="1:34" ht="17.25" thickBot="1" x14ac:dyDescent="0.35">
      <c r="A33" s="297" t="s">
        <v>24</v>
      </c>
      <c r="B33" s="298"/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338"/>
      <c r="U33" s="339"/>
      <c r="X33" s="57" t="s">
        <v>29</v>
      </c>
      <c r="Y33" s="57"/>
      <c r="Z33" s="58">
        <f>SUM(Z31:Z32)</f>
        <v>-1909.15</v>
      </c>
      <c r="AE33" s="37"/>
      <c r="AF33" s="37"/>
      <c r="AG33" s="59"/>
      <c r="AH33" s="37"/>
    </row>
    <row r="34" spans="1:34" ht="17.25" thickBot="1" x14ac:dyDescent="0.35">
      <c r="A34" s="337" t="str">
        <f>A2</f>
        <v>13-08-2022</v>
      </c>
      <c r="B34" s="338"/>
      <c r="C34" s="338"/>
      <c r="D34" s="338"/>
      <c r="E34" s="338"/>
      <c r="F34" s="338"/>
      <c r="G34" s="339"/>
      <c r="H34" s="340" t="s">
        <v>49</v>
      </c>
      <c r="I34" s="341"/>
      <c r="J34" s="337" t="str">
        <f>J2</f>
        <v>CLOUDY</v>
      </c>
      <c r="K34" s="339"/>
      <c r="L34" s="341" t="s">
        <v>50</v>
      </c>
      <c r="M34" s="342"/>
      <c r="N34" s="340"/>
      <c r="O34" s="338" t="str">
        <f>O2</f>
        <v>JOHN</v>
      </c>
      <c r="P34" s="338"/>
      <c r="Q34" s="339"/>
      <c r="R34" s="341" t="s">
        <v>51</v>
      </c>
      <c r="S34" s="340"/>
      <c r="T34" s="329">
        <f>T2</f>
        <v>8</v>
      </c>
      <c r="U34" s="32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0" t="s">
        <v>8</v>
      </c>
      <c r="P36" s="330"/>
      <c r="Q36" s="330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7">IF(G37="GVS","37.5",IF(G37="GVM","41.5",IF(G37="GVL","50",IF(G37="PCS","45.8",IF(G37="PCM","50",IF(G37="PCL","58.3","0"))))))</f>
        <v>0</v>
      </c>
      <c r="L37" s="131"/>
      <c r="M37" s="131"/>
      <c r="N37" s="69"/>
      <c r="O37" s="304"/>
      <c r="P37" s="303"/>
      <c r="Q37" s="305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8">IF(G38="RSL","55","0")</f>
        <v>0</v>
      </c>
      <c r="K38" s="130" t="str">
        <f t="shared" si="7"/>
        <v>0</v>
      </c>
      <c r="L38" s="131"/>
      <c r="M38" s="131"/>
      <c r="N38" s="69"/>
      <c r="O38" s="331"/>
      <c r="P38" s="332"/>
      <c r="Q38" s="333"/>
      <c r="R38" s="78"/>
      <c r="S38" s="71"/>
      <c r="T38" s="16"/>
      <c r="U38" s="72"/>
    </row>
    <row r="39" spans="1:34" x14ac:dyDescent="0.3">
      <c r="A39" s="128">
        <f t="shared" ref="A39:A61" si="9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8"/>
        <v>0</v>
      </c>
      <c r="K39" s="130" t="str">
        <f t="shared" si="7"/>
        <v>0</v>
      </c>
      <c r="L39" s="131"/>
      <c r="M39" s="131"/>
      <c r="N39" s="69"/>
      <c r="O39" s="304"/>
      <c r="P39" s="303"/>
      <c r="Q39" s="305"/>
      <c r="R39" s="79"/>
      <c r="S39" s="13"/>
      <c r="T39" s="12"/>
      <c r="U39" s="72"/>
    </row>
    <row r="40" spans="1:34" x14ac:dyDescent="0.3">
      <c r="A40" s="128">
        <f t="shared" si="9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8"/>
        <v>0</v>
      </c>
      <c r="K40" s="130" t="str">
        <f t="shared" si="7"/>
        <v>0</v>
      </c>
      <c r="L40" s="131"/>
      <c r="M40" s="131"/>
      <c r="N40" s="69"/>
      <c r="O40" s="334"/>
      <c r="P40" s="335"/>
      <c r="Q40" s="336"/>
      <c r="R40" s="78"/>
      <c r="S40" s="71"/>
      <c r="T40" s="71"/>
      <c r="U40" s="72"/>
    </row>
    <row r="41" spans="1:34" x14ac:dyDescent="0.3">
      <c r="A41" s="128">
        <f t="shared" si="9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8"/>
        <v>0</v>
      </c>
      <c r="K41" s="130" t="str">
        <f t="shared" si="7"/>
        <v>0</v>
      </c>
      <c r="L41" s="131"/>
      <c r="M41" s="131"/>
      <c r="N41" s="69"/>
      <c r="O41" s="334"/>
      <c r="P41" s="335"/>
      <c r="Q41" s="336"/>
      <c r="R41" s="80"/>
      <c r="S41" s="73"/>
      <c r="T41" s="73"/>
      <c r="U41" s="74"/>
    </row>
    <row r="42" spans="1:34" x14ac:dyDescent="0.3">
      <c r="A42" s="128">
        <f t="shared" si="9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8"/>
        <v>0</v>
      </c>
      <c r="K42" s="130" t="str">
        <f t="shared" si="7"/>
        <v>0</v>
      </c>
      <c r="L42" s="131"/>
      <c r="M42" s="131"/>
      <c r="N42" s="69"/>
      <c r="O42" s="326"/>
      <c r="P42" s="327"/>
      <c r="Q42" s="328"/>
      <c r="R42" s="80"/>
      <c r="S42" s="73"/>
      <c r="T42" s="73"/>
      <c r="U42" s="74"/>
    </row>
    <row r="43" spans="1:34" x14ac:dyDescent="0.3">
      <c r="A43" s="128">
        <f t="shared" si="9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8"/>
        <v>0</v>
      </c>
      <c r="K43" s="130" t="str">
        <f t="shared" si="7"/>
        <v>0</v>
      </c>
      <c r="L43" s="131"/>
      <c r="M43" s="131"/>
      <c r="N43" s="69"/>
      <c r="O43" s="304"/>
      <c r="P43" s="303"/>
      <c r="Q43" s="305"/>
      <c r="R43" s="78"/>
      <c r="S43" s="71"/>
      <c r="T43" s="71"/>
      <c r="U43" s="72"/>
    </row>
    <row r="44" spans="1:34" x14ac:dyDescent="0.3">
      <c r="A44" s="128">
        <f t="shared" si="9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8"/>
        <v>0</v>
      </c>
      <c r="K44" s="130" t="str">
        <f t="shared" si="7"/>
        <v>0</v>
      </c>
      <c r="L44" s="131"/>
      <c r="M44" s="131"/>
      <c r="N44" s="69"/>
      <c r="O44" s="304"/>
      <c r="P44" s="303"/>
      <c r="Q44" s="305"/>
      <c r="R44" s="5"/>
      <c r="S44" s="71"/>
      <c r="T44" s="71"/>
      <c r="U44" s="72"/>
    </row>
    <row r="45" spans="1:34" x14ac:dyDescent="0.3">
      <c r="A45" s="128">
        <f t="shared" si="9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8"/>
        <v>0</v>
      </c>
      <c r="K45" s="130" t="str">
        <f t="shared" si="7"/>
        <v>0</v>
      </c>
      <c r="L45" s="131"/>
      <c r="M45" s="131"/>
      <c r="N45" s="69"/>
      <c r="O45" s="304"/>
      <c r="P45" s="303"/>
      <c r="Q45" s="305"/>
      <c r="R45" s="5"/>
      <c r="S45" s="71"/>
      <c r="T45" s="71"/>
      <c r="U45" s="72"/>
    </row>
    <row r="46" spans="1:34" x14ac:dyDescent="0.3">
      <c r="A46" s="128">
        <f t="shared" si="9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8"/>
        <v>0</v>
      </c>
      <c r="K46" s="130" t="str">
        <f t="shared" si="7"/>
        <v>0</v>
      </c>
      <c r="L46" s="131"/>
      <c r="M46" s="131"/>
      <c r="N46" s="69"/>
      <c r="O46" s="304"/>
      <c r="P46" s="303"/>
      <c r="Q46" s="305"/>
      <c r="R46" s="5"/>
      <c r="S46" s="71"/>
      <c r="T46" s="71"/>
      <c r="U46" s="72"/>
    </row>
    <row r="47" spans="1:34" x14ac:dyDescent="0.3">
      <c r="A47" s="128">
        <f t="shared" si="9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8"/>
        <v>0</v>
      </c>
      <c r="K47" s="130" t="str">
        <f t="shared" si="7"/>
        <v>0</v>
      </c>
      <c r="L47" s="131"/>
      <c r="M47" s="131"/>
      <c r="N47" s="69"/>
      <c r="O47" s="304"/>
      <c r="P47" s="303"/>
      <c r="Q47" s="305"/>
      <c r="R47" s="5"/>
      <c r="S47" s="71"/>
      <c r="T47" s="71"/>
      <c r="U47" s="72"/>
    </row>
    <row r="48" spans="1:34" x14ac:dyDescent="0.3">
      <c r="A48" s="128">
        <f t="shared" si="9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8"/>
        <v>0</v>
      </c>
      <c r="K48" s="130" t="str">
        <f t="shared" si="7"/>
        <v>0</v>
      </c>
      <c r="L48" s="131"/>
      <c r="M48" s="131"/>
      <c r="N48" s="69"/>
      <c r="O48" s="304"/>
      <c r="P48" s="303"/>
      <c r="Q48" s="305"/>
      <c r="R48" s="5"/>
      <c r="S48" s="71"/>
      <c r="T48" s="71"/>
      <c r="U48" s="72"/>
    </row>
    <row r="49" spans="1:21" x14ac:dyDescent="0.3">
      <c r="A49" s="128">
        <f t="shared" si="9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8"/>
        <v>0</v>
      </c>
      <c r="K49" s="130" t="str">
        <f t="shared" si="7"/>
        <v>0</v>
      </c>
      <c r="L49" s="131"/>
      <c r="M49" s="131"/>
      <c r="N49" s="69"/>
      <c r="O49" s="304"/>
      <c r="P49" s="303"/>
      <c r="Q49" s="305"/>
      <c r="R49" s="5"/>
      <c r="S49" s="71"/>
      <c r="T49" s="75"/>
      <c r="U49" s="72"/>
    </row>
    <row r="50" spans="1:21" x14ac:dyDescent="0.3">
      <c r="A50" s="128">
        <f t="shared" si="9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8"/>
        <v>0</v>
      </c>
      <c r="K50" s="130" t="str">
        <f t="shared" si="7"/>
        <v>0</v>
      </c>
      <c r="L50" s="131"/>
      <c r="M50" s="131"/>
      <c r="N50" s="69"/>
      <c r="O50" s="304"/>
      <c r="P50" s="303"/>
      <c r="Q50" s="305"/>
      <c r="R50" s="5"/>
      <c r="S50" s="71"/>
      <c r="T50" s="75"/>
      <c r="U50" s="72"/>
    </row>
    <row r="51" spans="1:21" x14ac:dyDescent="0.3">
      <c r="A51" s="128">
        <f t="shared" si="9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8"/>
        <v>0</v>
      </c>
      <c r="K51" s="130" t="str">
        <f t="shared" si="7"/>
        <v>0</v>
      </c>
      <c r="L51" s="131"/>
      <c r="M51" s="131"/>
      <c r="N51" s="69"/>
      <c r="O51" s="304"/>
      <c r="P51" s="303"/>
      <c r="Q51" s="303"/>
      <c r="R51" s="5"/>
      <c r="S51" s="71"/>
      <c r="T51" s="75"/>
      <c r="U51" s="72"/>
    </row>
    <row r="52" spans="1:21" x14ac:dyDescent="0.3">
      <c r="A52" s="128">
        <f t="shared" si="9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8"/>
        <v>0</v>
      </c>
      <c r="K52" s="130" t="str">
        <f t="shared" si="7"/>
        <v>0</v>
      </c>
      <c r="L52" s="131"/>
      <c r="M52" s="131"/>
      <c r="N52" s="69"/>
      <c r="O52" s="304"/>
      <c r="P52" s="303"/>
      <c r="Q52" s="303"/>
      <c r="R52" s="81"/>
      <c r="S52" s="68"/>
      <c r="T52" s="76"/>
      <c r="U52" s="77"/>
    </row>
    <row r="53" spans="1:21" x14ac:dyDescent="0.3">
      <c r="A53" s="128">
        <f t="shared" si="9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8"/>
        <v>0</v>
      </c>
      <c r="K53" s="130" t="str">
        <f t="shared" si="7"/>
        <v>0</v>
      </c>
      <c r="L53" s="69"/>
      <c r="M53" s="69"/>
      <c r="N53" s="69"/>
      <c r="O53" s="325"/>
      <c r="P53" s="304"/>
      <c r="Q53" s="304"/>
      <c r="R53" s="81"/>
      <c r="S53" s="68"/>
      <c r="T53" s="76"/>
      <c r="U53" s="77"/>
    </row>
    <row r="54" spans="1:21" x14ac:dyDescent="0.3">
      <c r="A54" s="128">
        <f t="shared" si="9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8"/>
        <v>0</v>
      </c>
      <c r="K54" s="130" t="str">
        <f t="shared" si="7"/>
        <v>0</v>
      </c>
      <c r="L54" s="69"/>
      <c r="M54" s="69"/>
      <c r="N54" s="69"/>
      <c r="O54" s="325"/>
      <c r="P54" s="304"/>
      <c r="Q54" s="304"/>
      <c r="R54" s="81"/>
      <c r="S54" s="68"/>
      <c r="T54" s="76"/>
      <c r="U54" s="77"/>
    </row>
    <row r="55" spans="1:21" x14ac:dyDescent="0.3">
      <c r="A55" s="128">
        <f t="shared" si="9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8"/>
        <v>0</v>
      </c>
      <c r="K55" s="130" t="str">
        <f t="shared" si="7"/>
        <v>0</v>
      </c>
      <c r="L55" s="69"/>
      <c r="M55" s="69"/>
      <c r="N55" s="69"/>
      <c r="O55" s="325"/>
      <c r="P55" s="304"/>
      <c r="Q55" s="304"/>
      <c r="R55" s="81"/>
      <c r="S55" s="68"/>
      <c r="T55" s="76"/>
      <c r="U55" s="77"/>
    </row>
    <row r="56" spans="1:21" x14ac:dyDescent="0.3">
      <c r="A56" s="128">
        <f t="shared" si="9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8"/>
        <v>0</v>
      </c>
      <c r="K56" s="130" t="str">
        <f t="shared" si="7"/>
        <v>0</v>
      </c>
      <c r="L56" s="69"/>
      <c r="M56" s="69"/>
      <c r="N56" s="69"/>
      <c r="O56" s="303"/>
      <c r="P56" s="303"/>
      <c r="Q56" s="303"/>
      <c r="R56" s="81"/>
      <c r="S56" s="68"/>
      <c r="T56" s="76"/>
      <c r="U56" s="77"/>
    </row>
    <row r="57" spans="1:21" x14ac:dyDescent="0.3">
      <c r="A57" s="128">
        <f t="shared" si="9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8"/>
        <v>0</v>
      </c>
      <c r="K57" s="130" t="str">
        <f t="shared" si="7"/>
        <v>0</v>
      </c>
      <c r="L57" s="69"/>
      <c r="M57" s="69"/>
      <c r="N57" s="69"/>
      <c r="O57" s="304"/>
      <c r="P57" s="303"/>
      <c r="Q57" s="303"/>
      <c r="R57" s="81"/>
      <c r="S57" s="68"/>
      <c r="T57" s="68"/>
      <c r="U57" s="77"/>
    </row>
    <row r="58" spans="1:21" x14ac:dyDescent="0.3">
      <c r="A58" s="128">
        <f t="shared" si="9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8"/>
        <v>0</v>
      </c>
      <c r="K58" s="130" t="str">
        <f t="shared" si="7"/>
        <v>0</v>
      </c>
      <c r="L58" s="69"/>
      <c r="M58" s="69"/>
      <c r="N58" s="69"/>
      <c r="O58" s="303"/>
      <c r="P58" s="303"/>
      <c r="Q58" s="303"/>
      <c r="R58" s="81"/>
      <c r="S58" s="68"/>
      <c r="T58" s="68"/>
      <c r="U58" s="77"/>
    </row>
    <row r="59" spans="1:21" x14ac:dyDescent="0.3">
      <c r="A59" s="128">
        <f t="shared" si="9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8"/>
        <v>0</v>
      </c>
      <c r="K59" s="130" t="str">
        <f t="shared" si="7"/>
        <v>0</v>
      </c>
      <c r="L59" s="69"/>
      <c r="M59" s="69"/>
      <c r="N59" s="69"/>
      <c r="O59" s="303"/>
      <c r="P59" s="303"/>
      <c r="Q59" s="303"/>
      <c r="R59" s="81"/>
      <c r="S59" s="68"/>
      <c r="T59" s="68"/>
      <c r="U59" s="77"/>
    </row>
    <row r="60" spans="1:21" x14ac:dyDescent="0.3">
      <c r="A60" s="128">
        <f t="shared" si="9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8"/>
        <v>0</v>
      </c>
      <c r="K60" s="130" t="str">
        <f t="shared" si="7"/>
        <v>0</v>
      </c>
      <c r="L60" s="69"/>
      <c r="M60" s="69"/>
      <c r="N60" s="69"/>
      <c r="O60" s="304"/>
      <c r="P60" s="303"/>
      <c r="Q60" s="305"/>
      <c r="R60" s="81"/>
      <c r="S60" s="68"/>
      <c r="T60" s="68"/>
      <c r="U60" s="77"/>
    </row>
    <row r="61" spans="1:21" ht="17.25" thickBot="1" x14ac:dyDescent="0.35">
      <c r="A61" s="128">
        <f t="shared" si="9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8"/>
        <v>0</v>
      </c>
      <c r="K61" s="130" t="str">
        <f t="shared" si="7"/>
        <v>0</v>
      </c>
      <c r="L61" s="149"/>
      <c r="M61" s="149"/>
      <c r="N61" s="149"/>
      <c r="O61" s="306"/>
      <c r="P61" s="307"/>
      <c r="Q61" s="308"/>
      <c r="R61" s="81"/>
      <c r="S61" s="68"/>
      <c r="T61" s="68"/>
      <c r="U61" s="77"/>
    </row>
    <row r="62" spans="1:21" x14ac:dyDescent="0.3">
      <c r="A62" s="309" t="s">
        <v>48</v>
      </c>
      <c r="B62" s="310"/>
      <c r="C62" s="310"/>
      <c r="D62" s="310"/>
      <c r="E62" s="310"/>
      <c r="F62" s="310"/>
      <c r="G62" s="310"/>
      <c r="H62" s="310">
        <f t="shared" ref="H62:M62" si="10">SUM(H37:H61)</f>
        <v>0</v>
      </c>
      <c r="I62" s="316">
        <f t="shared" si="10"/>
        <v>0</v>
      </c>
      <c r="J62" s="316">
        <f>J61+J60+J59+J58+J57+J56+J55+J54+J53+J52+J51+J50+J49+J48+J47+J46+J45+J44+J43+J42+J41+J40+J39+J38+J37</f>
        <v>0</v>
      </c>
      <c r="K62" s="316">
        <f>K61+K60+K59+K58+K57+K56+K55+K54+K53+K52+K51+K50+K49+K48+K47+K46+K45+K44+K43+K42+K41+K40+K39+K38+K37</f>
        <v>0</v>
      </c>
      <c r="L62" s="319">
        <f t="shared" si="10"/>
        <v>0</v>
      </c>
      <c r="M62" s="322">
        <f t="shared" si="10"/>
        <v>0</v>
      </c>
      <c r="N62" s="291"/>
      <c r="O62" s="292"/>
      <c r="P62" s="292"/>
      <c r="Q62" s="293"/>
      <c r="R62" s="5"/>
      <c r="S62" s="6"/>
      <c r="T62" s="7"/>
      <c r="U62" s="8"/>
    </row>
    <row r="63" spans="1:21" ht="17.25" thickBot="1" x14ac:dyDescent="0.35">
      <c r="A63" s="312"/>
      <c r="B63" s="313"/>
      <c r="C63" s="313"/>
      <c r="D63" s="313"/>
      <c r="E63" s="313"/>
      <c r="F63" s="313"/>
      <c r="G63" s="313"/>
      <c r="H63" s="313"/>
      <c r="I63" s="317"/>
      <c r="J63" s="317"/>
      <c r="K63" s="317"/>
      <c r="L63" s="320"/>
      <c r="M63" s="323"/>
      <c r="N63" s="294"/>
      <c r="O63" s="295"/>
      <c r="P63" s="295"/>
      <c r="Q63" s="296"/>
      <c r="R63" s="1"/>
      <c r="S63" s="2"/>
      <c r="T63" s="3"/>
      <c r="U63" s="4"/>
    </row>
    <row r="64" spans="1:21" ht="17.25" thickBot="1" x14ac:dyDescent="0.35">
      <c r="A64" s="314"/>
      <c r="B64" s="315"/>
      <c r="C64" s="315"/>
      <c r="D64" s="315"/>
      <c r="E64" s="315"/>
      <c r="F64" s="315"/>
      <c r="G64" s="315"/>
      <c r="H64" s="315"/>
      <c r="I64" s="318"/>
      <c r="J64" s="318"/>
      <c r="K64" s="318"/>
      <c r="L64" s="321"/>
      <c r="M64" s="324"/>
      <c r="N64" s="297"/>
      <c r="O64" s="298"/>
      <c r="P64" s="298"/>
      <c r="Q64" s="299"/>
      <c r="R64" s="300" t="s">
        <v>17</v>
      </c>
      <c r="S64" s="301"/>
      <c r="T64" s="301"/>
      <c r="U64" s="302"/>
    </row>
    <row r="65" spans="1:21" ht="17.25" thickBot="1" x14ac:dyDescent="0.35">
      <c r="A65" s="337" t="s">
        <v>24</v>
      </c>
      <c r="B65" s="338"/>
      <c r="C65" s="338"/>
      <c r="D65" s="338"/>
      <c r="E65" s="338"/>
      <c r="F65" s="338"/>
      <c r="G65" s="338"/>
      <c r="H65" s="338"/>
      <c r="I65" s="338"/>
      <c r="J65" s="338"/>
      <c r="K65" s="338"/>
      <c r="L65" s="338"/>
      <c r="M65" s="338"/>
      <c r="N65" s="338"/>
      <c r="O65" s="338"/>
      <c r="P65" s="338"/>
      <c r="Q65" s="338"/>
      <c r="R65" s="338"/>
      <c r="S65" s="338"/>
      <c r="T65" s="338"/>
      <c r="U65" s="339"/>
    </row>
    <row r="66" spans="1:21" ht="17.25" thickBot="1" x14ac:dyDescent="0.35">
      <c r="A66" s="337" t="str">
        <f>A34</f>
        <v>13-08-2022</v>
      </c>
      <c r="B66" s="338"/>
      <c r="C66" s="338"/>
      <c r="D66" s="338"/>
      <c r="E66" s="338"/>
      <c r="F66" s="338"/>
      <c r="G66" s="339"/>
      <c r="H66" s="340" t="s">
        <v>49</v>
      </c>
      <c r="I66" s="341"/>
      <c r="J66" s="337" t="str">
        <f>J34</f>
        <v>CLOUDY</v>
      </c>
      <c r="K66" s="339"/>
      <c r="L66" s="341" t="s">
        <v>50</v>
      </c>
      <c r="M66" s="342"/>
      <c r="N66" s="340"/>
      <c r="O66" s="338" t="str">
        <f>O34</f>
        <v>JOHN</v>
      </c>
      <c r="P66" s="338"/>
      <c r="Q66" s="339"/>
      <c r="R66" s="341" t="s">
        <v>51</v>
      </c>
      <c r="S66" s="340"/>
      <c r="T66" s="329">
        <f>T34</f>
        <v>8</v>
      </c>
      <c r="U66" s="329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0" t="s">
        <v>8</v>
      </c>
      <c r="P68" s="330"/>
      <c r="Q68" s="330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11">IF(G69="GVS","37.5",IF(G69="GVM","41.5",IF(G69="GVL","50",IF(G69="PCS","45.8",IF(G69="PCM","50",IF(G69="PCL","58.3","0"))))))</f>
        <v>0</v>
      </c>
      <c r="L69" s="131"/>
      <c r="M69" s="131"/>
      <c r="N69" s="69"/>
      <c r="O69" s="304"/>
      <c r="P69" s="303"/>
      <c r="Q69" s="305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2">IF(G70="RSL","55","0")</f>
        <v>0</v>
      </c>
      <c r="K70" s="130" t="str">
        <f t="shared" si="11"/>
        <v>0</v>
      </c>
      <c r="L70" s="131"/>
      <c r="M70" s="131"/>
      <c r="N70" s="69"/>
      <c r="O70" s="331"/>
      <c r="P70" s="332"/>
      <c r="Q70" s="333"/>
      <c r="R70" s="78"/>
      <c r="S70" s="71"/>
      <c r="T70" s="16"/>
      <c r="U70" s="72"/>
    </row>
    <row r="71" spans="1:21" x14ac:dyDescent="0.3">
      <c r="A71" s="128">
        <f t="shared" ref="A71:A93" si="13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2"/>
        <v>0</v>
      </c>
      <c r="K71" s="130" t="str">
        <f t="shared" si="11"/>
        <v>0</v>
      </c>
      <c r="L71" s="131"/>
      <c r="M71" s="131"/>
      <c r="N71" s="69"/>
      <c r="O71" s="304"/>
      <c r="P71" s="303"/>
      <c r="Q71" s="305"/>
      <c r="R71" s="79"/>
      <c r="S71" s="13"/>
      <c r="T71" s="12"/>
      <c r="U71" s="72"/>
    </row>
    <row r="72" spans="1:21" x14ac:dyDescent="0.3">
      <c r="A72" s="128">
        <f t="shared" si="13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2"/>
        <v>0</v>
      </c>
      <c r="K72" s="130" t="str">
        <f t="shared" si="11"/>
        <v>0</v>
      </c>
      <c r="L72" s="131"/>
      <c r="M72" s="131"/>
      <c r="N72" s="69"/>
      <c r="O72" s="334"/>
      <c r="P72" s="335"/>
      <c r="Q72" s="336"/>
      <c r="R72" s="78"/>
      <c r="S72" s="71"/>
      <c r="T72" s="71"/>
      <c r="U72" s="72"/>
    </row>
    <row r="73" spans="1:21" x14ac:dyDescent="0.3">
      <c r="A73" s="128">
        <f t="shared" si="13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2"/>
        <v>0</v>
      </c>
      <c r="K73" s="130" t="str">
        <f t="shared" si="11"/>
        <v>0</v>
      </c>
      <c r="L73" s="131"/>
      <c r="M73" s="131"/>
      <c r="N73" s="69"/>
      <c r="O73" s="334"/>
      <c r="P73" s="335"/>
      <c r="Q73" s="336"/>
      <c r="R73" s="80"/>
      <c r="S73" s="73"/>
      <c r="T73" s="73"/>
      <c r="U73" s="74"/>
    </row>
    <row r="74" spans="1:21" x14ac:dyDescent="0.3">
      <c r="A74" s="128">
        <f t="shared" si="13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2"/>
        <v>0</v>
      </c>
      <c r="K74" s="130" t="str">
        <f t="shared" si="11"/>
        <v>0</v>
      </c>
      <c r="L74" s="131"/>
      <c r="M74" s="131"/>
      <c r="N74" s="69"/>
      <c r="O74" s="326"/>
      <c r="P74" s="327"/>
      <c r="Q74" s="328"/>
      <c r="R74" s="80"/>
      <c r="S74" s="73"/>
      <c r="T74" s="73"/>
      <c r="U74" s="74"/>
    </row>
    <row r="75" spans="1:21" x14ac:dyDescent="0.3">
      <c r="A75" s="128">
        <f t="shared" si="13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2"/>
        <v>0</v>
      </c>
      <c r="K75" s="130" t="str">
        <f t="shared" si="11"/>
        <v>0</v>
      </c>
      <c r="L75" s="131"/>
      <c r="M75" s="131"/>
      <c r="N75" s="69"/>
      <c r="O75" s="304"/>
      <c r="P75" s="303"/>
      <c r="Q75" s="305"/>
      <c r="R75" s="78"/>
      <c r="S75" s="71"/>
      <c r="T75" s="71"/>
      <c r="U75" s="72"/>
    </row>
    <row r="76" spans="1:21" x14ac:dyDescent="0.3">
      <c r="A76" s="128">
        <f t="shared" si="13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2"/>
        <v>0</v>
      </c>
      <c r="K76" s="130" t="str">
        <f t="shared" si="11"/>
        <v>0</v>
      </c>
      <c r="L76" s="131"/>
      <c r="M76" s="131"/>
      <c r="N76" s="69"/>
      <c r="O76" s="304"/>
      <c r="P76" s="303"/>
      <c r="Q76" s="305"/>
      <c r="R76" s="5"/>
      <c r="S76" s="71"/>
      <c r="T76" s="71"/>
      <c r="U76" s="72"/>
    </row>
    <row r="77" spans="1:21" x14ac:dyDescent="0.3">
      <c r="A77" s="128">
        <f t="shared" si="13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2"/>
        <v>0</v>
      </c>
      <c r="K77" s="130" t="str">
        <f t="shared" si="11"/>
        <v>0</v>
      </c>
      <c r="L77" s="131"/>
      <c r="M77" s="131"/>
      <c r="N77" s="69"/>
      <c r="O77" s="304"/>
      <c r="P77" s="303"/>
      <c r="Q77" s="305"/>
      <c r="R77" s="5"/>
      <c r="S77" s="71"/>
      <c r="T77" s="71"/>
      <c r="U77" s="72"/>
    </row>
    <row r="78" spans="1:21" x14ac:dyDescent="0.3">
      <c r="A78" s="128">
        <f t="shared" si="13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2"/>
        <v>0</v>
      </c>
      <c r="K78" s="130" t="str">
        <f t="shared" si="11"/>
        <v>0</v>
      </c>
      <c r="L78" s="131"/>
      <c r="M78" s="131"/>
      <c r="N78" s="69"/>
      <c r="O78" s="304"/>
      <c r="P78" s="303"/>
      <c r="Q78" s="305"/>
      <c r="R78" s="5"/>
      <c r="S78" s="71"/>
      <c r="T78" s="71"/>
      <c r="U78" s="72"/>
    </row>
    <row r="79" spans="1:21" x14ac:dyDescent="0.3">
      <c r="A79" s="128">
        <f t="shared" si="13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2"/>
        <v>0</v>
      </c>
      <c r="K79" s="130" t="str">
        <f t="shared" si="11"/>
        <v>0</v>
      </c>
      <c r="L79" s="131"/>
      <c r="M79" s="131"/>
      <c r="N79" s="69"/>
      <c r="O79" s="304"/>
      <c r="P79" s="303"/>
      <c r="Q79" s="305"/>
      <c r="R79" s="5"/>
      <c r="S79" s="71"/>
      <c r="T79" s="71"/>
      <c r="U79" s="72"/>
    </row>
    <row r="80" spans="1:21" x14ac:dyDescent="0.3">
      <c r="A80" s="128">
        <f t="shared" si="13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2"/>
        <v>0</v>
      </c>
      <c r="K80" s="130" t="str">
        <f t="shared" si="11"/>
        <v>0</v>
      </c>
      <c r="L80" s="131"/>
      <c r="M80" s="131"/>
      <c r="N80" s="69"/>
      <c r="O80" s="304"/>
      <c r="P80" s="303"/>
      <c r="Q80" s="305"/>
      <c r="R80" s="5"/>
      <c r="S80" s="71"/>
      <c r="T80" s="71"/>
      <c r="U80" s="72"/>
    </row>
    <row r="81" spans="1:21" x14ac:dyDescent="0.3">
      <c r="A81" s="128">
        <f t="shared" si="13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2"/>
        <v>0</v>
      </c>
      <c r="K81" s="130" t="str">
        <f t="shared" si="11"/>
        <v>0</v>
      </c>
      <c r="L81" s="131"/>
      <c r="M81" s="131"/>
      <c r="N81" s="69"/>
      <c r="O81" s="304"/>
      <c r="P81" s="303"/>
      <c r="Q81" s="305"/>
      <c r="R81" s="5"/>
      <c r="S81" s="71"/>
      <c r="T81" s="75"/>
      <c r="U81" s="72"/>
    </row>
    <row r="82" spans="1:21" x14ac:dyDescent="0.3">
      <c r="A82" s="128">
        <f t="shared" si="13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2"/>
        <v>0</v>
      </c>
      <c r="K82" s="130" t="str">
        <f t="shared" si="11"/>
        <v>0</v>
      </c>
      <c r="L82" s="131"/>
      <c r="M82" s="131"/>
      <c r="N82" s="69"/>
      <c r="O82" s="304"/>
      <c r="P82" s="303"/>
      <c r="Q82" s="305"/>
      <c r="R82" s="5"/>
      <c r="S82" s="71"/>
      <c r="T82" s="75"/>
      <c r="U82" s="72"/>
    </row>
    <row r="83" spans="1:21" x14ac:dyDescent="0.3">
      <c r="A83" s="128">
        <f t="shared" si="13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2"/>
        <v>0</v>
      </c>
      <c r="K83" s="130" t="str">
        <f t="shared" si="11"/>
        <v>0</v>
      </c>
      <c r="L83" s="131"/>
      <c r="M83" s="131"/>
      <c r="N83" s="69"/>
      <c r="O83" s="304"/>
      <c r="P83" s="303"/>
      <c r="Q83" s="303"/>
      <c r="R83" s="5"/>
      <c r="S83" s="71"/>
      <c r="T83" s="75"/>
      <c r="U83" s="72"/>
    </row>
    <row r="84" spans="1:21" x14ac:dyDescent="0.3">
      <c r="A84" s="128">
        <f t="shared" si="13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2"/>
        <v>0</v>
      </c>
      <c r="K84" s="130" t="str">
        <f t="shared" si="11"/>
        <v>0</v>
      </c>
      <c r="L84" s="131"/>
      <c r="M84" s="131"/>
      <c r="N84" s="69"/>
      <c r="O84" s="304"/>
      <c r="P84" s="303"/>
      <c r="Q84" s="303"/>
      <c r="R84" s="81"/>
      <c r="S84" s="68"/>
      <c r="T84" s="76"/>
      <c r="U84" s="77"/>
    </row>
    <row r="85" spans="1:21" x14ac:dyDescent="0.3">
      <c r="A85" s="128">
        <f t="shared" si="13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2"/>
        <v>0</v>
      </c>
      <c r="K85" s="130" t="str">
        <f t="shared" si="11"/>
        <v>0</v>
      </c>
      <c r="L85" s="69"/>
      <c r="M85" s="69"/>
      <c r="N85" s="69"/>
      <c r="O85" s="325"/>
      <c r="P85" s="304"/>
      <c r="Q85" s="304"/>
      <c r="R85" s="81"/>
      <c r="S85" s="68"/>
      <c r="T85" s="76"/>
      <c r="U85" s="77"/>
    </row>
    <row r="86" spans="1:21" x14ac:dyDescent="0.3">
      <c r="A86" s="128">
        <f t="shared" si="13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2"/>
        <v>0</v>
      </c>
      <c r="K86" s="130" t="str">
        <f t="shared" si="11"/>
        <v>0</v>
      </c>
      <c r="L86" s="69"/>
      <c r="M86" s="69"/>
      <c r="N86" s="69"/>
      <c r="O86" s="325"/>
      <c r="P86" s="304"/>
      <c r="Q86" s="304"/>
      <c r="R86" s="81"/>
      <c r="S86" s="68"/>
      <c r="T86" s="76"/>
      <c r="U86" s="77"/>
    </row>
    <row r="87" spans="1:21" x14ac:dyDescent="0.3">
      <c r="A87" s="128">
        <f t="shared" si="13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2"/>
        <v>0</v>
      </c>
      <c r="K87" s="130" t="str">
        <f t="shared" si="11"/>
        <v>0</v>
      </c>
      <c r="L87" s="69"/>
      <c r="M87" s="69"/>
      <c r="N87" s="69"/>
      <c r="O87" s="325"/>
      <c r="P87" s="304"/>
      <c r="Q87" s="304"/>
      <c r="R87" s="81"/>
      <c r="S87" s="68"/>
      <c r="T87" s="76"/>
      <c r="U87" s="77"/>
    </row>
    <row r="88" spans="1:21" x14ac:dyDescent="0.3">
      <c r="A88" s="128">
        <f t="shared" si="13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2"/>
        <v>0</v>
      </c>
      <c r="K88" s="130" t="str">
        <f t="shared" si="11"/>
        <v>0</v>
      </c>
      <c r="L88" s="69"/>
      <c r="M88" s="69"/>
      <c r="N88" s="69"/>
      <c r="O88" s="303"/>
      <c r="P88" s="303"/>
      <c r="Q88" s="303"/>
      <c r="R88" s="81"/>
      <c r="S88" s="68"/>
      <c r="T88" s="76"/>
      <c r="U88" s="77"/>
    </row>
    <row r="89" spans="1:21" x14ac:dyDescent="0.3">
      <c r="A89" s="128">
        <f t="shared" si="13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2"/>
        <v>0</v>
      </c>
      <c r="K89" s="130" t="str">
        <f t="shared" si="11"/>
        <v>0</v>
      </c>
      <c r="L89" s="69"/>
      <c r="M89" s="69"/>
      <c r="N89" s="69"/>
      <c r="O89" s="304"/>
      <c r="P89" s="303"/>
      <c r="Q89" s="303"/>
      <c r="R89" s="81"/>
      <c r="S89" s="68"/>
      <c r="T89" s="68"/>
      <c r="U89" s="77"/>
    </row>
    <row r="90" spans="1:21" x14ac:dyDescent="0.3">
      <c r="A90" s="128">
        <f t="shared" si="13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2"/>
        <v>0</v>
      </c>
      <c r="K90" s="130" t="str">
        <f t="shared" si="11"/>
        <v>0</v>
      </c>
      <c r="L90" s="69"/>
      <c r="M90" s="69"/>
      <c r="N90" s="69"/>
      <c r="O90" s="303"/>
      <c r="P90" s="303"/>
      <c r="Q90" s="303"/>
      <c r="R90" s="81"/>
      <c r="S90" s="68"/>
      <c r="T90" s="68"/>
      <c r="U90" s="77"/>
    </row>
    <row r="91" spans="1:21" x14ac:dyDescent="0.3">
      <c r="A91" s="128">
        <f t="shared" si="13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2"/>
        <v>0</v>
      </c>
      <c r="K91" s="130" t="str">
        <f t="shared" si="11"/>
        <v>0</v>
      </c>
      <c r="L91" s="69"/>
      <c r="M91" s="69"/>
      <c r="N91" s="69"/>
      <c r="O91" s="303"/>
      <c r="P91" s="303"/>
      <c r="Q91" s="303"/>
      <c r="R91" s="81"/>
      <c r="S91" s="68"/>
      <c r="T91" s="68"/>
      <c r="U91" s="77"/>
    </row>
    <row r="92" spans="1:21" x14ac:dyDescent="0.3">
      <c r="A92" s="128">
        <f t="shared" si="13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2"/>
        <v>0</v>
      </c>
      <c r="K92" s="130" t="str">
        <f t="shared" si="11"/>
        <v>0</v>
      </c>
      <c r="L92" s="69"/>
      <c r="M92" s="69"/>
      <c r="N92" s="69"/>
      <c r="O92" s="304"/>
      <c r="P92" s="303"/>
      <c r="Q92" s="305"/>
      <c r="R92" s="81"/>
      <c r="S92" s="68"/>
      <c r="T92" s="68"/>
      <c r="U92" s="77"/>
    </row>
    <row r="93" spans="1:21" ht="17.25" thickBot="1" x14ac:dyDescent="0.35">
      <c r="A93" s="128">
        <f t="shared" si="13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2"/>
        <v>0</v>
      </c>
      <c r="K93" s="130" t="str">
        <f t="shared" si="11"/>
        <v>0</v>
      </c>
      <c r="L93" s="149"/>
      <c r="M93" s="149"/>
      <c r="N93" s="149"/>
      <c r="O93" s="306"/>
      <c r="P93" s="307"/>
      <c r="Q93" s="308"/>
      <c r="R93" s="81"/>
      <c r="S93" s="68"/>
      <c r="T93" s="68"/>
      <c r="U93" s="77"/>
    </row>
    <row r="94" spans="1:21" x14ac:dyDescent="0.3">
      <c r="A94" s="309" t="s">
        <v>48</v>
      </c>
      <c r="B94" s="310"/>
      <c r="C94" s="310"/>
      <c r="D94" s="310"/>
      <c r="E94" s="311"/>
      <c r="F94" s="310"/>
      <c r="G94" s="310"/>
      <c r="H94" s="310">
        <f t="shared" ref="H94:M94" si="14">SUM(H69:H93)</f>
        <v>0</v>
      </c>
      <c r="I94" s="316">
        <f t="shared" si="14"/>
        <v>0</v>
      </c>
      <c r="J94" s="316">
        <f>J93+J92+J91+J90+J89+J88+J87+J86+J85+J84+J83+J82+J81+J80+J79+J78+J77+J76+J75+J74+J73+J72+J71+J70+J69</f>
        <v>0</v>
      </c>
      <c r="K94" s="316">
        <f>K93+K92+K91+K90+K89+K88+K87+K86+K85+K84+K83+K82+K81+K80+K79+K78+K77+K76+K75+K74+K73+K72+K71+K70+K69</f>
        <v>0</v>
      </c>
      <c r="L94" s="319">
        <f t="shared" si="14"/>
        <v>0</v>
      </c>
      <c r="M94" s="322">
        <f t="shared" si="14"/>
        <v>0</v>
      </c>
      <c r="N94" s="291"/>
      <c r="O94" s="292"/>
      <c r="P94" s="292"/>
      <c r="Q94" s="293"/>
      <c r="R94" s="5"/>
      <c r="S94" s="6"/>
      <c r="T94" s="7"/>
      <c r="U94" s="8"/>
    </row>
    <row r="95" spans="1:21" ht="17.25" thickBot="1" x14ac:dyDescent="0.35">
      <c r="A95" s="312"/>
      <c r="B95" s="313"/>
      <c r="C95" s="313"/>
      <c r="D95" s="313"/>
      <c r="E95" s="313"/>
      <c r="F95" s="313"/>
      <c r="G95" s="313"/>
      <c r="H95" s="313"/>
      <c r="I95" s="317"/>
      <c r="J95" s="317"/>
      <c r="K95" s="317"/>
      <c r="L95" s="320"/>
      <c r="M95" s="323"/>
      <c r="N95" s="294"/>
      <c r="O95" s="295"/>
      <c r="P95" s="295"/>
      <c r="Q95" s="296"/>
      <c r="R95" s="1"/>
      <c r="S95" s="2"/>
      <c r="T95" s="3"/>
      <c r="U95" s="4"/>
    </row>
    <row r="96" spans="1:21" ht="17.25" thickBot="1" x14ac:dyDescent="0.35">
      <c r="A96" s="314"/>
      <c r="B96" s="315"/>
      <c r="C96" s="315"/>
      <c r="D96" s="315"/>
      <c r="E96" s="315"/>
      <c r="F96" s="315"/>
      <c r="G96" s="315"/>
      <c r="H96" s="315"/>
      <c r="I96" s="318"/>
      <c r="J96" s="318"/>
      <c r="K96" s="318"/>
      <c r="L96" s="321"/>
      <c r="M96" s="324"/>
      <c r="N96" s="297"/>
      <c r="O96" s="298"/>
      <c r="P96" s="298"/>
      <c r="Q96" s="299"/>
      <c r="R96" s="300" t="s">
        <v>52</v>
      </c>
      <c r="S96" s="301"/>
      <c r="T96" s="301"/>
      <c r="U96" s="302"/>
    </row>
  </sheetData>
  <mergeCells count="132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23:Q23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4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opLeftCell="A20" zoomScaleNormal="100" zoomScaleSheetLayoutView="77" workbookViewId="0">
      <selection activeCell="O14" sqref="O14:Q14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7" t="s">
        <v>77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9"/>
    </row>
    <row r="2" spans="1:44" ht="17.25" thickBot="1" x14ac:dyDescent="0.35">
      <c r="A2" s="337" t="s">
        <v>353</v>
      </c>
      <c r="B2" s="338"/>
      <c r="C2" s="338"/>
      <c r="D2" s="338"/>
      <c r="E2" s="338"/>
      <c r="F2" s="338"/>
      <c r="G2" s="339"/>
      <c r="H2" s="340" t="s">
        <v>49</v>
      </c>
      <c r="I2" s="341"/>
      <c r="J2" s="337" t="s">
        <v>102</v>
      </c>
      <c r="K2" s="339"/>
      <c r="L2" s="341" t="s">
        <v>96</v>
      </c>
      <c r="M2" s="342"/>
      <c r="N2" s="340"/>
      <c r="O2" s="338" t="s">
        <v>98</v>
      </c>
      <c r="P2" s="338"/>
      <c r="Q2" s="339"/>
      <c r="R2" s="341" t="s">
        <v>51</v>
      </c>
      <c r="S2" s="340"/>
      <c r="T2" s="329">
        <v>7</v>
      </c>
      <c r="U2" s="32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0" t="s">
        <v>8</v>
      </c>
      <c r="P4" s="330"/>
      <c r="Q4" s="330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753">
        <v>10600</v>
      </c>
      <c r="C5" s="68" t="s">
        <v>354</v>
      </c>
      <c r="D5" s="200" t="s">
        <v>355</v>
      </c>
      <c r="E5" s="181" t="s">
        <v>181</v>
      </c>
      <c r="F5" s="170">
        <v>800</v>
      </c>
      <c r="G5" s="118" t="s">
        <v>356</v>
      </c>
      <c r="H5" s="91"/>
      <c r="I5" s="124"/>
      <c r="J5" s="130">
        <v>110</v>
      </c>
      <c r="K5" s="130"/>
      <c r="L5" s="131"/>
      <c r="M5" s="131"/>
      <c r="N5" s="134" t="s">
        <v>98</v>
      </c>
      <c r="O5" s="278" t="s">
        <v>357</v>
      </c>
      <c r="P5" s="279"/>
      <c r="Q5" s="280"/>
      <c r="R5" s="33" t="s">
        <v>352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10601</v>
      </c>
      <c r="C6" s="67" t="s">
        <v>364</v>
      </c>
      <c r="D6" s="200" t="s">
        <v>365</v>
      </c>
      <c r="E6" s="181" t="s">
        <v>91</v>
      </c>
      <c r="F6" s="171">
        <v>830</v>
      </c>
      <c r="G6" s="118" t="s">
        <v>366</v>
      </c>
      <c r="H6" s="91">
        <v>230</v>
      </c>
      <c r="I6" s="124"/>
      <c r="J6" s="130" t="str">
        <f t="shared" ref="J6:J11" si="1">IF(G6="RSL","55","0")</f>
        <v>0</v>
      </c>
      <c r="K6" s="130" t="str">
        <f t="shared" ref="K6:K11" si="2">IF(G6="GVS","37.5",IF(G6="GVM","41.5",IF(G6="GVL","50",IF(G6="PCS","45.8",IF(G6="PCM","50",IF(G6="PCL","58.3","0"))))))</f>
        <v>0</v>
      </c>
      <c r="L6" s="131"/>
      <c r="M6" s="131"/>
      <c r="N6" s="134" t="s">
        <v>98</v>
      </c>
      <c r="O6" s="281"/>
      <c r="P6" s="282"/>
      <c r="Q6" s="283"/>
      <c r="R6" s="132" t="s">
        <v>358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10602</v>
      </c>
      <c r="C7" s="67" t="s">
        <v>367</v>
      </c>
      <c r="D7" s="200" t="s">
        <v>368</v>
      </c>
      <c r="E7" s="181" t="s">
        <v>91</v>
      </c>
      <c r="F7" s="171">
        <v>850</v>
      </c>
      <c r="G7" s="118" t="s">
        <v>369</v>
      </c>
      <c r="H7" s="91"/>
      <c r="I7" s="124">
        <v>333.3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98</v>
      </c>
      <c r="O7" s="284"/>
      <c r="P7" s="285"/>
      <c r="Q7" s="286"/>
      <c r="R7" s="134" t="s">
        <v>359</v>
      </c>
      <c r="S7" s="31">
        <v>0.33333333333333331</v>
      </c>
      <c r="T7" s="32">
        <v>0.72916666666666663</v>
      </c>
      <c r="U7" s="92">
        <f t="shared" si="0"/>
        <v>9.5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10603</v>
      </c>
      <c r="C8" s="27" t="s">
        <v>370</v>
      </c>
      <c r="D8" s="200" t="s">
        <v>371</v>
      </c>
      <c r="E8" s="181" t="s">
        <v>91</v>
      </c>
      <c r="F8" s="171">
        <v>905</v>
      </c>
      <c r="G8" s="118" t="s">
        <v>125</v>
      </c>
      <c r="H8" s="91"/>
      <c r="I8" s="124">
        <v>100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98</v>
      </c>
      <c r="O8" s="287"/>
      <c r="P8" s="288"/>
      <c r="Q8" s="289"/>
      <c r="R8" s="26" t="s">
        <v>360</v>
      </c>
      <c r="S8" s="31">
        <v>0.35416666666666669</v>
      </c>
      <c r="T8" s="32">
        <v>0.72916666666666663</v>
      </c>
      <c r="U8" s="92">
        <f t="shared" si="0"/>
        <v>8.9999999999999982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10604</v>
      </c>
      <c r="C9" s="63" t="s">
        <v>372</v>
      </c>
      <c r="D9" s="201" t="s">
        <v>373</v>
      </c>
      <c r="E9" s="181" t="s">
        <v>92</v>
      </c>
      <c r="F9" s="172">
        <v>915</v>
      </c>
      <c r="G9" s="119" t="s">
        <v>110</v>
      </c>
      <c r="H9" s="91"/>
      <c r="I9" s="91">
        <v>95.95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98</v>
      </c>
      <c r="O9" s="287"/>
      <c r="P9" s="288"/>
      <c r="Q9" s="289"/>
      <c r="R9" s="26" t="s">
        <v>361</v>
      </c>
      <c r="S9" s="31">
        <v>0.39583333333333331</v>
      </c>
      <c r="T9" s="32">
        <v>0.72916666666666663</v>
      </c>
      <c r="U9" s="92">
        <f t="shared" si="0"/>
        <v>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10605</v>
      </c>
      <c r="C10" s="28" t="s">
        <v>374</v>
      </c>
      <c r="D10" s="202" t="s">
        <v>375</v>
      </c>
      <c r="E10" s="181" t="s">
        <v>92</v>
      </c>
      <c r="F10" s="173">
        <v>1000</v>
      </c>
      <c r="G10" s="120" t="s">
        <v>125</v>
      </c>
      <c r="H10" s="123"/>
      <c r="I10" s="125">
        <v>151.5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98</v>
      </c>
      <c r="O10" s="275"/>
      <c r="P10" s="276"/>
      <c r="Q10" s="277"/>
      <c r="R10" s="26" t="s">
        <v>362</v>
      </c>
      <c r="S10" s="31">
        <v>0.42708333333333331</v>
      </c>
      <c r="T10" s="32">
        <v>0.72916666666666663</v>
      </c>
      <c r="U10" s="92">
        <f t="shared" si="0"/>
        <v>7.25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10606</v>
      </c>
      <c r="C11" s="18" t="s">
        <v>378</v>
      </c>
      <c r="D11" s="203" t="s">
        <v>379</v>
      </c>
      <c r="E11" s="181" t="s">
        <v>92</v>
      </c>
      <c r="F11" s="66">
        <v>1045</v>
      </c>
      <c r="G11" s="121" t="s">
        <v>125</v>
      </c>
      <c r="H11" s="123">
        <v>140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98</v>
      </c>
      <c r="O11" s="284"/>
      <c r="P11" s="285"/>
      <c r="Q11" s="286"/>
      <c r="R11" s="26" t="s">
        <v>363</v>
      </c>
      <c r="S11" s="31">
        <v>0.39583333333333331</v>
      </c>
      <c r="T11" s="32">
        <v>0.70833333333333337</v>
      </c>
      <c r="U11" s="92">
        <f t="shared" si="0"/>
        <v>7.5000000000000018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10607</v>
      </c>
      <c r="C12" s="64" t="s">
        <v>380</v>
      </c>
      <c r="D12" s="204" t="s">
        <v>381</v>
      </c>
      <c r="E12" s="181" t="s">
        <v>91</v>
      </c>
      <c r="F12" s="173">
        <v>1050</v>
      </c>
      <c r="G12" s="119" t="s">
        <v>382</v>
      </c>
      <c r="H12" s="123">
        <v>300</v>
      </c>
      <c r="I12" s="125"/>
      <c r="J12" s="130" t="str">
        <f t="shared" ref="J6:J29" si="3">IF(G12="RSL","55","0")</f>
        <v>0</v>
      </c>
      <c r="K12" s="130" t="str">
        <f t="shared" ref="K6:K29" si="4">IF(G12="GVS","37.5",IF(G12="GVM","41.5",IF(G12="GVL","50",IF(G12="PCS","45.8",IF(G12="PCM","50",IF(G12="PCL","58.3","0"))))))</f>
        <v>0</v>
      </c>
      <c r="L12" s="131"/>
      <c r="M12" s="131"/>
      <c r="N12" s="134" t="s">
        <v>98</v>
      </c>
      <c r="O12" s="304"/>
      <c r="P12" s="303"/>
      <c r="Q12" s="30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10608</v>
      </c>
      <c r="C13" s="64" t="s">
        <v>383</v>
      </c>
      <c r="D13" s="204" t="s">
        <v>384</v>
      </c>
      <c r="E13" s="181" t="s">
        <v>91</v>
      </c>
      <c r="F13" s="173">
        <v>1105</v>
      </c>
      <c r="G13" s="119" t="s">
        <v>110</v>
      </c>
      <c r="H13" s="169"/>
      <c r="I13" s="168">
        <v>75</v>
      </c>
      <c r="J13" s="130" t="str">
        <f t="shared" si="3"/>
        <v>0</v>
      </c>
      <c r="K13" s="130" t="str">
        <f t="shared" si="4"/>
        <v>0</v>
      </c>
      <c r="L13" s="131"/>
      <c r="M13" s="131"/>
      <c r="N13" s="134" t="s">
        <v>98</v>
      </c>
      <c r="O13" s="304"/>
      <c r="P13" s="303"/>
      <c r="Q13" s="30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10609</v>
      </c>
      <c r="C14" s="65" t="s">
        <v>376</v>
      </c>
      <c r="D14" s="205" t="s">
        <v>377</v>
      </c>
      <c r="E14" s="181" t="s">
        <v>91</v>
      </c>
      <c r="F14" s="174">
        <v>1110</v>
      </c>
      <c r="G14" s="122" t="s">
        <v>110</v>
      </c>
      <c r="H14" s="123"/>
      <c r="I14" s="125">
        <v>95</v>
      </c>
      <c r="J14" s="130" t="str">
        <f t="shared" si="3"/>
        <v>0</v>
      </c>
      <c r="K14" s="130" t="str">
        <f t="shared" si="4"/>
        <v>0</v>
      </c>
      <c r="L14" s="131"/>
      <c r="M14" s="131"/>
      <c r="N14" s="134" t="s">
        <v>98</v>
      </c>
      <c r="O14" s="304"/>
      <c r="P14" s="303"/>
      <c r="Q14" s="305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10610</v>
      </c>
      <c r="C15" s="65" t="s">
        <v>385</v>
      </c>
      <c r="D15" s="205" t="s">
        <v>386</v>
      </c>
      <c r="E15" s="181" t="s">
        <v>92</v>
      </c>
      <c r="F15" s="174">
        <v>1120</v>
      </c>
      <c r="G15" s="122" t="s">
        <v>125</v>
      </c>
      <c r="H15" s="123">
        <v>120</v>
      </c>
      <c r="I15" s="124"/>
      <c r="J15" s="130" t="str">
        <f t="shared" si="3"/>
        <v>0</v>
      </c>
      <c r="K15" s="130" t="str">
        <f t="shared" si="4"/>
        <v>0</v>
      </c>
      <c r="L15" s="131"/>
      <c r="M15" s="131"/>
      <c r="N15" s="134" t="s">
        <v>98</v>
      </c>
      <c r="O15" s="304"/>
      <c r="P15" s="303"/>
      <c r="Q15" s="305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10611</v>
      </c>
      <c r="C16" s="65" t="s">
        <v>387</v>
      </c>
      <c r="D16" s="205" t="s">
        <v>388</v>
      </c>
      <c r="E16" s="181" t="s">
        <v>91</v>
      </c>
      <c r="F16" s="174">
        <v>1130</v>
      </c>
      <c r="G16" s="122" t="s">
        <v>125</v>
      </c>
      <c r="H16" s="123"/>
      <c r="I16" s="124">
        <v>120</v>
      </c>
      <c r="J16" s="130" t="str">
        <f t="shared" si="3"/>
        <v>0</v>
      </c>
      <c r="K16" s="130" t="str">
        <f t="shared" si="4"/>
        <v>0</v>
      </c>
      <c r="L16" s="131"/>
      <c r="M16" s="131"/>
      <c r="N16" s="134" t="s">
        <v>98</v>
      </c>
      <c r="O16" s="304"/>
      <c r="P16" s="303"/>
      <c r="Q16" s="305"/>
      <c r="R16" s="82">
        <f>H32/U16</f>
        <v>0.48132780082987553</v>
      </c>
      <c r="S16" s="83">
        <f>H32/(U16-U5)</f>
        <v>0.5714285714285714</v>
      </c>
      <c r="T16" s="83">
        <f>C32/U16</f>
        <v>62.134439834024896</v>
      </c>
      <c r="U16" s="83">
        <f>SUM(U5:U15)</f>
        <v>60.25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10612</v>
      </c>
      <c r="C17" s="18" t="s">
        <v>389</v>
      </c>
      <c r="D17" s="203" t="s">
        <v>390</v>
      </c>
      <c r="E17" s="181" t="s">
        <v>92</v>
      </c>
      <c r="F17" s="66">
        <v>1140</v>
      </c>
      <c r="G17" s="121" t="s">
        <v>117</v>
      </c>
      <c r="H17" s="123"/>
      <c r="I17" s="124">
        <v>75.75</v>
      </c>
      <c r="J17" s="130" t="str">
        <f t="shared" si="3"/>
        <v>0</v>
      </c>
      <c r="K17" s="130" t="str">
        <f t="shared" si="4"/>
        <v>0</v>
      </c>
      <c r="L17" s="131"/>
      <c r="M17" s="131"/>
      <c r="N17" s="134" t="s">
        <v>98</v>
      </c>
      <c r="O17" s="304"/>
      <c r="P17" s="303"/>
      <c r="Q17" s="30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10613</v>
      </c>
      <c r="C18" s="18" t="s">
        <v>391</v>
      </c>
      <c r="D18" s="203" t="s">
        <v>392</v>
      </c>
      <c r="E18" s="181" t="s">
        <v>92</v>
      </c>
      <c r="F18" s="66">
        <v>1200</v>
      </c>
      <c r="G18" s="20" t="s">
        <v>110</v>
      </c>
      <c r="H18" s="123">
        <v>90</v>
      </c>
      <c r="I18" s="124"/>
      <c r="J18" s="130" t="str">
        <f t="shared" si="3"/>
        <v>0</v>
      </c>
      <c r="K18" s="130" t="str">
        <f t="shared" si="4"/>
        <v>0</v>
      </c>
      <c r="L18" s="131"/>
      <c r="M18" s="131"/>
      <c r="N18" s="134" t="s">
        <v>98</v>
      </c>
      <c r="O18" s="304"/>
      <c r="P18" s="303"/>
      <c r="Q18" s="30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10614</v>
      </c>
      <c r="C19" s="18" t="s">
        <v>393</v>
      </c>
      <c r="D19" s="203" t="s">
        <v>394</v>
      </c>
      <c r="E19" s="181" t="s">
        <v>92</v>
      </c>
      <c r="F19" s="66">
        <v>1215</v>
      </c>
      <c r="G19" s="121" t="s">
        <v>110</v>
      </c>
      <c r="H19" s="123">
        <v>50</v>
      </c>
      <c r="I19" s="124">
        <v>50</v>
      </c>
      <c r="J19" s="130" t="str">
        <f t="shared" si="3"/>
        <v>0</v>
      </c>
      <c r="K19" s="130" t="str">
        <f t="shared" si="4"/>
        <v>0</v>
      </c>
      <c r="L19" s="131"/>
      <c r="M19" s="131"/>
      <c r="N19" s="134" t="s">
        <v>98</v>
      </c>
      <c r="O19" s="304"/>
      <c r="P19" s="303"/>
      <c r="Q19" s="303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10615</v>
      </c>
      <c r="C20" s="18" t="s">
        <v>395</v>
      </c>
      <c r="D20" s="203" t="s">
        <v>396</v>
      </c>
      <c r="E20" s="181" t="s">
        <v>92</v>
      </c>
      <c r="F20" s="66">
        <v>1230</v>
      </c>
      <c r="G20" s="121" t="s">
        <v>110</v>
      </c>
      <c r="H20" s="123">
        <v>75</v>
      </c>
      <c r="I20" s="219"/>
      <c r="J20" s="130" t="str">
        <f t="shared" si="3"/>
        <v>0</v>
      </c>
      <c r="K20" s="221" t="str">
        <f t="shared" si="4"/>
        <v>0</v>
      </c>
      <c r="L20" s="220"/>
      <c r="M20" s="220"/>
      <c r="N20" s="134" t="s">
        <v>98</v>
      </c>
      <c r="O20" s="372"/>
      <c r="P20" s="373"/>
      <c r="Q20" s="37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10616</v>
      </c>
      <c r="C21" s="18" t="s">
        <v>397</v>
      </c>
      <c r="D21" s="203" t="s">
        <v>398</v>
      </c>
      <c r="E21" s="181" t="s">
        <v>91</v>
      </c>
      <c r="F21" s="66">
        <v>1240</v>
      </c>
      <c r="G21" s="20" t="s">
        <v>110</v>
      </c>
      <c r="H21" s="123"/>
      <c r="I21" s="124">
        <v>75.75</v>
      </c>
      <c r="J21" s="130" t="str">
        <f t="shared" si="3"/>
        <v>0</v>
      </c>
      <c r="K21" s="130" t="str">
        <f t="shared" si="4"/>
        <v>0</v>
      </c>
      <c r="L21" s="131"/>
      <c r="M21" s="131"/>
      <c r="N21" s="134" t="s">
        <v>98</v>
      </c>
      <c r="O21" s="304"/>
      <c r="P21" s="303"/>
      <c r="Q21" s="30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10617</v>
      </c>
      <c r="C22" s="127" t="s">
        <v>399</v>
      </c>
      <c r="D22" s="206" t="s">
        <v>400</v>
      </c>
      <c r="E22" s="181" t="s">
        <v>92</v>
      </c>
      <c r="F22" s="175">
        <v>1300</v>
      </c>
      <c r="G22" s="263" t="s">
        <v>117</v>
      </c>
      <c r="H22" s="89"/>
      <c r="I22" s="141">
        <v>75</v>
      </c>
      <c r="J22" s="130" t="str">
        <f t="shared" si="3"/>
        <v>0</v>
      </c>
      <c r="K22" s="130" t="str">
        <f t="shared" si="4"/>
        <v>0</v>
      </c>
      <c r="L22" s="69"/>
      <c r="M22" s="69"/>
      <c r="N22" s="134" t="s">
        <v>98</v>
      </c>
      <c r="O22" s="304"/>
      <c r="P22" s="303"/>
      <c r="Q22" s="305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10618</v>
      </c>
      <c r="C23" s="136" t="s">
        <v>401</v>
      </c>
      <c r="D23" s="207" t="s">
        <v>402</v>
      </c>
      <c r="E23" s="181" t="s">
        <v>91</v>
      </c>
      <c r="F23" s="176">
        <v>1305</v>
      </c>
      <c r="G23" s="165" t="s">
        <v>191</v>
      </c>
      <c r="H23" s="89"/>
      <c r="I23" s="141">
        <v>353.5</v>
      </c>
      <c r="J23" s="130" t="str">
        <f t="shared" si="3"/>
        <v>0</v>
      </c>
      <c r="K23" s="130" t="str">
        <f t="shared" si="4"/>
        <v>0</v>
      </c>
      <c r="L23" s="126"/>
      <c r="M23" s="126"/>
      <c r="N23" s="134" t="s">
        <v>98</v>
      </c>
      <c r="O23" s="163"/>
      <c r="P23" s="164"/>
      <c r="Q23" s="159"/>
      <c r="R23" s="113"/>
      <c r="S23" s="114"/>
      <c r="T23" s="114"/>
      <c r="U23" s="115"/>
      <c r="X23" s="370"/>
      <c r="Y23" s="371"/>
      <c r="Z23" s="371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10619</v>
      </c>
      <c r="C24" s="127" t="s">
        <v>403</v>
      </c>
      <c r="D24" s="206" t="s">
        <v>248</v>
      </c>
      <c r="E24" s="181" t="s">
        <v>91</v>
      </c>
      <c r="F24" s="175">
        <v>1310</v>
      </c>
      <c r="G24" s="263" t="s">
        <v>110</v>
      </c>
      <c r="H24" s="89"/>
      <c r="I24" s="141">
        <v>101</v>
      </c>
      <c r="J24" s="130" t="str">
        <f t="shared" si="3"/>
        <v>0</v>
      </c>
      <c r="K24" s="130" t="str">
        <f t="shared" si="4"/>
        <v>0</v>
      </c>
      <c r="L24" s="69"/>
      <c r="M24" s="69"/>
      <c r="N24" s="134" t="s">
        <v>98</v>
      </c>
      <c r="O24" s="304"/>
      <c r="P24" s="303"/>
      <c r="Q24" s="30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10620</v>
      </c>
      <c r="C25" s="132" t="s">
        <v>404</v>
      </c>
      <c r="D25" s="208" t="s">
        <v>405</v>
      </c>
      <c r="E25" s="181" t="s">
        <v>91</v>
      </c>
      <c r="F25" s="175">
        <v>1300</v>
      </c>
      <c r="G25" s="263" t="s">
        <v>269</v>
      </c>
      <c r="H25" s="90">
        <v>100</v>
      </c>
      <c r="I25" s="90"/>
      <c r="J25" s="130" t="str">
        <f t="shared" si="3"/>
        <v>0</v>
      </c>
      <c r="K25" s="130" t="str">
        <f t="shared" si="4"/>
        <v>0</v>
      </c>
      <c r="L25" s="69"/>
      <c r="M25" s="69"/>
      <c r="N25" s="134" t="s">
        <v>98</v>
      </c>
      <c r="O25" s="304"/>
      <c r="P25" s="303"/>
      <c r="Q25" s="305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74">
        <f>((C32+(R26+S26+T26)*0.5))</f>
        <v>3768.6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10621</v>
      </c>
      <c r="C26" s="27" t="s">
        <v>406</v>
      </c>
      <c r="D26" s="209" t="s">
        <v>407</v>
      </c>
      <c r="E26" s="181" t="s">
        <v>92</v>
      </c>
      <c r="F26" s="177">
        <v>1330</v>
      </c>
      <c r="G26" s="20" t="s">
        <v>125</v>
      </c>
      <c r="H26" s="89"/>
      <c r="I26" s="141">
        <v>120</v>
      </c>
      <c r="J26" s="130" t="str">
        <f t="shared" si="3"/>
        <v>0</v>
      </c>
      <c r="K26" s="130" t="str">
        <f t="shared" si="4"/>
        <v>0</v>
      </c>
      <c r="L26" s="69"/>
      <c r="M26" s="69"/>
      <c r="N26" s="134" t="s">
        <v>98</v>
      </c>
      <c r="O26" s="304"/>
      <c r="P26" s="303"/>
      <c r="Q26" s="305"/>
      <c r="R26" s="112">
        <f>R25*37.5</f>
        <v>0</v>
      </c>
      <c r="S26" s="102">
        <f>S25*41.5</f>
        <v>0</v>
      </c>
      <c r="T26" s="102">
        <f>T25*50</f>
        <v>50</v>
      </c>
      <c r="U26" s="37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10622</v>
      </c>
      <c r="C27" s="27" t="s">
        <v>408</v>
      </c>
      <c r="D27" s="209" t="s">
        <v>409</v>
      </c>
      <c r="E27" s="181" t="s">
        <v>91</v>
      </c>
      <c r="F27" s="177">
        <v>1330</v>
      </c>
      <c r="G27" s="20" t="s">
        <v>150</v>
      </c>
      <c r="H27" s="89">
        <v>220</v>
      </c>
      <c r="I27" s="141">
        <v>60</v>
      </c>
      <c r="J27" s="130" t="str">
        <f t="shared" si="3"/>
        <v>0</v>
      </c>
      <c r="K27" s="130" t="str">
        <f t="shared" si="4"/>
        <v>0</v>
      </c>
      <c r="L27" s="69"/>
      <c r="M27" s="69"/>
      <c r="N27" s="134" t="s">
        <v>98</v>
      </c>
      <c r="O27" s="304"/>
      <c r="P27" s="303"/>
      <c r="Q27" s="305"/>
      <c r="R27" s="367" t="s">
        <v>56</v>
      </c>
      <c r="S27" s="368"/>
      <c r="T27" s="368"/>
      <c r="U27" s="369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10623</v>
      </c>
      <c r="C28" s="27" t="s">
        <v>410</v>
      </c>
      <c r="D28" s="209" t="s">
        <v>411</v>
      </c>
      <c r="E28" s="181" t="s">
        <v>91</v>
      </c>
      <c r="F28" s="177">
        <v>1335</v>
      </c>
      <c r="G28" s="20" t="s">
        <v>238</v>
      </c>
      <c r="H28" s="89"/>
      <c r="I28" s="141"/>
      <c r="J28" s="130" t="str">
        <f t="shared" si="3"/>
        <v>0</v>
      </c>
      <c r="K28" s="130" t="str">
        <f t="shared" si="4"/>
        <v>0</v>
      </c>
      <c r="L28" s="69"/>
      <c r="M28" s="69"/>
      <c r="N28" s="134" t="s">
        <v>98</v>
      </c>
      <c r="O28" s="304" t="s">
        <v>412</v>
      </c>
      <c r="P28" s="303"/>
      <c r="Q28" s="305"/>
      <c r="R28" s="360"/>
      <c r="S28" s="361"/>
      <c r="T28" s="362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10624</v>
      </c>
      <c r="C29" s="34" t="s">
        <v>413</v>
      </c>
      <c r="D29" s="210" t="s">
        <v>414</v>
      </c>
      <c r="E29" s="182" t="s">
        <v>92</v>
      </c>
      <c r="F29" s="177">
        <v>1330</v>
      </c>
      <c r="G29" s="20" t="s">
        <v>117</v>
      </c>
      <c r="H29" s="89"/>
      <c r="I29" s="89">
        <v>75.75</v>
      </c>
      <c r="J29" s="130" t="str">
        <f t="shared" si="3"/>
        <v>0</v>
      </c>
      <c r="K29" s="130" t="str">
        <f t="shared" si="4"/>
        <v>0</v>
      </c>
      <c r="L29" s="69"/>
      <c r="M29" s="69"/>
      <c r="N29" s="134" t="s">
        <v>98</v>
      </c>
      <c r="O29" s="347"/>
      <c r="P29" s="348"/>
      <c r="Q29" s="349"/>
      <c r="R29" s="350"/>
      <c r="S29" s="351"/>
      <c r="T29" s="352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3" t="s">
        <v>48</v>
      </c>
      <c r="B30" s="354"/>
      <c r="C30" s="354"/>
      <c r="D30" s="354"/>
      <c r="E30" s="355"/>
      <c r="F30" s="354"/>
      <c r="G30" s="354"/>
      <c r="H30" s="264">
        <f t="shared" ref="H30:M30" si="5">SUM(H5:H29)</f>
        <v>1325</v>
      </c>
      <c r="I30" s="105">
        <f>SUM(I5:I29)</f>
        <v>1957.5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0</v>
      </c>
      <c r="L30" s="106">
        <f t="shared" si="5"/>
        <v>0</v>
      </c>
      <c r="M30" s="106">
        <f t="shared" si="5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6"/>
      <c r="S30" s="356"/>
      <c r="T30" s="357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8" t="s">
        <v>16</v>
      </c>
      <c r="B31" s="359"/>
      <c r="C31" s="359"/>
      <c r="D31" s="359"/>
      <c r="E31" s="359"/>
      <c r="F31" s="359"/>
      <c r="G31" s="359"/>
      <c r="H31" s="265">
        <f t="shared" ref="H31:J31" si="6">H30+H62+H94</f>
        <v>1490</v>
      </c>
      <c r="I31" s="103">
        <f t="shared" si="6"/>
        <v>2143.6</v>
      </c>
      <c r="J31" s="103">
        <f t="shared" si="6"/>
        <v>110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11</v>
      </c>
      <c r="O31" s="104">
        <f>COUNT(I5:I29,I37:I61,I69:I93)</f>
        <v>18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1490</v>
      </c>
      <c r="T31" s="343">
        <f>H31+I31+L31+M31</f>
        <v>3633.6</v>
      </c>
      <c r="U31" s="344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3" t="s">
        <v>55</v>
      </c>
      <c r="B32" s="364"/>
      <c r="C32" s="107">
        <f>H31+I31+J31+K31</f>
        <v>3743.6</v>
      </c>
      <c r="D32" s="196"/>
      <c r="E32" s="107"/>
      <c r="F32" s="365" t="s">
        <v>53</v>
      </c>
      <c r="G32" s="365"/>
      <c r="H32" s="109">
        <f>COUNT(B5:B29,B37:B61,B69:B93)</f>
        <v>29</v>
      </c>
      <c r="I32" s="366" t="s">
        <v>54</v>
      </c>
      <c r="J32" s="366"/>
      <c r="K32" s="108">
        <f>C32/H32</f>
        <v>129.08965517241379</v>
      </c>
      <c r="L32" s="260"/>
      <c r="M32" s="260"/>
      <c r="N32" s="260">
        <f>H31/C32</f>
        <v>0.39801260818463513</v>
      </c>
      <c r="O32" s="260">
        <f>I31/C32</f>
        <v>0.57260391067421734</v>
      </c>
      <c r="P32" s="260">
        <f>K31/C32</f>
        <v>0</v>
      </c>
      <c r="Q32" s="110">
        <f>J31/C32</f>
        <v>2.9383481141147558E-2</v>
      </c>
      <c r="R32" s="99" t="s">
        <v>82</v>
      </c>
      <c r="S32" s="266">
        <f>I31+M31</f>
        <v>2143.6</v>
      </c>
      <c r="T32" s="345"/>
      <c r="U32" s="346"/>
      <c r="V32" s="55"/>
      <c r="W32" s="55"/>
      <c r="X32" s="56" t="s">
        <v>27</v>
      </c>
      <c r="Y32" s="56"/>
      <c r="Z32" s="54">
        <f>I31</f>
        <v>2143.6</v>
      </c>
      <c r="AE32" s="37"/>
      <c r="AF32" s="37"/>
      <c r="AG32" s="37"/>
      <c r="AH32" s="37"/>
    </row>
    <row r="33" spans="1:34" ht="17.25" thickBot="1" x14ac:dyDescent="0.35">
      <c r="A33" s="297" t="s">
        <v>24</v>
      </c>
      <c r="B33" s="298"/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338"/>
      <c r="U33" s="339"/>
      <c r="X33" s="57" t="s">
        <v>29</v>
      </c>
      <c r="Y33" s="57"/>
      <c r="Z33" s="58">
        <f>SUM(Z31:Z32)</f>
        <v>-601.40000000000009</v>
      </c>
      <c r="AE33" s="37"/>
      <c r="AF33" s="37"/>
      <c r="AG33" s="59"/>
      <c r="AH33" s="37"/>
    </row>
    <row r="34" spans="1:34" ht="17.25" thickBot="1" x14ac:dyDescent="0.35">
      <c r="A34" s="337" t="str">
        <f>A2</f>
        <v>14-08-2022</v>
      </c>
      <c r="B34" s="338"/>
      <c r="C34" s="338"/>
      <c r="D34" s="338"/>
      <c r="E34" s="338"/>
      <c r="F34" s="338"/>
      <c r="G34" s="339"/>
      <c r="H34" s="340" t="s">
        <v>49</v>
      </c>
      <c r="I34" s="341"/>
      <c r="J34" s="337" t="str">
        <f>J2</f>
        <v>SUNNY</v>
      </c>
      <c r="K34" s="339"/>
      <c r="L34" s="341" t="s">
        <v>50</v>
      </c>
      <c r="M34" s="342"/>
      <c r="N34" s="340"/>
      <c r="O34" s="338" t="str">
        <f>O2</f>
        <v>JOHN</v>
      </c>
      <c r="P34" s="338"/>
      <c r="Q34" s="339"/>
      <c r="R34" s="341" t="s">
        <v>51</v>
      </c>
      <c r="S34" s="340"/>
      <c r="T34" s="329">
        <f>T2</f>
        <v>7</v>
      </c>
      <c r="U34" s="32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0" t="s">
        <v>8</v>
      </c>
      <c r="P36" s="330"/>
      <c r="Q36" s="330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>
        <v>10625</v>
      </c>
      <c r="C37" s="68" t="s">
        <v>415</v>
      </c>
      <c r="D37" s="258" t="s">
        <v>416</v>
      </c>
      <c r="E37" s="181" t="s">
        <v>91</v>
      </c>
      <c r="F37" s="174">
        <v>1340</v>
      </c>
      <c r="G37" s="118" t="s">
        <v>125</v>
      </c>
      <c r="H37" s="91"/>
      <c r="I37" s="124">
        <v>111.1</v>
      </c>
      <c r="J37" s="130" t="str">
        <f>IF(G37="RSL","55","0")</f>
        <v>0</v>
      </c>
      <c r="K37" s="130" t="str">
        <f t="shared" ref="K37:K61" si="7">IF(G37="GVS","37.5",IF(G37="GVM","41.5",IF(G37="GVL","50",IF(G37="PCS","45.8",IF(G37="PCM","50",IF(G37="PCL","58.3","0"))))))</f>
        <v>0</v>
      </c>
      <c r="L37" s="131"/>
      <c r="M37" s="131"/>
      <c r="N37" s="69" t="s">
        <v>98</v>
      </c>
      <c r="O37" s="304"/>
      <c r="P37" s="303"/>
      <c r="Q37" s="305"/>
      <c r="R37" s="60"/>
      <c r="S37" s="61"/>
      <c r="T37" s="61"/>
      <c r="U37" s="70"/>
    </row>
    <row r="38" spans="1:34" x14ac:dyDescent="0.3">
      <c r="A38" s="128">
        <f>A37+1</f>
        <v>27</v>
      </c>
      <c r="B38" s="263">
        <v>10626</v>
      </c>
      <c r="C38" s="67" t="s">
        <v>417</v>
      </c>
      <c r="D38" s="195" t="s">
        <v>418</v>
      </c>
      <c r="E38" s="181" t="s">
        <v>91</v>
      </c>
      <c r="F38" s="174">
        <v>1400</v>
      </c>
      <c r="G38" s="118" t="s">
        <v>117</v>
      </c>
      <c r="H38" s="91">
        <v>70</v>
      </c>
      <c r="I38" s="124"/>
      <c r="J38" s="130" t="str">
        <f t="shared" ref="J38:J61" si="8">IF(G38="RSL","55","0")</f>
        <v>0</v>
      </c>
      <c r="K38" s="130" t="str">
        <f t="shared" si="7"/>
        <v>0</v>
      </c>
      <c r="L38" s="131"/>
      <c r="M38" s="131"/>
      <c r="N38" s="69" t="s">
        <v>98</v>
      </c>
      <c r="O38" s="331"/>
      <c r="P38" s="332"/>
      <c r="Q38" s="333"/>
      <c r="R38" s="78"/>
      <c r="S38" s="71"/>
      <c r="T38" s="16"/>
      <c r="U38" s="72"/>
    </row>
    <row r="39" spans="1:34" x14ac:dyDescent="0.3">
      <c r="A39" s="128">
        <f t="shared" ref="A39:A61" si="9">A38+1</f>
        <v>28</v>
      </c>
      <c r="B39" s="118">
        <v>10627</v>
      </c>
      <c r="C39" s="27" t="s">
        <v>419</v>
      </c>
      <c r="D39" s="183" t="s">
        <v>420</v>
      </c>
      <c r="E39" s="181" t="s">
        <v>91</v>
      </c>
      <c r="F39" s="174">
        <v>1500</v>
      </c>
      <c r="G39" s="118" t="s">
        <v>117</v>
      </c>
      <c r="H39" s="91"/>
      <c r="I39" s="124">
        <v>75</v>
      </c>
      <c r="J39" s="130" t="str">
        <f t="shared" si="8"/>
        <v>0</v>
      </c>
      <c r="K39" s="130" t="str">
        <f t="shared" si="7"/>
        <v>0</v>
      </c>
      <c r="L39" s="131"/>
      <c r="M39" s="131"/>
      <c r="N39" s="69" t="s">
        <v>98</v>
      </c>
      <c r="O39" s="304"/>
      <c r="P39" s="303"/>
      <c r="Q39" s="305"/>
      <c r="R39" s="79"/>
      <c r="S39" s="13"/>
      <c r="T39" s="12"/>
      <c r="U39" s="72"/>
    </row>
    <row r="40" spans="1:34" x14ac:dyDescent="0.3">
      <c r="A40" s="128">
        <f t="shared" si="9"/>
        <v>29</v>
      </c>
      <c r="B40" s="290">
        <v>10628</v>
      </c>
      <c r="C40" s="63" t="s">
        <v>421</v>
      </c>
      <c r="D40" s="184" t="s">
        <v>422</v>
      </c>
      <c r="E40" s="181" t="s">
        <v>91</v>
      </c>
      <c r="F40" s="180">
        <v>1500</v>
      </c>
      <c r="G40" s="119" t="s">
        <v>110</v>
      </c>
      <c r="H40" s="91">
        <v>95</v>
      </c>
      <c r="I40" s="91"/>
      <c r="J40" s="130" t="str">
        <f t="shared" si="8"/>
        <v>0</v>
      </c>
      <c r="K40" s="130" t="str">
        <f t="shared" si="7"/>
        <v>0</v>
      </c>
      <c r="L40" s="131"/>
      <c r="M40" s="131"/>
      <c r="N40" s="69" t="s">
        <v>98</v>
      </c>
      <c r="O40" s="334"/>
      <c r="P40" s="335"/>
      <c r="Q40" s="336"/>
      <c r="R40" s="78"/>
      <c r="S40" s="71"/>
      <c r="T40" s="71"/>
      <c r="U40" s="72"/>
    </row>
    <row r="41" spans="1:34" x14ac:dyDescent="0.3">
      <c r="A41" s="128">
        <f t="shared" si="9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8"/>
        <v>0</v>
      </c>
      <c r="K41" s="130" t="str">
        <f t="shared" si="7"/>
        <v>0</v>
      </c>
      <c r="L41" s="131"/>
      <c r="M41" s="131"/>
      <c r="N41" s="69"/>
      <c r="O41" s="334"/>
      <c r="P41" s="335"/>
      <c r="Q41" s="336"/>
      <c r="R41" s="80"/>
      <c r="S41" s="73"/>
      <c r="T41" s="73"/>
      <c r="U41" s="74"/>
    </row>
    <row r="42" spans="1:34" x14ac:dyDescent="0.3">
      <c r="A42" s="128">
        <f t="shared" si="9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8"/>
        <v>0</v>
      </c>
      <c r="K42" s="130" t="str">
        <f t="shared" si="7"/>
        <v>0</v>
      </c>
      <c r="L42" s="131"/>
      <c r="M42" s="131"/>
      <c r="N42" s="69"/>
      <c r="O42" s="326"/>
      <c r="P42" s="327"/>
      <c r="Q42" s="328"/>
      <c r="R42" s="80"/>
      <c r="S42" s="73"/>
      <c r="T42" s="73"/>
      <c r="U42" s="74"/>
    </row>
    <row r="43" spans="1:34" x14ac:dyDescent="0.3">
      <c r="A43" s="128">
        <f t="shared" si="9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8"/>
        <v>0</v>
      </c>
      <c r="K43" s="130" t="str">
        <f t="shared" si="7"/>
        <v>0</v>
      </c>
      <c r="L43" s="131"/>
      <c r="M43" s="131"/>
      <c r="N43" s="69"/>
      <c r="O43" s="304"/>
      <c r="P43" s="303"/>
      <c r="Q43" s="305"/>
      <c r="R43" s="78"/>
      <c r="S43" s="71"/>
      <c r="T43" s="71"/>
      <c r="U43" s="72"/>
    </row>
    <row r="44" spans="1:34" x14ac:dyDescent="0.3">
      <c r="A44" s="128">
        <f t="shared" si="9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8"/>
        <v>0</v>
      </c>
      <c r="K44" s="130" t="str">
        <f t="shared" si="7"/>
        <v>0</v>
      </c>
      <c r="L44" s="131"/>
      <c r="M44" s="131"/>
      <c r="N44" s="69"/>
      <c r="O44" s="304"/>
      <c r="P44" s="303"/>
      <c r="Q44" s="305"/>
      <c r="R44" s="5"/>
      <c r="S44" s="71"/>
      <c r="T44" s="71"/>
      <c r="U44" s="72"/>
    </row>
    <row r="45" spans="1:34" x14ac:dyDescent="0.3">
      <c r="A45" s="128">
        <f t="shared" si="9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8"/>
        <v>0</v>
      </c>
      <c r="K45" s="130" t="str">
        <f t="shared" si="7"/>
        <v>0</v>
      </c>
      <c r="L45" s="131"/>
      <c r="M45" s="131"/>
      <c r="N45" s="69"/>
      <c r="O45" s="304"/>
      <c r="P45" s="303"/>
      <c r="Q45" s="305"/>
      <c r="R45" s="5"/>
      <c r="S45" s="71"/>
      <c r="T45" s="71"/>
      <c r="U45" s="72"/>
    </row>
    <row r="46" spans="1:34" x14ac:dyDescent="0.3">
      <c r="A46" s="128">
        <f t="shared" si="9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8"/>
        <v>0</v>
      </c>
      <c r="K46" s="130" t="str">
        <f t="shared" si="7"/>
        <v>0</v>
      </c>
      <c r="L46" s="131"/>
      <c r="M46" s="131"/>
      <c r="N46" s="69"/>
      <c r="O46" s="304"/>
      <c r="P46" s="303"/>
      <c r="Q46" s="305"/>
      <c r="R46" s="5"/>
      <c r="S46" s="71"/>
      <c r="T46" s="71"/>
      <c r="U46" s="72"/>
    </row>
    <row r="47" spans="1:34" x14ac:dyDescent="0.3">
      <c r="A47" s="128">
        <f t="shared" si="9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8"/>
        <v>0</v>
      </c>
      <c r="K47" s="130" t="str">
        <f t="shared" si="7"/>
        <v>0</v>
      </c>
      <c r="L47" s="131"/>
      <c r="M47" s="131"/>
      <c r="N47" s="69"/>
      <c r="O47" s="304"/>
      <c r="P47" s="303"/>
      <c r="Q47" s="305"/>
      <c r="R47" s="5"/>
      <c r="S47" s="71"/>
      <c r="T47" s="71"/>
      <c r="U47" s="72"/>
    </row>
    <row r="48" spans="1:34" x14ac:dyDescent="0.3">
      <c r="A48" s="128">
        <f t="shared" si="9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8"/>
        <v>0</v>
      </c>
      <c r="K48" s="130" t="str">
        <f t="shared" si="7"/>
        <v>0</v>
      </c>
      <c r="L48" s="131"/>
      <c r="M48" s="131"/>
      <c r="N48" s="69"/>
      <c r="O48" s="304"/>
      <c r="P48" s="303"/>
      <c r="Q48" s="305"/>
      <c r="R48" s="5"/>
      <c r="S48" s="71"/>
      <c r="T48" s="71"/>
      <c r="U48" s="72"/>
    </row>
    <row r="49" spans="1:21" x14ac:dyDescent="0.3">
      <c r="A49" s="128">
        <f t="shared" si="9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8"/>
        <v>0</v>
      </c>
      <c r="K49" s="130" t="str">
        <f t="shared" si="7"/>
        <v>0</v>
      </c>
      <c r="L49" s="131"/>
      <c r="M49" s="131"/>
      <c r="N49" s="69"/>
      <c r="O49" s="304"/>
      <c r="P49" s="303"/>
      <c r="Q49" s="305"/>
      <c r="R49" s="5"/>
      <c r="S49" s="71"/>
      <c r="T49" s="75"/>
      <c r="U49" s="72"/>
    </row>
    <row r="50" spans="1:21" x14ac:dyDescent="0.3">
      <c r="A50" s="128">
        <f t="shared" si="9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8"/>
        <v>0</v>
      </c>
      <c r="K50" s="130" t="str">
        <f t="shared" si="7"/>
        <v>0</v>
      </c>
      <c r="L50" s="131"/>
      <c r="M50" s="131"/>
      <c r="N50" s="69"/>
      <c r="O50" s="304"/>
      <c r="P50" s="303"/>
      <c r="Q50" s="305"/>
      <c r="R50" s="5"/>
      <c r="S50" s="71"/>
      <c r="T50" s="75"/>
      <c r="U50" s="72"/>
    </row>
    <row r="51" spans="1:21" x14ac:dyDescent="0.3">
      <c r="A51" s="128">
        <f t="shared" si="9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8"/>
        <v>0</v>
      </c>
      <c r="K51" s="130" t="str">
        <f t="shared" si="7"/>
        <v>0</v>
      </c>
      <c r="L51" s="131"/>
      <c r="M51" s="131"/>
      <c r="N51" s="69"/>
      <c r="O51" s="304"/>
      <c r="P51" s="303"/>
      <c r="Q51" s="303"/>
      <c r="R51" s="5"/>
      <c r="S51" s="71"/>
      <c r="T51" s="75"/>
      <c r="U51" s="72"/>
    </row>
    <row r="52" spans="1:21" x14ac:dyDescent="0.3">
      <c r="A52" s="128">
        <f t="shared" si="9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8"/>
        <v>0</v>
      </c>
      <c r="K52" s="130" t="str">
        <f t="shared" si="7"/>
        <v>0</v>
      </c>
      <c r="L52" s="131"/>
      <c r="M52" s="131"/>
      <c r="N52" s="69"/>
      <c r="O52" s="304"/>
      <c r="P52" s="303"/>
      <c r="Q52" s="303"/>
      <c r="R52" s="81"/>
      <c r="S52" s="68"/>
      <c r="T52" s="76"/>
      <c r="U52" s="77"/>
    </row>
    <row r="53" spans="1:21" x14ac:dyDescent="0.3">
      <c r="A53" s="128">
        <f t="shared" si="9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8"/>
        <v>0</v>
      </c>
      <c r="K53" s="130" t="str">
        <f t="shared" si="7"/>
        <v>0</v>
      </c>
      <c r="L53" s="69"/>
      <c r="M53" s="69"/>
      <c r="N53" s="69"/>
      <c r="O53" s="325"/>
      <c r="P53" s="304"/>
      <c r="Q53" s="304"/>
      <c r="R53" s="81"/>
      <c r="S53" s="68"/>
      <c r="T53" s="76"/>
      <c r="U53" s="77"/>
    </row>
    <row r="54" spans="1:21" x14ac:dyDescent="0.3">
      <c r="A54" s="128">
        <f t="shared" si="9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8"/>
        <v>0</v>
      </c>
      <c r="K54" s="130" t="str">
        <f t="shared" si="7"/>
        <v>0</v>
      </c>
      <c r="L54" s="69"/>
      <c r="M54" s="69"/>
      <c r="N54" s="69"/>
      <c r="O54" s="325"/>
      <c r="P54" s="304"/>
      <c r="Q54" s="304"/>
      <c r="R54" s="81"/>
      <c r="S54" s="68"/>
      <c r="T54" s="76"/>
      <c r="U54" s="77"/>
    </row>
    <row r="55" spans="1:21" x14ac:dyDescent="0.3">
      <c r="A55" s="128">
        <f t="shared" si="9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8"/>
        <v>0</v>
      </c>
      <c r="K55" s="130" t="str">
        <f t="shared" si="7"/>
        <v>0</v>
      </c>
      <c r="L55" s="69"/>
      <c r="M55" s="69"/>
      <c r="N55" s="69"/>
      <c r="O55" s="325"/>
      <c r="P55" s="304"/>
      <c r="Q55" s="304"/>
      <c r="R55" s="81"/>
      <c r="S55" s="68"/>
      <c r="T55" s="76"/>
      <c r="U55" s="77"/>
    </row>
    <row r="56" spans="1:21" x14ac:dyDescent="0.3">
      <c r="A56" s="128">
        <f t="shared" si="9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8"/>
        <v>0</v>
      </c>
      <c r="K56" s="130" t="str">
        <f t="shared" si="7"/>
        <v>0</v>
      </c>
      <c r="L56" s="69"/>
      <c r="M56" s="69"/>
      <c r="N56" s="69"/>
      <c r="O56" s="303"/>
      <c r="P56" s="303"/>
      <c r="Q56" s="303"/>
      <c r="R56" s="81"/>
      <c r="S56" s="68"/>
      <c r="T56" s="76"/>
      <c r="U56" s="77"/>
    </row>
    <row r="57" spans="1:21" x14ac:dyDescent="0.3">
      <c r="A57" s="128">
        <f t="shared" si="9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8"/>
        <v>0</v>
      </c>
      <c r="K57" s="130" t="str">
        <f t="shared" si="7"/>
        <v>0</v>
      </c>
      <c r="L57" s="69"/>
      <c r="M57" s="69"/>
      <c r="N57" s="69"/>
      <c r="O57" s="304"/>
      <c r="P57" s="303"/>
      <c r="Q57" s="303"/>
      <c r="R57" s="81"/>
      <c r="S57" s="68"/>
      <c r="T57" s="68"/>
      <c r="U57" s="77"/>
    </row>
    <row r="58" spans="1:21" x14ac:dyDescent="0.3">
      <c r="A58" s="128">
        <f t="shared" si="9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8"/>
        <v>0</v>
      </c>
      <c r="K58" s="130" t="str">
        <f t="shared" si="7"/>
        <v>0</v>
      </c>
      <c r="L58" s="69"/>
      <c r="M58" s="69"/>
      <c r="N58" s="69"/>
      <c r="O58" s="303"/>
      <c r="P58" s="303"/>
      <c r="Q58" s="303"/>
      <c r="R58" s="81"/>
      <c r="S58" s="68"/>
      <c r="T58" s="68"/>
      <c r="U58" s="77"/>
    </row>
    <row r="59" spans="1:21" x14ac:dyDescent="0.3">
      <c r="A59" s="128">
        <f t="shared" si="9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8"/>
        <v>0</v>
      </c>
      <c r="K59" s="130" t="str">
        <f t="shared" si="7"/>
        <v>0</v>
      </c>
      <c r="L59" s="69"/>
      <c r="M59" s="69"/>
      <c r="N59" s="69"/>
      <c r="O59" s="303"/>
      <c r="P59" s="303"/>
      <c r="Q59" s="303"/>
      <c r="R59" s="81"/>
      <c r="S59" s="68"/>
      <c r="T59" s="68"/>
      <c r="U59" s="77"/>
    </row>
    <row r="60" spans="1:21" x14ac:dyDescent="0.3">
      <c r="A60" s="128">
        <f t="shared" si="9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8"/>
        <v>0</v>
      </c>
      <c r="K60" s="130" t="str">
        <f t="shared" si="7"/>
        <v>0</v>
      </c>
      <c r="L60" s="69"/>
      <c r="M60" s="69"/>
      <c r="N60" s="69"/>
      <c r="O60" s="304"/>
      <c r="P60" s="303"/>
      <c r="Q60" s="305"/>
      <c r="R60" s="81"/>
      <c r="S60" s="68"/>
      <c r="T60" s="68"/>
      <c r="U60" s="77"/>
    </row>
    <row r="61" spans="1:21" ht="17.25" thickBot="1" x14ac:dyDescent="0.35">
      <c r="A61" s="128">
        <f t="shared" si="9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8"/>
        <v>0</v>
      </c>
      <c r="K61" s="130" t="str">
        <f t="shared" si="7"/>
        <v>0</v>
      </c>
      <c r="L61" s="149"/>
      <c r="M61" s="149"/>
      <c r="N61" s="149"/>
      <c r="O61" s="306"/>
      <c r="P61" s="307"/>
      <c r="Q61" s="308"/>
      <c r="R61" s="81"/>
      <c r="S61" s="68"/>
      <c r="T61" s="68"/>
      <c r="U61" s="77"/>
    </row>
    <row r="62" spans="1:21" x14ac:dyDescent="0.3">
      <c r="A62" s="309" t="s">
        <v>48</v>
      </c>
      <c r="B62" s="310"/>
      <c r="C62" s="310"/>
      <c r="D62" s="310"/>
      <c r="E62" s="310"/>
      <c r="F62" s="310"/>
      <c r="G62" s="310"/>
      <c r="H62" s="310">
        <f t="shared" ref="H62:M62" si="10">SUM(H37:H61)</f>
        <v>165</v>
      </c>
      <c r="I62" s="316">
        <f t="shared" si="10"/>
        <v>186.1</v>
      </c>
      <c r="J62" s="316">
        <f>J61+J60+J59+J58+J57+J56+J55+J54+J53+J52+J51+J50+J49+J48+J47+J46+J45+J44+J43+J42+J41+J40+J39+J38+J37</f>
        <v>0</v>
      </c>
      <c r="K62" s="316">
        <f>K61+K60+K59+K58+K57+K56+K55+K54+K53+K52+K51+K50+K49+K48+K47+K46+K45+K44+K43+K42+K41+K40+K39+K38+K37</f>
        <v>0</v>
      </c>
      <c r="L62" s="319">
        <f t="shared" si="10"/>
        <v>0</v>
      </c>
      <c r="M62" s="322">
        <f t="shared" si="10"/>
        <v>0</v>
      </c>
      <c r="N62" s="291"/>
      <c r="O62" s="292"/>
      <c r="P62" s="292"/>
      <c r="Q62" s="293"/>
      <c r="R62" s="5"/>
      <c r="S62" s="6"/>
      <c r="T62" s="7"/>
      <c r="U62" s="8"/>
    </row>
    <row r="63" spans="1:21" ht="17.25" thickBot="1" x14ac:dyDescent="0.35">
      <c r="A63" s="312"/>
      <c r="B63" s="313"/>
      <c r="C63" s="313"/>
      <c r="D63" s="313"/>
      <c r="E63" s="313"/>
      <c r="F63" s="313"/>
      <c r="G63" s="313"/>
      <c r="H63" s="313"/>
      <c r="I63" s="317"/>
      <c r="J63" s="317"/>
      <c r="K63" s="317"/>
      <c r="L63" s="320"/>
      <c r="M63" s="323"/>
      <c r="N63" s="294"/>
      <c r="O63" s="295"/>
      <c r="P63" s="295"/>
      <c r="Q63" s="296"/>
      <c r="R63" s="1"/>
      <c r="S63" s="2"/>
      <c r="T63" s="3"/>
      <c r="U63" s="4"/>
    </row>
    <row r="64" spans="1:21" ht="17.25" thickBot="1" x14ac:dyDescent="0.35">
      <c r="A64" s="314"/>
      <c r="B64" s="315"/>
      <c r="C64" s="315"/>
      <c r="D64" s="315"/>
      <c r="E64" s="315"/>
      <c r="F64" s="315"/>
      <c r="G64" s="315"/>
      <c r="H64" s="315"/>
      <c r="I64" s="318"/>
      <c r="J64" s="318"/>
      <c r="K64" s="318"/>
      <c r="L64" s="321"/>
      <c r="M64" s="324"/>
      <c r="N64" s="297"/>
      <c r="O64" s="298"/>
      <c r="P64" s="298"/>
      <c r="Q64" s="299"/>
      <c r="R64" s="300" t="s">
        <v>17</v>
      </c>
      <c r="S64" s="301"/>
      <c r="T64" s="301"/>
      <c r="U64" s="302"/>
    </row>
    <row r="65" spans="1:21" ht="17.25" thickBot="1" x14ac:dyDescent="0.35">
      <c r="A65" s="337" t="s">
        <v>24</v>
      </c>
      <c r="B65" s="338"/>
      <c r="C65" s="338"/>
      <c r="D65" s="338"/>
      <c r="E65" s="338"/>
      <c r="F65" s="338"/>
      <c r="G65" s="338"/>
      <c r="H65" s="338"/>
      <c r="I65" s="338"/>
      <c r="J65" s="338"/>
      <c r="K65" s="338"/>
      <c r="L65" s="338"/>
      <c r="M65" s="338"/>
      <c r="N65" s="338"/>
      <c r="O65" s="338"/>
      <c r="P65" s="338"/>
      <c r="Q65" s="338"/>
      <c r="R65" s="338"/>
      <c r="S65" s="338"/>
      <c r="T65" s="338"/>
      <c r="U65" s="339"/>
    </row>
    <row r="66" spans="1:21" ht="17.25" thickBot="1" x14ac:dyDescent="0.35">
      <c r="A66" s="337" t="str">
        <f>A34</f>
        <v>14-08-2022</v>
      </c>
      <c r="B66" s="338"/>
      <c r="C66" s="338"/>
      <c r="D66" s="338"/>
      <c r="E66" s="338"/>
      <c r="F66" s="338"/>
      <c r="G66" s="339"/>
      <c r="H66" s="340" t="s">
        <v>49</v>
      </c>
      <c r="I66" s="341"/>
      <c r="J66" s="337" t="str">
        <f>J34</f>
        <v>SUNNY</v>
      </c>
      <c r="K66" s="339"/>
      <c r="L66" s="341" t="s">
        <v>50</v>
      </c>
      <c r="M66" s="342"/>
      <c r="N66" s="340"/>
      <c r="O66" s="338" t="str">
        <f>O34</f>
        <v>JOHN</v>
      </c>
      <c r="P66" s="338"/>
      <c r="Q66" s="339"/>
      <c r="R66" s="341" t="s">
        <v>51</v>
      </c>
      <c r="S66" s="340"/>
      <c r="T66" s="329">
        <f>T34</f>
        <v>7</v>
      </c>
      <c r="U66" s="329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0" t="s">
        <v>8</v>
      </c>
      <c r="P68" s="330"/>
      <c r="Q68" s="330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11">IF(G69="GVS","37.5",IF(G69="GVM","41.5",IF(G69="GVL","50",IF(G69="PCS","45.8",IF(G69="PCM","50",IF(G69="PCL","58.3","0"))))))</f>
        <v>0</v>
      </c>
      <c r="L69" s="131"/>
      <c r="M69" s="131"/>
      <c r="N69" s="69"/>
      <c r="O69" s="304"/>
      <c r="P69" s="303"/>
      <c r="Q69" s="305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2">IF(G70="RSL","55","0")</f>
        <v>0</v>
      </c>
      <c r="K70" s="130" t="str">
        <f t="shared" si="11"/>
        <v>0</v>
      </c>
      <c r="L70" s="131"/>
      <c r="M70" s="131"/>
      <c r="N70" s="69"/>
      <c r="O70" s="331"/>
      <c r="P70" s="332"/>
      <c r="Q70" s="333"/>
      <c r="R70" s="78"/>
      <c r="S70" s="71"/>
      <c r="T70" s="16"/>
      <c r="U70" s="72"/>
    </row>
    <row r="71" spans="1:21" x14ac:dyDescent="0.3">
      <c r="A71" s="128">
        <f t="shared" ref="A71:A93" si="13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2"/>
        <v>0</v>
      </c>
      <c r="K71" s="130" t="str">
        <f t="shared" si="11"/>
        <v>0</v>
      </c>
      <c r="L71" s="131"/>
      <c r="M71" s="131"/>
      <c r="N71" s="69"/>
      <c r="O71" s="304"/>
      <c r="P71" s="303"/>
      <c r="Q71" s="305"/>
      <c r="R71" s="79"/>
      <c r="S71" s="13"/>
      <c r="T71" s="12"/>
      <c r="U71" s="72"/>
    </row>
    <row r="72" spans="1:21" x14ac:dyDescent="0.3">
      <c r="A72" s="128">
        <f t="shared" si="13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2"/>
        <v>0</v>
      </c>
      <c r="K72" s="130" t="str">
        <f t="shared" si="11"/>
        <v>0</v>
      </c>
      <c r="L72" s="131"/>
      <c r="M72" s="131"/>
      <c r="N72" s="69"/>
      <c r="O72" s="334"/>
      <c r="P72" s="335"/>
      <c r="Q72" s="336"/>
      <c r="R72" s="78"/>
      <c r="S72" s="71"/>
      <c r="T72" s="71"/>
      <c r="U72" s="72"/>
    </row>
    <row r="73" spans="1:21" x14ac:dyDescent="0.3">
      <c r="A73" s="128">
        <f t="shared" si="13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2"/>
        <v>0</v>
      </c>
      <c r="K73" s="130" t="str">
        <f t="shared" si="11"/>
        <v>0</v>
      </c>
      <c r="L73" s="131"/>
      <c r="M73" s="131"/>
      <c r="N73" s="69"/>
      <c r="O73" s="334"/>
      <c r="P73" s="335"/>
      <c r="Q73" s="336"/>
      <c r="R73" s="80"/>
      <c r="S73" s="73"/>
      <c r="T73" s="73"/>
      <c r="U73" s="74"/>
    </row>
    <row r="74" spans="1:21" x14ac:dyDescent="0.3">
      <c r="A74" s="128">
        <f t="shared" si="13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2"/>
        <v>0</v>
      </c>
      <c r="K74" s="130" t="str">
        <f t="shared" si="11"/>
        <v>0</v>
      </c>
      <c r="L74" s="131"/>
      <c r="M74" s="131"/>
      <c r="N74" s="69"/>
      <c r="O74" s="326"/>
      <c r="P74" s="327"/>
      <c r="Q74" s="328"/>
      <c r="R74" s="80"/>
      <c r="S74" s="73"/>
      <c r="T74" s="73"/>
      <c r="U74" s="74"/>
    </row>
    <row r="75" spans="1:21" x14ac:dyDescent="0.3">
      <c r="A75" s="128">
        <f t="shared" si="13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2"/>
        <v>0</v>
      </c>
      <c r="K75" s="130" t="str">
        <f t="shared" si="11"/>
        <v>0</v>
      </c>
      <c r="L75" s="131"/>
      <c r="M75" s="131"/>
      <c r="N75" s="69"/>
      <c r="O75" s="304"/>
      <c r="P75" s="303"/>
      <c r="Q75" s="305"/>
      <c r="R75" s="78"/>
      <c r="S75" s="71"/>
      <c r="T75" s="71"/>
      <c r="U75" s="72"/>
    </row>
    <row r="76" spans="1:21" x14ac:dyDescent="0.3">
      <c r="A76" s="128">
        <f t="shared" si="13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2"/>
        <v>0</v>
      </c>
      <c r="K76" s="130" t="str">
        <f t="shared" si="11"/>
        <v>0</v>
      </c>
      <c r="L76" s="131"/>
      <c r="M76" s="131"/>
      <c r="N76" s="69"/>
      <c r="O76" s="304"/>
      <c r="P76" s="303"/>
      <c r="Q76" s="305"/>
      <c r="R76" s="5"/>
      <c r="S76" s="71"/>
      <c r="T76" s="71"/>
      <c r="U76" s="72"/>
    </row>
    <row r="77" spans="1:21" x14ac:dyDescent="0.3">
      <c r="A77" s="128">
        <f t="shared" si="13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2"/>
        <v>0</v>
      </c>
      <c r="K77" s="130" t="str">
        <f t="shared" si="11"/>
        <v>0</v>
      </c>
      <c r="L77" s="131"/>
      <c r="M77" s="131"/>
      <c r="N77" s="69"/>
      <c r="O77" s="304"/>
      <c r="P77" s="303"/>
      <c r="Q77" s="305"/>
      <c r="R77" s="5"/>
      <c r="S77" s="71"/>
      <c r="T77" s="71"/>
      <c r="U77" s="72"/>
    </row>
    <row r="78" spans="1:21" x14ac:dyDescent="0.3">
      <c r="A78" s="128">
        <f t="shared" si="13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2"/>
        <v>0</v>
      </c>
      <c r="K78" s="130" t="str">
        <f t="shared" si="11"/>
        <v>0</v>
      </c>
      <c r="L78" s="131"/>
      <c r="M78" s="131"/>
      <c r="N78" s="69"/>
      <c r="O78" s="304"/>
      <c r="P78" s="303"/>
      <c r="Q78" s="305"/>
      <c r="R78" s="5"/>
      <c r="S78" s="71"/>
      <c r="T78" s="71"/>
      <c r="U78" s="72"/>
    </row>
    <row r="79" spans="1:21" x14ac:dyDescent="0.3">
      <c r="A79" s="128">
        <f t="shared" si="13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2"/>
        <v>0</v>
      </c>
      <c r="K79" s="130" t="str">
        <f t="shared" si="11"/>
        <v>0</v>
      </c>
      <c r="L79" s="131"/>
      <c r="M79" s="131"/>
      <c r="N79" s="69"/>
      <c r="O79" s="304"/>
      <c r="P79" s="303"/>
      <c r="Q79" s="305"/>
      <c r="R79" s="5"/>
      <c r="S79" s="71"/>
      <c r="T79" s="71"/>
      <c r="U79" s="72"/>
    </row>
    <row r="80" spans="1:21" x14ac:dyDescent="0.3">
      <c r="A80" s="128">
        <f t="shared" si="13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2"/>
        <v>0</v>
      </c>
      <c r="K80" s="130" t="str">
        <f t="shared" si="11"/>
        <v>0</v>
      </c>
      <c r="L80" s="131"/>
      <c r="M80" s="131"/>
      <c r="N80" s="69"/>
      <c r="O80" s="304"/>
      <c r="P80" s="303"/>
      <c r="Q80" s="305"/>
      <c r="R80" s="5"/>
      <c r="S80" s="71"/>
      <c r="T80" s="71"/>
      <c r="U80" s="72"/>
    </row>
    <row r="81" spans="1:21" x14ac:dyDescent="0.3">
      <c r="A81" s="128">
        <f t="shared" si="13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2"/>
        <v>0</v>
      </c>
      <c r="K81" s="130" t="str">
        <f t="shared" si="11"/>
        <v>0</v>
      </c>
      <c r="L81" s="131"/>
      <c r="M81" s="131"/>
      <c r="N81" s="69"/>
      <c r="O81" s="304"/>
      <c r="P81" s="303"/>
      <c r="Q81" s="305"/>
      <c r="R81" s="5"/>
      <c r="S81" s="71"/>
      <c r="T81" s="75"/>
      <c r="U81" s="72"/>
    </row>
    <row r="82" spans="1:21" x14ac:dyDescent="0.3">
      <c r="A82" s="128">
        <f t="shared" si="13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2"/>
        <v>0</v>
      </c>
      <c r="K82" s="130" t="str">
        <f t="shared" si="11"/>
        <v>0</v>
      </c>
      <c r="L82" s="131"/>
      <c r="M82" s="131"/>
      <c r="N82" s="69"/>
      <c r="O82" s="304"/>
      <c r="P82" s="303"/>
      <c r="Q82" s="305"/>
      <c r="R82" s="5"/>
      <c r="S82" s="71"/>
      <c r="T82" s="75"/>
      <c r="U82" s="72"/>
    </row>
    <row r="83" spans="1:21" x14ac:dyDescent="0.3">
      <c r="A83" s="128">
        <f t="shared" si="13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2"/>
        <v>0</v>
      </c>
      <c r="K83" s="130" t="str">
        <f t="shared" si="11"/>
        <v>0</v>
      </c>
      <c r="L83" s="131"/>
      <c r="M83" s="131"/>
      <c r="N83" s="69"/>
      <c r="O83" s="304"/>
      <c r="P83" s="303"/>
      <c r="Q83" s="303"/>
      <c r="R83" s="5"/>
      <c r="S83" s="71"/>
      <c r="T83" s="75"/>
      <c r="U83" s="72"/>
    </row>
    <row r="84" spans="1:21" x14ac:dyDescent="0.3">
      <c r="A84" s="128">
        <f t="shared" si="13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2"/>
        <v>0</v>
      </c>
      <c r="K84" s="130" t="str">
        <f t="shared" si="11"/>
        <v>0</v>
      </c>
      <c r="L84" s="131"/>
      <c r="M84" s="131"/>
      <c r="N84" s="69"/>
      <c r="O84" s="304"/>
      <c r="P84" s="303"/>
      <c r="Q84" s="303"/>
      <c r="R84" s="81"/>
      <c r="S84" s="68"/>
      <c r="T84" s="76"/>
      <c r="U84" s="77"/>
    </row>
    <row r="85" spans="1:21" x14ac:dyDescent="0.3">
      <c r="A85" s="128">
        <f t="shared" si="13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2"/>
        <v>0</v>
      </c>
      <c r="K85" s="130" t="str">
        <f t="shared" si="11"/>
        <v>0</v>
      </c>
      <c r="L85" s="69"/>
      <c r="M85" s="69"/>
      <c r="N85" s="69"/>
      <c r="O85" s="325"/>
      <c r="P85" s="304"/>
      <c r="Q85" s="304"/>
      <c r="R85" s="81"/>
      <c r="S85" s="68"/>
      <c r="T85" s="76"/>
      <c r="U85" s="77"/>
    </row>
    <row r="86" spans="1:21" x14ac:dyDescent="0.3">
      <c r="A86" s="128">
        <f t="shared" si="13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2"/>
        <v>0</v>
      </c>
      <c r="K86" s="130" t="str">
        <f t="shared" si="11"/>
        <v>0</v>
      </c>
      <c r="L86" s="69"/>
      <c r="M86" s="69"/>
      <c r="N86" s="69"/>
      <c r="O86" s="325"/>
      <c r="P86" s="304"/>
      <c r="Q86" s="304"/>
      <c r="R86" s="81"/>
      <c r="S86" s="68"/>
      <c r="T86" s="76"/>
      <c r="U86" s="77"/>
    </row>
    <row r="87" spans="1:21" x14ac:dyDescent="0.3">
      <c r="A87" s="128">
        <f t="shared" si="13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2"/>
        <v>0</v>
      </c>
      <c r="K87" s="130" t="str">
        <f t="shared" si="11"/>
        <v>0</v>
      </c>
      <c r="L87" s="69"/>
      <c r="M87" s="69"/>
      <c r="N87" s="69"/>
      <c r="O87" s="325"/>
      <c r="P87" s="304"/>
      <c r="Q87" s="304"/>
      <c r="R87" s="81"/>
      <c r="S87" s="68"/>
      <c r="T87" s="76"/>
      <c r="U87" s="77"/>
    </row>
    <row r="88" spans="1:21" x14ac:dyDescent="0.3">
      <c r="A88" s="128">
        <f t="shared" si="13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2"/>
        <v>0</v>
      </c>
      <c r="K88" s="130" t="str">
        <f t="shared" si="11"/>
        <v>0</v>
      </c>
      <c r="L88" s="69"/>
      <c r="M88" s="69"/>
      <c r="N88" s="69"/>
      <c r="O88" s="303"/>
      <c r="P88" s="303"/>
      <c r="Q88" s="303"/>
      <c r="R88" s="81"/>
      <c r="S88" s="68"/>
      <c r="T88" s="76"/>
      <c r="U88" s="77"/>
    </row>
    <row r="89" spans="1:21" x14ac:dyDescent="0.3">
      <c r="A89" s="128">
        <f t="shared" si="13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2"/>
        <v>0</v>
      </c>
      <c r="K89" s="130" t="str">
        <f t="shared" si="11"/>
        <v>0</v>
      </c>
      <c r="L89" s="69"/>
      <c r="M89" s="69"/>
      <c r="N89" s="69"/>
      <c r="O89" s="304"/>
      <c r="P89" s="303"/>
      <c r="Q89" s="303"/>
      <c r="R89" s="81"/>
      <c r="S89" s="68"/>
      <c r="T89" s="68"/>
      <c r="U89" s="77"/>
    </row>
    <row r="90" spans="1:21" x14ac:dyDescent="0.3">
      <c r="A90" s="128">
        <f t="shared" si="13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2"/>
        <v>0</v>
      </c>
      <c r="K90" s="130" t="str">
        <f t="shared" si="11"/>
        <v>0</v>
      </c>
      <c r="L90" s="69"/>
      <c r="M90" s="69"/>
      <c r="N90" s="69"/>
      <c r="O90" s="303"/>
      <c r="P90" s="303"/>
      <c r="Q90" s="303"/>
      <c r="R90" s="81"/>
      <c r="S90" s="68"/>
      <c r="T90" s="68"/>
      <c r="U90" s="77"/>
    </row>
    <row r="91" spans="1:21" x14ac:dyDescent="0.3">
      <c r="A91" s="128">
        <f t="shared" si="13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2"/>
        <v>0</v>
      </c>
      <c r="K91" s="130" t="str">
        <f t="shared" si="11"/>
        <v>0</v>
      </c>
      <c r="L91" s="69"/>
      <c r="M91" s="69"/>
      <c r="N91" s="69"/>
      <c r="O91" s="303"/>
      <c r="P91" s="303"/>
      <c r="Q91" s="303"/>
      <c r="R91" s="81"/>
      <c r="S91" s="68"/>
      <c r="T91" s="68"/>
      <c r="U91" s="77"/>
    </row>
    <row r="92" spans="1:21" x14ac:dyDescent="0.3">
      <c r="A92" s="128">
        <f t="shared" si="13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2"/>
        <v>0</v>
      </c>
      <c r="K92" s="130" t="str">
        <f t="shared" si="11"/>
        <v>0</v>
      </c>
      <c r="L92" s="69"/>
      <c r="M92" s="69"/>
      <c r="N92" s="69"/>
      <c r="O92" s="304"/>
      <c r="P92" s="303"/>
      <c r="Q92" s="305"/>
      <c r="R92" s="81"/>
      <c r="S92" s="68"/>
      <c r="T92" s="68"/>
      <c r="U92" s="77"/>
    </row>
    <row r="93" spans="1:21" ht="17.25" thickBot="1" x14ac:dyDescent="0.35">
      <c r="A93" s="128">
        <f t="shared" si="13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2"/>
        <v>0</v>
      </c>
      <c r="K93" s="130" t="str">
        <f t="shared" si="11"/>
        <v>0</v>
      </c>
      <c r="L93" s="149"/>
      <c r="M93" s="149"/>
      <c r="N93" s="149"/>
      <c r="O93" s="306"/>
      <c r="P93" s="307"/>
      <c r="Q93" s="308"/>
      <c r="R93" s="81"/>
      <c r="S93" s="68"/>
      <c r="T93" s="68"/>
      <c r="U93" s="77"/>
    </row>
    <row r="94" spans="1:21" x14ac:dyDescent="0.3">
      <c r="A94" s="309" t="s">
        <v>48</v>
      </c>
      <c r="B94" s="310"/>
      <c r="C94" s="310"/>
      <c r="D94" s="310"/>
      <c r="E94" s="311"/>
      <c r="F94" s="310"/>
      <c r="G94" s="310"/>
      <c r="H94" s="310">
        <f t="shared" ref="H94:M94" si="14">SUM(H69:H93)</f>
        <v>0</v>
      </c>
      <c r="I94" s="316">
        <f t="shared" si="14"/>
        <v>0</v>
      </c>
      <c r="J94" s="316">
        <f>J93+J92+J91+J90+J89+J88+J87+J86+J85+J84+J83+J82+J81+J80+J79+J78+J77+J76+J75+J74+J73+J72+J71+J70+J69</f>
        <v>0</v>
      </c>
      <c r="K94" s="316">
        <f>K93+K92+K91+K90+K89+K88+K87+K86+K85+K84+K83+K82+K81+K80+K79+K78+K77+K76+K75+K74+K73+K72+K71+K70+K69</f>
        <v>0</v>
      </c>
      <c r="L94" s="319">
        <f t="shared" si="14"/>
        <v>0</v>
      </c>
      <c r="M94" s="322">
        <f t="shared" si="14"/>
        <v>0</v>
      </c>
      <c r="N94" s="291"/>
      <c r="O94" s="292"/>
      <c r="P94" s="292"/>
      <c r="Q94" s="293"/>
      <c r="R94" s="5"/>
      <c r="S94" s="6"/>
      <c r="T94" s="7"/>
      <c r="U94" s="8"/>
    </row>
    <row r="95" spans="1:21" ht="17.25" thickBot="1" x14ac:dyDescent="0.35">
      <c r="A95" s="312"/>
      <c r="B95" s="313"/>
      <c r="C95" s="313"/>
      <c r="D95" s="313"/>
      <c r="E95" s="313"/>
      <c r="F95" s="313"/>
      <c r="G95" s="313"/>
      <c r="H95" s="313"/>
      <c r="I95" s="317"/>
      <c r="J95" s="317"/>
      <c r="K95" s="317"/>
      <c r="L95" s="320"/>
      <c r="M95" s="323"/>
      <c r="N95" s="294"/>
      <c r="O95" s="295"/>
      <c r="P95" s="295"/>
      <c r="Q95" s="296"/>
      <c r="R95" s="1"/>
      <c r="S95" s="2"/>
      <c r="T95" s="3"/>
      <c r="U95" s="4"/>
    </row>
    <row r="96" spans="1:21" ht="17.25" thickBot="1" x14ac:dyDescent="0.35">
      <c r="A96" s="314"/>
      <c r="B96" s="315"/>
      <c r="C96" s="315"/>
      <c r="D96" s="315"/>
      <c r="E96" s="315"/>
      <c r="F96" s="315"/>
      <c r="G96" s="315"/>
      <c r="H96" s="315"/>
      <c r="I96" s="318"/>
      <c r="J96" s="318"/>
      <c r="K96" s="318"/>
      <c r="L96" s="321"/>
      <c r="M96" s="324"/>
      <c r="N96" s="297"/>
      <c r="O96" s="298"/>
      <c r="P96" s="298"/>
      <c r="Q96" s="299"/>
      <c r="R96" s="300" t="s">
        <v>52</v>
      </c>
      <c r="S96" s="301"/>
      <c r="T96" s="301"/>
      <c r="U96" s="302"/>
    </row>
  </sheetData>
  <mergeCells count="124">
    <mergeCell ref="O4:Q4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4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abSelected="1" workbookViewId="0">
      <selection activeCell="H23" sqref="H23:K23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610"/>
      <c r="B1" s="610"/>
      <c r="C1" s="610"/>
      <c r="D1" s="610"/>
      <c r="E1" s="609" t="s">
        <v>59</v>
      </c>
      <c r="F1" s="609"/>
      <c r="G1" s="609"/>
      <c r="H1" s="609" t="s">
        <v>60</v>
      </c>
      <c r="I1" s="609"/>
      <c r="J1" s="609"/>
      <c r="K1" s="609"/>
      <c r="L1" s="609" t="s">
        <v>61</v>
      </c>
      <c r="M1" s="609"/>
      <c r="N1" s="609"/>
      <c r="O1" s="609"/>
      <c r="P1" s="609"/>
      <c r="Q1" s="609" t="s">
        <v>62</v>
      </c>
      <c r="R1" s="609"/>
      <c r="S1" s="609"/>
      <c r="T1" s="609"/>
      <c r="U1" s="609"/>
      <c r="V1" s="609" t="s">
        <v>63</v>
      </c>
      <c r="W1" s="609"/>
      <c r="X1" s="609"/>
      <c r="Y1" s="609"/>
      <c r="Z1" s="609"/>
      <c r="AA1" s="609" t="s">
        <v>64</v>
      </c>
      <c r="AB1" s="609"/>
      <c r="AC1" s="609"/>
      <c r="AD1" s="609"/>
    </row>
    <row r="2" spans="1:30" ht="20.100000000000001" customHeight="1" x14ac:dyDescent="0.3">
      <c r="A2" s="690" t="s">
        <v>66</v>
      </c>
      <c r="B2" s="501" t="s">
        <v>57</v>
      </c>
      <c r="C2" s="501"/>
      <c r="D2" s="525"/>
      <c r="E2" s="525">
        <f>MON!N31</f>
        <v>4</v>
      </c>
      <c r="F2" s="525"/>
      <c r="G2" s="525"/>
      <c r="H2" s="494">
        <f>MON!S31</f>
        <v>365</v>
      </c>
      <c r="I2" s="494"/>
      <c r="J2" s="494"/>
      <c r="K2" s="494"/>
      <c r="L2" s="495">
        <f>MON!N32</f>
        <v>0.30983404779084073</v>
      </c>
      <c r="M2" s="495"/>
      <c r="N2" s="495"/>
      <c r="O2" s="495"/>
      <c r="P2" s="495"/>
      <c r="Q2" s="555">
        <f>SUM(E2:G5)</f>
        <v>13</v>
      </c>
      <c r="R2" s="556"/>
      <c r="S2" s="556"/>
      <c r="T2" s="556"/>
      <c r="U2" s="557"/>
      <c r="V2" s="620">
        <f>SUM(H2,H3,H5)</f>
        <v>732.45</v>
      </c>
      <c r="W2" s="621"/>
      <c r="X2" s="621"/>
      <c r="Y2" s="621"/>
      <c r="Z2" s="622"/>
      <c r="AA2" s="629">
        <f>V2/Q2</f>
        <v>56.342307692307699</v>
      </c>
      <c r="AB2" s="630"/>
      <c r="AC2" s="630"/>
      <c r="AD2" s="631"/>
    </row>
    <row r="3" spans="1:30" ht="20.100000000000001" customHeight="1" x14ac:dyDescent="0.3">
      <c r="A3" s="691"/>
      <c r="B3" s="501" t="s">
        <v>58</v>
      </c>
      <c r="C3" s="501"/>
      <c r="D3" s="525"/>
      <c r="E3" s="525">
        <f>MON!O31</f>
        <v>4</v>
      </c>
      <c r="F3" s="525"/>
      <c r="G3" s="525"/>
      <c r="H3" s="494">
        <f>MON!S32</f>
        <v>367.45</v>
      </c>
      <c r="I3" s="494"/>
      <c r="J3" s="494"/>
      <c r="K3" s="494"/>
      <c r="L3" s="495">
        <f>MON!O32</f>
        <v>0.31191375578286146</v>
      </c>
      <c r="M3" s="495"/>
      <c r="N3" s="495"/>
      <c r="O3" s="495"/>
      <c r="P3" s="495"/>
      <c r="Q3" s="558"/>
      <c r="R3" s="559"/>
      <c r="S3" s="559"/>
      <c r="T3" s="559"/>
      <c r="U3" s="560"/>
      <c r="V3" s="623"/>
      <c r="W3" s="624"/>
      <c r="X3" s="624"/>
      <c r="Y3" s="624"/>
      <c r="Z3" s="625"/>
      <c r="AA3" s="632"/>
      <c r="AB3" s="633"/>
      <c r="AC3" s="633"/>
      <c r="AD3" s="634"/>
    </row>
    <row r="4" spans="1:30" ht="20.100000000000001" customHeight="1" x14ac:dyDescent="0.3">
      <c r="A4" s="691"/>
      <c r="B4" s="501" t="s">
        <v>45</v>
      </c>
      <c r="C4" s="501"/>
      <c r="D4" s="525"/>
      <c r="E4" s="525">
        <f>MON!P31</f>
        <v>5</v>
      </c>
      <c r="F4" s="525"/>
      <c r="G4" s="525"/>
      <c r="H4" s="494">
        <f>MON!K31</f>
        <v>445.6</v>
      </c>
      <c r="I4" s="494"/>
      <c r="J4" s="494"/>
      <c r="K4" s="494"/>
      <c r="L4" s="495">
        <f>MON!P32</f>
        <v>0.37825219642629765</v>
      </c>
      <c r="M4" s="495"/>
      <c r="N4" s="495"/>
      <c r="O4" s="495"/>
      <c r="P4" s="495"/>
      <c r="Q4" s="558"/>
      <c r="R4" s="559"/>
      <c r="S4" s="559"/>
      <c r="T4" s="559"/>
      <c r="U4" s="560"/>
      <c r="V4" s="623"/>
      <c r="W4" s="624"/>
      <c r="X4" s="624"/>
      <c r="Y4" s="624"/>
      <c r="Z4" s="625"/>
      <c r="AA4" s="632"/>
      <c r="AB4" s="633"/>
      <c r="AC4" s="633"/>
      <c r="AD4" s="634"/>
    </row>
    <row r="5" spans="1:30" ht="20.100000000000001" customHeight="1" x14ac:dyDescent="0.3">
      <c r="A5" s="691"/>
      <c r="B5" s="499" t="s">
        <v>65</v>
      </c>
      <c r="C5" s="500"/>
      <c r="D5" s="501"/>
      <c r="E5" s="499">
        <f>MON!Q31</f>
        <v>0</v>
      </c>
      <c r="F5" s="500"/>
      <c r="G5" s="501"/>
      <c r="H5" s="547">
        <f>MON!J31</f>
        <v>0</v>
      </c>
      <c r="I5" s="548"/>
      <c r="J5" s="548"/>
      <c r="K5" s="549"/>
      <c r="L5" s="550">
        <f>MON!Q32</f>
        <v>0</v>
      </c>
      <c r="M5" s="551"/>
      <c r="N5" s="551"/>
      <c r="O5" s="551"/>
      <c r="P5" s="552"/>
      <c r="Q5" s="561"/>
      <c r="R5" s="562"/>
      <c r="S5" s="562"/>
      <c r="T5" s="562"/>
      <c r="U5" s="563"/>
      <c r="V5" s="626"/>
      <c r="W5" s="627"/>
      <c r="X5" s="627"/>
      <c r="Y5" s="627"/>
      <c r="Z5" s="628"/>
      <c r="AA5" s="635"/>
      <c r="AB5" s="636"/>
      <c r="AC5" s="636"/>
      <c r="AD5" s="637"/>
    </row>
    <row r="6" spans="1:30" ht="20.100000000000001" customHeight="1" x14ac:dyDescent="0.3">
      <c r="A6" s="692"/>
      <c r="B6" s="499" t="s">
        <v>94</v>
      </c>
      <c r="C6" s="500"/>
      <c r="D6" s="501"/>
      <c r="E6" s="499">
        <f>MON!U16</f>
        <v>36.75</v>
      </c>
      <c r="F6" s="500"/>
      <c r="G6" s="501"/>
      <c r="H6" s="547" t="s">
        <v>95</v>
      </c>
      <c r="I6" s="548"/>
      <c r="J6" s="548"/>
      <c r="K6" s="549"/>
      <c r="L6" s="603">
        <f>MON!T2</f>
        <v>5</v>
      </c>
      <c r="M6" s="604"/>
      <c r="N6" s="604"/>
      <c r="O6" s="604"/>
      <c r="P6" s="605"/>
      <c r="Q6" s="606"/>
      <c r="R6" s="607"/>
      <c r="S6" s="607"/>
      <c r="T6" s="607"/>
      <c r="U6" s="608"/>
      <c r="V6" s="711"/>
      <c r="W6" s="712"/>
      <c r="X6" s="712"/>
      <c r="Y6" s="712"/>
      <c r="Z6" s="713"/>
      <c r="AA6" s="714"/>
      <c r="AB6" s="715"/>
      <c r="AC6" s="715"/>
      <c r="AD6" s="716"/>
    </row>
    <row r="7" spans="1:30" ht="20.100000000000001" customHeight="1" x14ac:dyDescent="0.3">
      <c r="A7" s="693" t="s">
        <v>67</v>
      </c>
      <c r="B7" s="517" t="s">
        <v>57</v>
      </c>
      <c r="C7" s="517"/>
      <c r="D7" s="518"/>
      <c r="E7" s="518">
        <f>TUE!N31</f>
        <v>6</v>
      </c>
      <c r="F7" s="518"/>
      <c r="G7" s="518"/>
      <c r="H7" s="496">
        <f>TUE!S31</f>
        <v>960</v>
      </c>
      <c r="I7" s="496"/>
      <c r="J7" s="496"/>
      <c r="K7" s="496"/>
      <c r="L7" s="509">
        <f>TUE!N32</f>
        <v>0.60436274355503794</v>
      </c>
      <c r="M7" s="510"/>
      <c r="N7" s="510"/>
      <c r="O7" s="510"/>
      <c r="P7" s="511"/>
      <c r="Q7" s="585">
        <f>SUM(E7:G10)</f>
        <v>13</v>
      </c>
      <c r="R7" s="586"/>
      <c r="S7" s="586"/>
      <c r="T7" s="586"/>
      <c r="U7" s="587"/>
      <c r="V7" s="611">
        <f>SUM(H7,H8,H10)</f>
        <v>1588.45</v>
      </c>
      <c r="W7" s="612"/>
      <c r="X7" s="612"/>
      <c r="Y7" s="612"/>
      <c r="Z7" s="613"/>
      <c r="AA7" s="638">
        <f>V7/Q7</f>
        <v>122.18846153846154</v>
      </c>
      <c r="AB7" s="639"/>
      <c r="AC7" s="639"/>
      <c r="AD7" s="640"/>
    </row>
    <row r="8" spans="1:30" ht="20.100000000000001" customHeight="1" x14ac:dyDescent="0.3">
      <c r="A8" s="694"/>
      <c r="B8" s="517" t="s">
        <v>58</v>
      </c>
      <c r="C8" s="517"/>
      <c r="D8" s="518"/>
      <c r="E8" s="518">
        <f>TUE!O31</f>
        <v>6</v>
      </c>
      <c r="F8" s="518"/>
      <c r="G8" s="518"/>
      <c r="H8" s="496">
        <f>TUE!S32</f>
        <v>518.45000000000005</v>
      </c>
      <c r="I8" s="496"/>
      <c r="J8" s="496"/>
      <c r="K8" s="496"/>
      <c r="L8" s="509">
        <f>TUE!O32</f>
        <v>0.32638735874594732</v>
      </c>
      <c r="M8" s="510"/>
      <c r="N8" s="510"/>
      <c r="O8" s="510"/>
      <c r="P8" s="511"/>
      <c r="Q8" s="588"/>
      <c r="R8" s="589"/>
      <c r="S8" s="589"/>
      <c r="T8" s="589"/>
      <c r="U8" s="590"/>
      <c r="V8" s="614"/>
      <c r="W8" s="615"/>
      <c r="X8" s="615"/>
      <c r="Y8" s="615"/>
      <c r="Z8" s="616"/>
      <c r="AA8" s="641"/>
      <c r="AB8" s="642"/>
      <c r="AC8" s="642"/>
      <c r="AD8" s="643"/>
    </row>
    <row r="9" spans="1:30" ht="20.100000000000001" customHeight="1" x14ac:dyDescent="0.3">
      <c r="A9" s="694"/>
      <c r="B9" s="517" t="s">
        <v>45</v>
      </c>
      <c r="C9" s="517"/>
      <c r="D9" s="518"/>
      <c r="E9" s="518">
        <f>TUE!P31</f>
        <v>0</v>
      </c>
      <c r="F9" s="518"/>
      <c r="G9" s="518"/>
      <c r="H9" s="496">
        <f>TUE!K31</f>
        <v>0</v>
      </c>
      <c r="I9" s="496"/>
      <c r="J9" s="496"/>
      <c r="K9" s="496"/>
      <c r="L9" s="509">
        <f>TUE!P32</f>
        <v>0</v>
      </c>
      <c r="M9" s="510"/>
      <c r="N9" s="510"/>
      <c r="O9" s="510"/>
      <c r="P9" s="511"/>
      <c r="Q9" s="588"/>
      <c r="R9" s="589"/>
      <c r="S9" s="589"/>
      <c r="T9" s="589"/>
      <c r="U9" s="590"/>
      <c r="V9" s="614"/>
      <c r="W9" s="615"/>
      <c r="X9" s="615"/>
      <c r="Y9" s="615"/>
      <c r="Z9" s="616"/>
      <c r="AA9" s="641"/>
      <c r="AB9" s="642"/>
      <c r="AC9" s="642"/>
      <c r="AD9" s="643"/>
    </row>
    <row r="10" spans="1:30" ht="20.100000000000001" customHeight="1" x14ac:dyDescent="0.3">
      <c r="A10" s="694"/>
      <c r="B10" s="553" t="s">
        <v>65</v>
      </c>
      <c r="C10" s="554"/>
      <c r="D10" s="517"/>
      <c r="E10" s="553">
        <f>TUE!Q31</f>
        <v>1</v>
      </c>
      <c r="F10" s="554"/>
      <c r="G10" s="517"/>
      <c r="H10" s="526">
        <f>TUE!J31</f>
        <v>110</v>
      </c>
      <c r="I10" s="527"/>
      <c r="J10" s="527"/>
      <c r="K10" s="528"/>
      <c r="L10" s="509">
        <f>TUE!Q32</f>
        <v>6.9249897699014767E-2</v>
      </c>
      <c r="M10" s="510"/>
      <c r="N10" s="510"/>
      <c r="O10" s="510"/>
      <c r="P10" s="511"/>
      <c r="Q10" s="591"/>
      <c r="R10" s="592"/>
      <c r="S10" s="592"/>
      <c r="T10" s="592"/>
      <c r="U10" s="593"/>
      <c r="V10" s="617"/>
      <c r="W10" s="618"/>
      <c r="X10" s="618"/>
      <c r="Y10" s="618"/>
      <c r="Z10" s="619"/>
      <c r="AA10" s="644"/>
      <c r="AB10" s="645"/>
      <c r="AC10" s="645"/>
      <c r="AD10" s="646"/>
    </row>
    <row r="11" spans="1:30" ht="20.100000000000001" customHeight="1" x14ac:dyDescent="0.3">
      <c r="A11" s="695"/>
      <c r="B11" s="553" t="s">
        <v>94</v>
      </c>
      <c r="C11" s="554"/>
      <c r="D11" s="517"/>
      <c r="E11" s="553">
        <f>TUE!U16</f>
        <v>31.250000000000004</v>
      </c>
      <c r="F11" s="554"/>
      <c r="G11" s="517"/>
      <c r="H11" s="526" t="s">
        <v>95</v>
      </c>
      <c r="I11" s="527"/>
      <c r="J11" s="527"/>
      <c r="K11" s="528"/>
      <c r="L11" s="717">
        <f>TUE!T2</f>
        <v>4</v>
      </c>
      <c r="M11" s="718"/>
      <c r="N11" s="718"/>
      <c r="O11" s="718"/>
      <c r="P11" s="719"/>
      <c r="Q11" s="720"/>
      <c r="R11" s="721"/>
      <c r="S11" s="721"/>
      <c r="T11" s="721"/>
      <c r="U11" s="722"/>
      <c r="V11" s="723"/>
      <c r="W11" s="724"/>
      <c r="X11" s="724"/>
      <c r="Y11" s="724"/>
      <c r="Z11" s="725"/>
      <c r="AA11" s="726"/>
      <c r="AB11" s="727"/>
      <c r="AC11" s="727"/>
      <c r="AD11" s="728"/>
    </row>
    <row r="12" spans="1:30" ht="20.100000000000001" customHeight="1" x14ac:dyDescent="0.3">
      <c r="A12" s="696" t="s">
        <v>68</v>
      </c>
      <c r="B12" s="502" t="s">
        <v>57</v>
      </c>
      <c r="C12" s="502"/>
      <c r="D12" s="313"/>
      <c r="E12" s="313">
        <f>WED!N31</f>
        <v>8</v>
      </c>
      <c r="F12" s="313"/>
      <c r="G12" s="313"/>
      <c r="H12" s="503">
        <f>WED!S31</f>
        <v>1255</v>
      </c>
      <c r="I12" s="504"/>
      <c r="J12" s="504"/>
      <c r="K12" s="505"/>
      <c r="L12" s="506">
        <f>WED!N32</f>
        <v>0.72180364640248462</v>
      </c>
      <c r="M12" s="507"/>
      <c r="N12" s="507"/>
      <c r="O12" s="507"/>
      <c r="P12" s="508"/>
      <c r="Q12" s="564">
        <f>SUM(E12:G15)</f>
        <v>14</v>
      </c>
      <c r="R12" s="565"/>
      <c r="S12" s="565"/>
      <c r="T12" s="565"/>
      <c r="U12" s="566"/>
      <c r="V12" s="738">
        <f>SUM(H12,H13,H15)</f>
        <v>2060.25</v>
      </c>
      <c r="W12" s="739"/>
      <c r="X12" s="739"/>
      <c r="Y12" s="739"/>
      <c r="Z12" s="740"/>
      <c r="AA12" s="729">
        <f>V12/Q12</f>
        <v>147.16071428571428</v>
      </c>
      <c r="AB12" s="730"/>
      <c r="AC12" s="730"/>
      <c r="AD12" s="731"/>
    </row>
    <row r="13" spans="1:30" ht="20.100000000000001" customHeight="1" x14ac:dyDescent="0.3">
      <c r="A13" s="697"/>
      <c r="B13" s="502" t="s">
        <v>58</v>
      </c>
      <c r="C13" s="502"/>
      <c r="D13" s="313"/>
      <c r="E13" s="313">
        <f>WED!O31</f>
        <v>4</v>
      </c>
      <c r="F13" s="313"/>
      <c r="G13" s="313"/>
      <c r="H13" s="503">
        <f>WED!S32</f>
        <v>805.25</v>
      </c>
      <c r="I13" s="504"/>
      <c r="J13" s="504"/>
      <c r="K13" s="505"/>
      <c r="L13" s="506">
        <f>WED!O32</f>
        <v>0.18720883418646114</v>
      </c>
      <c r="M13" s="507"/>
      <c r="N13" s="507"/>
      <c r="O13" s="507"/>
      <c r="P13" s="508"/>
      <c r="Q13" s="567"/>
      <c r="R13" s="568"/>
      <c r="S13" s="568"/>
      <c r="T13" s="568"/>
      <c r="U13" s="569"/>
      <c r="V13" s="741"/>
      <c r="W13" s="742"/>
      <c r="X13" s="742"/>
      <c r="Y13" s="742"/>
      <c r="Z13" s="743"/>
      <c r="AA13" s="732"/>
      <c r="AB13" s="733"/>
      <c r="AC13" s="733"/>
      <c r="AD13" s="734"/>
    </row>
    <row r="14" spans="1:30" ht="20.100000000000001" customHeight="1" x14ac:dyDescent="0.3">
      <c r="A14" s="697"/>
      <c r="B14" s="502" t="s">
        <v>45</v>
      </c>
      <c r="C14" s="502"/>
      <c r="D14" s="313"/>
      <c r="E14" s="313">
        <f>WED!P31</f>
        <v>2</v>
      </c>
      <c r="F14" s="313"/>
      <c r="G14" s="313"/>
      <c r="H14" s="503">
        <f>WED!K31</f>
        <v>158.19999999999999</v>
      </c>
      <c r="I14" s="504"/>
      <c r="J14" s="504"/>
      <c r="K14" s="505"/>
      <c r="L14" s="506">
        <f>WED!P32</f>
        <v>9.0987519411054221E-2</v>
      </c>
      <c r="M14" s="507"/>
      <c r="N14" s="507"/>
      <c r="O14" s="507"/>
      <c r="P14" s="508"/>
      <c r="Q14" s="567"/>
      <c r="R14" s="568"/>
      <c r="S14" s="568"/>
      <c r="T14" s="568"/>
      <c r="U14" s="569"/>
      <c r="V14" s="741"/>
      <c r="W14" s="742"/>
      <c r="X14" s="742"/>
      <c r="Y14" s="742"/>
      <c r="Z14" s="743"/>
      <c r="AA14" s="732"/>
      <c r="AB14" s="733"/>
      <c r="AC14" s="733"/>
      <c r="AD14" s="734"/>
    </row>
    <row r="15" spans="1:30" ht="20.100000000000001" customHeight="1" x14ac:dyDescent="0.3">
      <c r="A15" s="697"/>
      <c r="B15" s="519" t="s">
        <v>65</v>
      </c>
      <c r="C15" s="520"/>
      <c r="D15" s="502"/>
      <c r="E15" s="519">
        <f>WED!Q31</f>
        <v>0</v>
      </c>
      <c r="F15" s="520"/>
      <c r="G15" s="502"/>
      <c r="H15" s="503">
        <f>WED!J31</f>
        <v>0</v>
      </c>
      <c r="I15" s="504"/>
      <c r="J15" s="504"/>
      <c r="K15" s="505"/>
      <c r="L15" s="506">
        <f>WED!Q32</f>
        <v>0</v>
      </c>
      <c r="M15" s="507"/>
      <c r="N15" s="507"/>
      <c r="O15" s="507"/>
      <c r="P15" s="508"/>
      <c r="Q15" s="570"/>
      <c r="R15" s="571"/>
      <c r="S15" s="571"/>
      <c r="T15" s="571"/>
      <c r="U15" s="572"/>
      <c r="V15" s="744"/>
      <c r="W15" s="745"/>
      <c r="X15" s="745"/>
      <c r="Y15" s="745"/>
      <c r="Z15" s="746"/>
      <c r="AA15" s="735"/>
      <c r="AB15" s="736"/>
      <c r="AC15" s="736"/>
      <c r="AD15" s="737"/>
    </row>
    <row r="16" spans="1:30" ht="20.100000000000001" customHeight="1" x14ac:dyDescent="0.3">
      <c r="A16" s="698"/>
      <c r="B16" s="519" t="s">
        <v>94</v>
      </c>
      <c r="C16" s="520"/>
      <c r="D16" s="502"/>
      <c r="E16" s="519">
        <f>WED!U16</f>
        <v>36</v>
      </c>
      <c r="F16" s="520"/>
      <c r="G16" s="502"/>
      <c r="H16" s="503" t="s">
        <v>95</v>
      </c>
      <c r="I16" s="504"/>
      <c r="J16" s="504"/>
      <c r="K16" s="505"/>
      <c r="L16" s="522">
        <f>WED!T2</f>
        <v>5</v>
      </c>
      <c r="M16" s="523"/>
      <c r="N16" s="523"/>
      <c r="O16" s="523"/>
      <c r="P16" s="524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699" t="s">
        <v>69</v>
      </c>
      <c r="B17" s="466" t="s">
        <v>57</v>
      </c>
      <c r="C17" s="466"/>
      <c r="D17" s="513"/>
      <c r="E17" s="513">
        <f>THU!N31</f>
        <v>7</v>
      </c>
      <c r="F17" s="513"/>
      <c r="G17" s="513"/>
      <c r="H17" s="521">
        <f>THU!S31</f>
        <v>570</v>
      </c>
      <c r="I17" s="521"/>
      <c r="J17" s="521"/>
      <c r="K17" s="521"/>
      <c r="L17" s="512">
        <f>THU!N32</f>
        <v>0.37253684520113722</v>
      </c>
      <c r="M17" s="512"/>
      <c r="N17" s="512"/>
      <c r="O17" s="512"/>
      <c r="P17" s="512"/>
      <c r="Q17" s="594">
        <f>SUM(E17:G20)</f>
        <v>19</v>
      </c>
      <c r="R17" s="595"/>
      <c r="S17" s="595"/>
      <c r="T17" s="595"/>
      <c r="U17" s="596"/>
      <c r="V17" s="538">
        <f>SUM(H17,H18,H20)</f>
        <v>1309.3499999999999</v>
      </c>
      <c r="W17" s="539"/>
      <c r="X17" s="539"/>
      <c r="Y17" s="539"/>
      <c r="Z17" s="540"/>
      <c r="AA17" s="529">
        <f>V17/Q17</f>
        <v>68.913157894736841</v>
      </c>
      <c r="AB17" s="530"/>
      <c r="AC17" s="530"/>
      <c r="AD17" s="531"/>
    </row>
    <row r="18" spans="1:30" ht="20.100000000000001" customHeight="1" x14ac:dyDescent="0.3">
      <c r="A18" s="700"/>
      <c r="B18" s="466" t="s">
        <v>58</v>
      </c>
      <c r="C18" s="466"/>
      <c r="D18" s="513"/>
      <c r="E18" s="513">
        <f>THU!O31</f>
        <v>8</v>
      </c>
      <c r="F18" s="513"/>
      <c r="G18" s="513"/>
      <c r="H18" s="521">
        <f>THU!S32</f>
        <v>739.35</v>
      </c>
      <c r="I18" s="521"/>
      <c r="J18" s="521"/>
      <c r="K18" s="521"/>
      <c r="L18" s="512">
        <f>THU!O32</f>
        <v>0.48321950263063301</v>
      </c>
      <c r="M18" s="512"/>
      <c r="N18" s="512"/>
      <c r="O18" s="512"/>
      <c r="P18" s="512"/>
      <c r="Q18" s="597"/>
      <c r="R18" s="598"/>
      <c r="S18" s="598"/>
      <c r="T18" s="598"/>
      <c r="U18" s="599"/>
      <c r="V18" s="541"/>
      <c r="W18" s="542"/>
      <c r="X18" s="542"/>
      <c r="Y18" s="542"/>
      <c r="Z18" s="543"/>
      <c r="AA18" s="532"/>
      <c r="AB18" s="533"/>
      <c r="AC18" s="533"/>
      <c r="AD18" s="534"/>
    </row>
    <row r="19" spans="1:30" ht="20.100000000000001" customHeight="1" x14ac:dyDescent="0.3">
      <c r="A19" s="700"/>
      <c r="B19" s="466" t="s">
        <v>45</v>
      </c>
      <c r="C19" s="466"/>
      <c r="D19" s="513"/>
      <c r="E19" s="513">
        <f>THU!P31</f>
        <v>4</v>
      </c>
      <c r="F19" s="513"/>
      <c r="G19" s="513"/>
      <c r="H19" s="521">
        <f>THU!K31</f>
        <v>220.7</v>
      </c>
      <c r="I19" s="521"/>
      <c r="J19" s="521"/>
      <c r="K19" s="521"/>
      <c r="L19" s="512">
        <f>THU!P32</f>
        <v>0.14424365216822979</v>
      </c>
      <c r="M19" s="512"/>
      <c r="N19" s="512"/>
      <c r="O19" s="512"/>
      <c r="P19" s="512"/>
      <c r="Q19" s="597"/>
      <c r="R19" s="598"/>
      <c r="S19" s="598"/>
      <c r="T19" s="598"/>
      <c r="U19" s="599"/>
      <c r="V19" s="541"/>
      <c r="W19" s="542"/>
      <c r="X19" s="542"/>
      <c r="Y19" s="542"/>
      <c r="Z19" s="543"/>
      <c r="AA19" s="532"/>
      <c r="AB19" s="533"/>
      <c r="AC19" s="533"/>
      <c r="AD19" s="534"/>
    </row>
    <row r="20" spans="1:30" ht="20.100000000000001" customHeight="1" x14ac:dyDescent="0.3">
      <c r="A20" s="700"/>
      <c r="B20" s="464" t="s">
        <v>65</v>
      </c>
      <c r="C20" s="465"/>
      <c r="D20" s="466"/>
      <c r="E20" s="464">
        <f>THU!Q31</f>
        <v>0</v>
      </c>
      <c r="F20" s="465"/>
      <c r="G20" s="466"/>
      <c r="H20" s="458">
        <f>THU!J31</f>
        <v>0</v>
      </c>
      <c r="I20" s="459"/>
      <c r="J20" s="459"/>
      <c r="K20" s="460"/>
      <c r="L20" s="514">
        <f>THU!Q32</f>
        <v>0</v>
      </c>
      <c r="M20" s="515"/>
      <c r="N20" s="515"/>
      <c r="O20" s="515"/>
      <c r="P20" s="516"/>
      <c r="Q20" s="600"/>
      <c r="R20" s="601"/>
      <c r="S20" s="601"/>
      <c r="T20" s="601"/>
      <c r="U20" s="602"/>
      <c r="V20" s="544"/>
      <c r="W20" s="545"/>
      <c r="X20" s="545"/>
      <c r="Y20" s="545"/>
      <c r="Z20" s="546"/>
      <c r="AA20" s="535"/>
      <c r="AB20" s="536"/>
      <c r="AC20" s="536"/>
      <c r="AD20" s="537"/>
    </row>
    <row r="21" spans="1:30" ht="20.100000000000001" customHeight="1" x14ac:dyDescent="0.3">
      <c r="A21" s="701"/>
      <c r="B21" s="464" t="s">
        <v>94</v>
      </c>
      <c r="C21" s="465"/>
      <c r="D21" s="466"/>
      <c r="E21" s="464">
        <f>THU!U16</f>
        <v>36.5</v>
      </c>
      <c r="F21" s="465"/>
      <c r="G21" s="466"/>
      <c r="H21" s="458" t="s">
        <v>95</v>
      </c>
      <c r="I21" s="459"/>
      <c r="J21" s="459"/>
      <c r="K21" s="460"/>
      <c r="L21" s="423">
        <f>THU!T2</f>
        <v>4</v>
      </c>
      <c r="M21" s="424"/>
      <c r="N21" s="424"/>
      <c r="O21" s="424"/>
      <c r="P21" s="425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702" t="s">
        <v>93</v>
      </c>
      <c r="B22" s="421" t="s">
        <v>57</v>
      </c>
      <c r="C22" s="421"/>
      <c r="D22" s="422"/>
      <c r="E22" s="422">
        <f>FRI!N31</f>
        <v>7</v>
      </c>
      <c r="F22" s="422"/>
      <c r="G22" s="422"/>
      <c r="H22" s="497">
        <f>FRI!S31</f>
        <v>805</v>
      </c>
      <c r="I22" s="497"/>
      <c r="J22" s="497"/>
      <c r="K22" s="497"/>
      <c r="L22" s="498">
        <f>FRI!N32</f>
        <v>0.51602564102564108</v>
      </c>
      <c r="M22" s="498"/>
      <c r="N22" s="498"/>
      <c r="O22" s="498"/>
      <c r="P22" s="498"/>
      <c r="Q22" s="476">
        <f>SUM(E22:G25)</f>
        <v>14</v>
      </c>
      <c r="R22" s="477"/>
      <c r="S22" s="477"/>
      <c r="T22" s="477"/>
      <c r="U22" s="478"/>
      <c r="V22" s="485">
        <f>SUM(H22,H23,H25)</f>
        <v>1560</v>
      </c>
      <c r="W22" s="486"/>
      <c r="X22" s="486"/>
      <c r="Y22" s="486"/>
      <c r="Z22" s="487"/>
      <c r="AA22" s="429">
        <f>V22/Q22</f>
        <v>111.42857142857143</v>
      </c>
      <c r="AB22" s="430"/>
      <c r="AC22" s="430"/>
      <c r="AD22" s="431"/>
    </row>
    <row r="23" spans="1:30" ht="20.100000000000001" customHeight="1" x14ac:dyDescent="0.3">
      <c r="A23" s="703"/>
      <c r="B23" s="421" t="s">
        <v>58</v>
      </c>
      <c r="C23" s="421"/>
      <c r="D23" s="422"/>
      <c r="E23" s="422">
        <f>FRI!O31</f>
        <v>7</v>
      </c>
      <c r="F23" s="422"/>
      <c r="G23" s="422"/>
      <c r="H23" s="497">
        <f>FRI!S32</f>
        <v>755</v>
      </c>
      <c r="I23" s="497"/>
      <c r="J23" s="497"/>
      <c r="K23" s="497"/>
      <c r="L23" s="498">
        <f>FRI!O32</f>
        <v>0.48397435897435898</v>
      </c>
      <c r="M23" s="498"/>
      <c r="N23" s="498"/>
      <c r="O23" s="498"/>
      <c r="P23" s="498"/>
      <c r="Q23" s="479"/>
      <c r="R23" s="480"/>
      <c r="S23" s="480"/>
      <c r="T23" s="480"/>
      <c r="U23" s="481"/>
      <c r="V23" s="488"/>
      <c r="W23" s="489"/>
      <c r="X23" s="489"/>
      <c r="Y23" s="489"/>
      <c r="Z23" s="490"/>
      <c r="AA23" s="432"/>
      <c r="AB23" s="433"/>
      <c r="AC23" s="433"/>
      <c r="AD23" s="434"/>
    </row>
    <row r="24" spans="1:30" ht="20.100000000000001" customHeight="1" x14ac:dyDescent="0.3">
      <c r="A24" s="703"/>
      <c r="B24" s="421" t="s">
        <v>45</v>
      </c>
      <c r="C24" s="421"/>
      <c r="D24" s="422"/>
      <c r="E24" s="422">
        <f>FRI!P31</f>
        <v>0</v>
      </c>
      <c r="F24" s="422"/>
      <c r="G24" s="422"/>
      <c r="H24" s="497">
        <f>FRI!K31</f>
        <v>0</v>
      </c>
      <c r="I24" s="497"/>
      <c r="J24" s="497"/>
      <c r="K24" s="497"/>
      <c r="L24" s="498">
        <f>FRI!P32</f>
        <v>0</v>
      </c>
      <c r="M24" s="498"/>
      <c r="N24" s="498"/>
      <c r="O24" s="498"/>
      <c r="P24" s="498"/>
      <c r="Q24" s="479"/>
      <c r="R24" s="480"/>
      <c r="S24" s="480"/>
      <c r="T24" s="480"/>
      <c r="U24" s="481"/>
      <c r="V24" s="488"/>
      <c r="W24" s="489"/>
      <c r="X24" s="489"/>
      <c r="Y24" s="489"/>
      <c r="Z24" s="490"/>
      <c r="AA24" s="432"/>
      <c r="AB24" s="433"/>
      <c r="AC24" s="433"/>
      <c r="AD24" s="434"/>
    </row>
    <row r="25" spans="1:30" ht="20.100000000000001" customHeight="1" x14ac:dyDescent="0.3">
      <c r="A25" s="703"/>
      <c r="B25" s="467" t="s">
        <v>65</v>
      </c>
      <c r="C25" s="468"/>
      <c r="D25" s="421"/>
      <c r="E25" s="467">
        <f>FRI!Q31</f>
        <v>0</v>
      </c>
      <c r="F25" s="468"/>
      <c r="G25" s="421"/>
      <c r="H25" s="461">
        <f>FRI!J31</f>
        <v>0</v>
      </c>
      <c r="I25" s="462"/>
      <c r="J25" s="462"/>
      <c r="K25" s="463"/>
      <c r="L25" s="473">
        <f>FRI!Q32</f>
        <v>0</v>
      </c>
      <c r="M25" s="474"/>
      <c r="N25" s="474"/>
      <c r="O25" s="474"/>
      <c r="P25" s="475"/>
      <c r="Q25" s="482"/>
      <c r="R25" s="483"/>
      <c r="S25" s="483"/>
      <c r="T25" s="483"/>
      <c r="U25" s="484"/>
      <c r="V25" s="491"/>
      <c r="W25" s="492"/>
      <c r="X25" s="492"/>
      <c r="Y25" s="492"/>
      <c r="Z25" s="493"/>
      <c r="AA25" s="435"/>
      <c r="AB25" s="436"/>
      <c r="AC25" s="436"/>
      <c r="AD25" s="437"/>
    </row>
    <row r="26" spans="1:30" ht="20.100000000000001" customHeight="1" x14ac:dyDescent="0.3">
      <c r="A26" s="704"/>
      <c r="B26" s="467" t="s">
        <v>94</v>
      </c>
      <c r="C26" s="468"/>
      <c r="D26" s="421"/>
      <c r="E26" s="467">
        <f>FRI!U16</f>
        <v>39.500000000000007</v>
      </c>
      <c r="F26" s="468"/>
      <c r="G26" s="421"/>
      <c r="H26" s="461" t="s">
        <v>95</v>
      </c>
      <c r="I26" s="462"/>
      <c r="J26" s="462"/>
      <c r="K26" s="463"/>
      <c r="L26" s="426">
        <f>FRI!T2</f>
        <v>4</v>
      </c>
      <c r="M26" s="427"/>
      <c r="N26" s="427"/>
      <c r="O26" s="427"/>
      <c r="P26" s="428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705" t="s">
        <v>70</v>
      </c>
      <c r="B27" s="471" t="s">
        <v>57</v>
      </c>
      <c r="C27" s="471"/>
      <c r="D27" s="456"/>
      <c r="E27" s="456">
        <f>SAT!N31</f>
        <v>11</v>
      </c>
      <c r="F27" s="456"/>
      <c r="G27" s="456"/>
      <c r="H27" s="457">
        <f>SAT!S31</f>
        <v>1780</v>
      </c>
      <c r="I27" s="457"/>
      <c r="J27" s="457"/>
      <c r="K27" s="457"/>
      <c r="L27" s="472">
        <f>SAT!N32</f>
        <v>0.6416611092085579</v>
      </c>
      <c r="M27" s="472"/>
      <c r="N27" s="472"/>
      <c r="O27" s="472"/>
      <c r="P27" s="472"/>
      <c r="Q27" s="573">
        <f>SUM(E27:G30)</f>
        <v>22</v>
      </c>
      <c r="R27" s="574"/>
      <c r="S27" s="574"/>
      <c r="T27" s="574"/>
      <c r="U27" s="575"/>
      <c r="V27" s="447">
        <f>SUM(H27,H28,H30)</f>
        <v>2615.85</v>
      </c>
      <c r="W27" s="448"/>
      <c r="X27" s="448"/>
      <c r="Y27" s="448"/>
      <c r="Z27" s="449"/>
      <c r="AA27" s="438">
        <f>V27/Q27</f>
        <v>118.90227272727272</v>
      </c>
      <c r="AB27" s="439"/>
      <c r="AC27" s="439"/>
      <c r="AD27" s="440"/>
    </row>
    <row r="28" spans="1:30" ht="20.100000000000001" customHeight="1" x14ac:dyDescent="0.3">
      <c r="A28" s="706"/>
      <c r="B28" s="471" t="s">
        <v>58</v>
      </c>
      <c r="C28" s="471"/>
      <c r="D28" s="456"/>
      <c r="E28" s="456">
        <f>SAT!O31</f>
        <v>9</v>
      </c>
      <c r="F28" s="456"/>
      <c r="G28" s="456"/>
      <c r="H28" s="457">
        <f>SAT!S32</f>
        <v>835.85</v>
      </c>
      <c r="I28" s="457"/>
      <c r="J28" s="457"/>
      <c r="K28" s="457"/>
      <c r="L28" s="472">
        <f>SAT!O32</f>
        <v>0.30131035850110854</v>
      </c>
      <c r="M28" s="472"/>
      <c r="N28" s="472"/>
      <c r="O28" s="472"/>
      <c r="P28" s="472"/>
      <c r="Q28" s="576"/>
      <c r="R28" s="577"/>
      <c r="S28" s="577"/>
      <c r="T28" s="577"/>
      <c r="U28" s="578"/>
      <c r="V28" s="450"/>
      <c r="W28" s="451"/>
      <c r="X28" s="451"/>
      <c r="Y28" s="451"/>
      <c r="Z28" s="452"/>
      <c r="AA28" s="441"/>
      <c r="AB28" s="442"/>
      <c r="AC28" s="442"/>
      <c r="AD28" s="443"/>
    </row>
    <row r="29" spans="1:30" ht="20.100000000000001" customHeight="1" x14ac:dyDescent="0.3">
      <c r="A29" s="706"/>
      <c r="B29" s="471" t="s">
        <v>45</v>
      </c>
      <c r="C29" s="471"/>
      <c r="D29" s="456"/>
      <c r="E29" s="456">
        <f>SAT!P31</f>
        <v>2</v>
      </c>
      <c r="F29" s="456"/>
      <c r="G29" s="456"/>
      <c r="H29" s="457">
        <f>SAT!K31</f>
        <v>158.19999999999999</v>
      </c>
      <c r="I29" s="457"/>
      <c r="J29" s="457"/>
      <c r="K29" s="457"/>
      <c r="L29" s="472">
        <f>SAT!P32</f>
        <v>5.7028532290333632E-2</v>
      </c>
      <c r="M29" s="472"/>
      <c r="N29" s="472"/>
      <c r="O29" s="472"/>
      <c r="P29" s="472"/>
      <c r="Q29" s="576"/>
      <c r="R29" s="577"/>
      <c r="S29" s="577"/>
      <c r="T29" s="577"/>
      <c r="U29" s="578"/>
      <c r="V29" s="450"/>
      <c r="W29" s="451"/>
      <c r="X29" s="451"/>
      <c r="Y29" s="451"/>
      <c r="Z29" s="452"/>
      <c r="AA29" s="441"/>
      <c r="AB29" s="442"/>
      <c r="AC29" s="442"/>
      <c r="AD29" s="443"/>
    </row>
    <row r="30" spans="1:30" ht="20.100000000000001" customHeight="1" x14ac:dyDescent="0.3">
      <c r="A30" s="706"/>
      <c r="B30" s="469" t="s">
        <v>65</v>
      </c>
      <c r="C30" s="470"/>
      <c r="D30" s="471"/>
      <c r="E30" s="469">
        <f>SAT!Q31</f>
        <v>0</v>
      </c>
      <c r="F30" s="470"/>
      <c r="G30" s="471"/>
      <c r="H30" s="750">
        <f>SAT!J31</f>
        <v>0</v>
      </c>
      <c r="I30" s="751"/>
      <c r="J30" s="751"/>
      <c r="K30" s="752"/>
      <c r="L30" s="582">
        <f>SAT!Q32</f>
        <v>0</v>
      </c>
      <c r="M30" s="583"/>
      <c r="N30" s="583"/>
      <c r="O30" s="583"/>
      <c r="P30" s="584"/>
      <c r="Q30" s="579"/>
      <c r="R30" s="580"/>
      <c r="S30" s="580"/>
      <c r="T30" s="580"/>
      <c r="U30" s="581"/>
      <c r="V30" s="453"/>
      <c r="W30" s="454"/>
      <c r="X30" s="454"/>
      <c r="Y30" s="454"/>
      <c r="Z30" s="455"/>
      <c r="AA30" s="444"/>
      <c r="AB30" s="445"/>
      <c r="AC30" s="445"/>
      <c r="AD30" s="446"/>
    </row>
    <row r="31" spans="1:30" ht="20.100000000000001" customHeight="1" x14ac:dyDescent="0.3">
      <c r="A31" s="707"/>
      <c r="B31" s="469" t="s">
        <v>94</v>
      </c>
      <c r="C31" s="470"/>
      <c r="D31" s="471"/>
      <c r="E31" s="469">
        <f>SAT!U16</f>
        <v>67.5</v>
      </c>
      <c r="F31" s="470"/>
      <c r="G31" s="471"/>
      <c r="H31" s="750" t="s">
        <v>95</v>
      </c>
      <c r="I31" s="751"/>
      <c r="J31" s="751"/>
      <c r="K31" s="752"/>
      <c r="L31" s="747">
        <f>SAT!T2</f>
        <v>8</v>
      </c>
      <c r="M31" s="748"/>
      <c r="N31" s="748"/>
      <c r="O31" s="748"/>
      <c r="P31" s="749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708" t="s">
        <v>71</v>
      </c>
      <c r="B32" s="392" t="s">
        <v>57</v>
      </c>
      <c r="C32" s="393"/>
      <c r="D32" s="393"/>
      <c r="E32" s="393">
        <f>SUN!N31</f>
        <v>11</v>
      </c>
      <c r="F32" s="393"/>
      <c r="G32" s="393"/>
      <c r="H32" s="418">
        <f>SUN!S31</f>
        <v>1490</v>
      </c>
      <c r="I32" s="418"/>
      <c r="J32" s="418"/>
      <c r="K32" s="418"/>
      <c r="L32" s="419">
        <f>SUN!N32</f>
        <v>0.39801260818463513</v>
      </c>
      <c r="M32" s="419"/>
      <c r="N32" s="419"/>
      <c r="O32" s="419"/>
      <c r="P32" s="419"/>
      <c r="Q32" s="420">
        <f>SUM(E32:G35)</f>
        <v>31</v>
      </c>
      <c r="R32" s="420"/>
      <c r="S32" s="420"/>
      <c r="T32" s="420"/>
      <c r="U32" s="420"/>
      <c r="V32" s="391">
        <f>SUM(H32,H33,H35)</f>
        <v>3743.6</v>
      </c>
      <c r="W32" s="391"/>
      <c r="X32" s="391"/>
      <c r="Y32" s="391"/>
      <c r="Z32" s="391"/>
      <c r="AA32" s="410">
        <f>V32/Q32</f>
        <v>120.76129032258065</v>
      </c>
      <c r="AB32" s="411"/>
      <c r="AC32" s="411"/>
      <c r="AD32" s="411"/>
    </row>
    <row r="33" spans="1:30" ht="20.100000000000001" customHeight="1" x14ac:dyDescent="0.3">
      <c r="A33" s="709"/>
      <c r="B33" s="392" t="s">
        <v>58</v>
      </c>
      <c r="C33" s="393"/>
      <c r="D33" s="393"/>
      <c r="E33" s="393">
        <f>SUN!O31</f>
        <v>18</v>
      </c>
      <c r="F33" s="393"/>
      <c r="G33" s="393"/>
      <c r="H33" s="418">
        <f>SUN!S32</f>
        <v>2143.6</v>
      </c>
      <c r="I33" s="418"/>
      <c r="J33" s="418"/>
      <c r="K33" s="418"/>
      <c r="L33" s="419">
        <f>SUN!O32</f>
        <v>0.57260391067421734</v>
      </c>
      <c r="M33" s="419"/>
      <c r="N33" s="419"/>
      <c r="O33" s="419"/>
      <c r="P33" s="419"/>
      <c r="Q33" s="420"/>
      <c r="R33" s="420"/>
      <c r="S33" s="420"/>
      <c r="T33" s="420"/>
      <c r="U33" s="420"/>
      <c r="V33" s="391"/>
      <c r="W33" s="391"/>
      <c r="X33" s="391"/>
      <c r="Y33" s="391"/>
      <c r="Z33" s="391"/>
      <c r="AA33" s="411"/>
      <c r="AB33" s="411"/>
      <c r="AC33" s="411"/>
      <c r="AD33" s="411"/>
    </row>
    <row r="34" spans="1:30" ht="20.100000000000001" customHeight="1" x14ac:dyDescent="0.3">
      <c r="A34" s="709"/>
      <c r="B34" s="392" t="s">
        <v>45</v>
      </c>
      <c r="C34" s="393"/>
      <c r="D34" s="393"/>
      <c r="E34" s="393">
        <f>SUN!P31</f>
        <v>1</v>
      </c>
      <c r="F34" s="393"/>
      <c r="G34" s="393"/>
      <c r="H34" s="418">
        <f>SUN!K31</f>
        <v>0</v>
      </c>
      <c r="I34" s="418"/>
      <c r="J34" s="418"/>
      <c r="K34" s="418"/>
      <c r="L34" s="419">
        <f>SUN!P32</f>
        <v>0</v>
      </c>
      <c r="M34" s="419"/>
      <c r="N34" s="419"/>
      <c r="O34" s="419"/>
      <c r="P34" s="419"/>
      <c r="Q34" s="420"/>
      <c r="R34" s="420"/>
      <c r="S34" s="420"/>
      <c r="T34" s="420"/>
      <c r="U34" s="420"/>
      <c r="V34" s="391"/>
      <c r="W34" s="391"/>
      <c r="X34" s="391"/>
      <c r="Y34" s="391"/>
      <c r="Z34" s="391"/>
      <c r="AA34" s="411"/>
      <c r="AB34" s="411"/>
      <c r="AC34" s="411"/>
      <c r="AD34" s="411"/>
    </row>
    <row r="35" spans="1:30" ht="20.100000000000001" customHeight="1" x14ac:dyDescent="0.3">
      <c r="A35" s="709"/>
      <c r="B35" s="392" t="s">
        <v>65</v>
      </c>
      <c r="C35" s="393"/>
      <c r="D35" s="393"/>
      <c r="E35" s="393">
        <f>SUN!Q31</f>
        <v>1</v>
      </c>
      <c r="F35" s="393"/>
      <c r="G35" s="393"/>
      <c r="H35" s="418">
        <f>SUN!J31</f>
        <v>110</v>
      </c>
      <c r="I35" s="418"/>
      <c r="J35" s="418"/>
      <c r="K35" s="418"/>
      <c r="L35" s="419">
        <f>SUN!Q32</f>
        <v>2.9383481141147558E-2</v>
      </c>
      <c r="M35" s="419"/>
      <c r="N35" s="419"/>
      <c r="O35" s="419"/>
      <c r="P35" s="419"/>
      <c r="Q35" s="420"/>
      <c r="R35" s="420"/>
      <c r="S35" s="420"/>
      <c r="T35" s="420"/>
      <c r="U35" s="420"/>
      <c r="V35" s="391"/>
      <c r="W35" s="391"/>
      <c r="X35" s="391"/>
      <c r="Y35" s="391"/>
      <c r="Z35" s="391"/>
      <c r="AA35" s="411"/>
      <c r="AB35" s="411"/>
      <c r="AC35" s="411"/>
      <c r="AD35" s="411"/>
    </row>
    <row r="36" spans="1:30" ht="20.100000000000001" customHeight="1" thickBot="1" x14ac:dyDescent="0.35">
      <c r="A36" s="710"/>
      <c r="B36" s="396" t="s">
        <v>94</v>
      </c>
      <c r="C36" s="397"/>
      <c r="D36" s="398"/>
      <c r="E36" s="396">
        <f>SUN!U16</f>
        <v>60.25</v>
      </c>
      <c r="F36" s="397"/>
      <c r="G36" s="398"/>
      <c r="H36" s="396" t="s">
        <v>95</v>
      </c>
      <c r="I36" s="397"/>
      <c r="J36" s="397"/>
      <c r="K36" s="398"/>
      <c r="L36" s="412">
        <f>SUN!T2</f>
        <v>7</v>
      </c>
      <c r="M36" s="413"/>
      <c r="N36" s="413"/>
      <c r="O36" s="413"/>
      <c r="P36" s="414"/>
      <c r="Q36" s="415"/>
      <c r="R36" s="416"/>
      <c r="S36" s="416"/>
      <c r="T36" s="416"/>
      <c r="U36" s="417"/>
      <c r="V36" s="399"/>
      <c r="W36" s="400"/>
      <c r="X36" s="400"/>
      <c r="Y36" s="400"/>
      <c r="Z36" s="401"/>
      <c r="AA36" s="402"/>
      <c r="AB36" s="403"/>
      <c r="AC36" s="403"/>
      <c r="AD36" s="404"/>
    </row>
    <row r="37" spans="1:30" ht="16.5" customHeight="1" x14ac:dyDescent="0.3">
      <c r="A37" s="382" t="s">
        <v>72</v>
      </c>
      <c r="B37" s="383"/>
      <c r="C37" s="383"/>
      <c r="D37" s="383"/>
      <c r="E37" s="383" t="s">
        <v>73</v>
      </c>
      <c r="F37" s="383"/>
      <c r="G37" s="383"/>
      <c r="H37" s="383"/>
      <c r="I37" s="383"/>
      <c r="J37" s="383"/>
      <c r="K37" s="383" t="s">
        <v>74</v>
      </c>
      <c r="L37" s="383"/>
      <c r="M37" s="383"/>
      <c r="N37" s="383"/>
      <c r="O37" s="383" t="s">
        <v>65</v>
      </c>
      <c r="P37" s="383"/>
      <c r="Q37" s="383"/>
      <c r="R37" s="383"/>
      <c r="S37" s="383"/>
      <c r="T37" s="383" t="s">
        <v>75</v>
      </c>
      <c r="U37" s="383"/>
      <c r="V37" s="383"/>
      <c r="W37" s="383"/>
      <c r="X37" s="383"/>
      <c r="Y37" s="383" t="s">
        <v>76</v>
      </c>
      <c r="Z37" s="383"/>
      <c r="AA37" s="383"/>
      <c r="AB37" s="383"/>
      <c r="AC37" s="383"/>
      <c r="AD37" s="394"/>
    </row>
    <row r="38" spans="1:30" ht="16.5" customHeight="1" x14ac:dyDescent="0.3">
      <c r="A38" s="384"/>
      <c r="B38" s="385"/>
      <c r="C38" s="385"/>
      <c r="D38" s="385"/>
      <c r="E38" s="385"/>
      <c r="F38" s="385"/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385"/>
      <c r="X38" s="385"/>
      <c r="Y38" s="385"/>
      <c r="Z38" s="385"/>
      <c r="AA38" s="385"/>
      <c r="AB38" s="385"/>
      <c r="AC38" s="385"/>
      <c r="AD38" s="395"/>
    </row>
    <row r="39" spans="1:30" ht="16.5" customHeight="1" x14ac:dyDescent="0.3">
      <c r="A39" s="386">
        <f>SUM(Q2:U35)</f>
        <v>126</v>
      </c>
      <c r="B39" s="387"/>
      <c r="C39" s="387"/>
      <c r="D39" s="387"/>
      <c r="E39" s="390">
        <f>SUM(V2:Z35)</f>
        <v>13609.95</v>
      </c>
      <c r="F39" s="387"/>
      <c r="G39" s="387"/>
      <c r="H39" s="387"/>
      <c r="I39" s="387"/>
      <c r="J39" s="387"/>
      <c r="K39" s="390">
        <f>E39/A39</f>
        <v>108.01547619047619</v>
      </c>
      <c r="L39" s="387"/>
      <c r="M39" s="387"/>
      <c r="N39" s="387"/>
      <c r="O39" s="387">
        <f>SUM(MON:SUN!Q31)</f>
        <v>2</v>
      </c>
      <c r="P39" s="387"/>
      <c r="Q39" s="387"/>
      <c r="R39" s="387"/>
      <c r="S39" s="387"/>
      <c r="T39" s="387">
        <f>SUM(MON:SUN!P31)</f>
        <v>14</v>
      </c>
      <c r="U39" s="387"/>
      <c r="V39" s="387"/>
      <c r="W39" s="387"/>
      <c r="X39" s="387"/>
      <c r="Y39" s="387">
        <f>SUM(MON:SUN!S19)</f>
        <v>1</v>
      </c>
      <c r="Z39" s="387"/>
      <c r="AA39" s="387"/>
      <c r="AB39" s="387"/>
      <c r="AC39" s="387"/>
      <c r="AD39" s="407"/>
    </row>
    <row r="40" spans="1:30" ht="16.5" customHeight="1" x14ac:dyDescent="0.3">
      <c r="A40" s="386"/>
      <c r="B40" s="387"/>
      <c r="C40" s="387"/>
      <c r="D40" s="387"/>
      <c r="E40" s="387"/>
      <c r="F40" s="387"/>
      <c r="G40" s="387"/>
      <c r="H40" s="387"/>
      <c r="I40" s="387"/>
      <c r="J40" s="387"/>
      <c r="K40" s="387"/>
      <c r="L40" s="387"/>
      <c r="M40" s="387"/>
      <c r="N40" s="387"/>
      <c r="O40" s="387"/>
      <c r="P40" s="387"/>
      <c r="Q40" s="387"/>
      <c r="R40" s="387"/>
      <c r="S40" s="387"/>
      <c r="T40" s="387"/>
      <c r="U40" s="387"/>
      <c r="V40" s="387"/>
      <c r="W40" s="387"/>
      <c r="X40" s="387"/>
      <c r="Y40" s="387"/>
      <c r="Z40" s="387"/>
      <c r="AA40" s="387"/>
      <c r="AB40" s="387"/>
      <c r="AC40" s="387"/>
      <c r="AD40" s="407"/>
    </row>
    <row r="41" spans="1:30" ht="16.5" customHeight="1" x14ac:dyDescent="0.3">
      <c r="A41" s="386"/>
      <c r="B41" s="387"/>
      <c r="C41" s="387"/>
      <c r="D41" s="387"/>
      <c r="E41" s="387"/>
      <c r="F41" s="387"/>
      <c r="G41" s="387"/>
      <c r="H41" s="387"/>
      <c r="I41" s="387"/>
      <c r="J41" s="387"/>
      <c r="K41" s="387"/>
      <c r="L41" s="387"/>
      <c r="M41" s="387"/>
      <c r="N41" s="387"/>
      <c r="O41" s="405">
        <f>SUM(MON:SUN!J31)</f>
        <v>220</v>
      </c>
      <c r="P41" s="405"/>
      <c r="Q41" s="405"/>
      <c r="R41" s="405"/>
      <c r="S41" s="405"/>
      <c r="T41" s="405">
        <f>SUM(MON:SUN!K31)</f>
        <v>982.7</v>
      </c>
      <c r="U41" s="405"/>
      <c r="V41" s="405"/>
      <c r="W41" s="405"/>
      <c r="X41" s="405"/>
      <c r="Y41" s="405">
        <f>SUM(MON:SUN!T19)</f>
        <v>479.75</v>
      </c>
      <c r="Z41" s="405"/>
      <c r="AA41" s="405"/>
      <c r="AB41" s="405"/>
      <c r="AC41" s="405"/>
      <c r="AD41" s="408"/>
    </row>
    <row r="42" spans="1:30" ht="16.5" customHeight="1" thickBot="1" x14ac:dyDescent="0.35">
      <c r="A42" s="388"/>
      <c r="B42" s="389"/>
      <c r="C42" s="389"/>
      <c r="D42" s="389"/>
      <c r="E42" s="389"/>
      <c r="F42" s="389"/>
      <c r="G42" s="389"/>
      <c r="H42" s="389"/>
      <c r="I42" s="389"/>
      <c r="J42" s="389"/>
      <c r="K42" s="389"/>
      <c r="L42" s="389"/>
      <c r="M42" s="389"/>
      <c r="N42" s="389"/>
      <c r="O42" s="406"/>
      <c r="P42" s="406"/>
      <c r="Q42" s="406"/>
      <c r="R42" s="406"/>
      <c r="S42" s="406"/>
      <c r="T42" s="406"/>
      <c r="U42" s="406"/>
      <c r="V42" s="406"/>
      <c r="W42" s="406"/>
      <c r="X42" s="406"/>
      <c r="Y42" s="406"/>
      <c r="Z42" s="406"/>
      <c r="AA42" s="406"/>
      <c r="AB42" s="406"/>
      <c r="AC42" s="406"/>
      <c r="AD42" s="409"/>
    </row>
    <row r="43" spans="1:30" ht="17.45" customHeight="1" x14ac:dyDescent="0.3">
      <c r="A43" s="665" t="s">
        <v>84</v>
      </c>
      <c r="B43" s="666"/>
      <c r="C43" s="666"/>
      <c r="D43" s="666"/>
      <c r="E43" s="667"/>
      <c r="F43" s="665" t="s">
        <v>85</v>
      </c>
      <c r="G43" s="666"/>
      <c r="H43" s="666"/>
      <c r="I43" s="666"/>
      <c r="J43" s="667"/>
      <c r="K43" s="665" t="s">
        <v>86</v>
      </c>
      <c r="L43" s="666"/>
      <c r="M43" s="666"/>
      <c r="N43" s="666"/>
      <c r="O43" s="667"/>
      <c r="P43" s="665" t="s">
        <v>87</v>
      </c>
      <c r="Q43" s="666"/>
      <c r="R43" s="666"/>
      <c r="S43" s="666"/>
      <c r="T43" s="667"/>
      <c r="U43" s="665" t="s">
        <v>90</v>
      </c>
      <c r="V43" s="666"/>
      <c r="W43" s="666"/>
      <c r="X43" s="666"/>
      <c r="Y43" s="667"/>
      <c r="Z43" s="671" t="s">
        <v>95</v>
      </c>
      <c r="AA43" s="672"/>
      <c r="AB43" s="672"/>
      <c r="AC43" s="672"/>
      <c r="AD43" s="673"/>
    </row>
    <row r="44" spans="1:30" ht="17.45" customHeight="1" x14ac:dyDescent="0.3">
      <c r="A44" s="668"/>
      <c r="B44" s="669"/>
      <c r="C44" s="669"/>
      <c r="D44" s="669"/>
      <c r="E44" s="670"/>
      <c r="F44" s="668"/>
      <c r="G44" s="669"/>
      <c r="H44" s="669"/>
      <c r="I44" s="669"/>
      <c r="J44" s="670"/>
      <c r="K44" s="668"/>
      <c r="L44" s="669"/>
      <c r="M44" s="669"/>
      <c r="N44" s="669"/>
      <c r="O44" s="670"/>
      <c r="P44" s="668"/>
      <c r="Q44" s="669"/>
      <c r="R44" s="669"/>
      <c r="S44" s="669"/>
      <c r="T44" s="670"/>
      <c r="U44" s="668"/>
      <c r="V44" s="669"/>
      <c r="W44" s="669"/>
      <c r="X44" s="669"/>
      <c r="Y44" s="670"/>
      <c r="Z44" s="674"/>
      <c r="AA44" s="675"/>
      <c r="AB44" s="675"/>
      <c r="AC44" s="675"/>
      <c r="AD44" s="676"/>
    </row>
    <row r="45" spans="1:30" x14ac:dyDescent="0.3">
      <c r="A45" s="677">
        <f>SUM(H2,H7,H12,H17,H22,H27,H32)</f>
        <v>7225</v>
      </c>
      <c r="B45" s="678"/>
      <c r="C45" s="678"/>
      <c r="D45" s="678"/>
      <c r="E45" s="679"/>
      <c r="F45" s="677">
        <f>SUM(,H3,H8,H13,H18,H23,H28,H33)</f>
        <v>6164.95</v>
      </c>
      <c r="G45" s="678"/>
      <c r="H45" s="678"/>
      <c r="I45" s="678"/>
      <c r="J45" s="679"/>
      <c r="K45" s="677">
        <f>SUM(H5,H10,H15,H20,H25,H30,H35)</f>
        <v>220</v>
      </c>
      <c r="L45" s="678"/>
      <c r="M45" s="678"/>
      <c r="N45" s="678"/>
      <c r="O45" s="679"/>
      <c r="P45" s="677">
        <f>SUM(H4,H9,H14,H19,H24,H29,H34)</f>
        <v>982.7</v>
      </c>
      <c r="Q45" s="678"/>
      <c r="R45" s="678"/>
      <c r="S45" s="678"/>
      <c r="T45" s="679"/>
      <c r="U45" s="686">
        <f>SUM(E6,E11,E16,E21,E26,E31,E36)</f>
        <v>307.75</v>
      </c>
      <c r="V45" s="678"/>
      <c r="W45" s="678"/>
      <c r="X45" s="678"/>
      <c r="Y45" s="679"/>
      <c r="Z45" s="686">
        <f>SUM(L6,L11,L16,L21,L26,L31,L36)</f>
        <v>37</v>
      </c>
      <c r="AA45" s="678"/>
      <c r="AB45" s="678"/>
      <c r="AC45" s="678"/>
      <c r="AD45" s="687"/>
    </row>
    <row r="46" spans="1:30" x14ac:dyDescent="0.3">
      <c r="A46" s="680"/>
      <c r="B46" s="681"/>
      <c r="C46" s="681"/>
      <c r="D46" s="681"/>
      <c r="E46" s="682"/>
      <c r="F46" s="680"/>
      <c r="G46" s="681"/>
      <c r="H46" s="681"/>
      <c r="I46" s="681"/>
      <c r="J46" s="682"/>
      <c r="K46" s="680"/>
      <c r="L46" s="681"/>
      <c r="M46" s="681"/>
      <c r="N46" s="681"/>
      <c r="O46" s="682"/>
      <c r="P46" s="680"/>
      <c r="Q46" s="681"/>
      <c r="R46" s="681"/>
      <c r="S46" s="681"/>
      <c r="T46" s="682"/>
      <c r="U46" s="680"/>
      <c r="V46" s="681"/>
      <c r="W46" s="681"/>
      <c r="X46" s="681"/>
      <c r="Y46" s="682"/>
      <c r="Z46" s="680"/>
      <c r="AA46" s="681"/>
      <c r="AB46" s="681"/>
      <c r="AC46" s="681"/>
      <c r="AD46" s="688"/>
    </row>
    <row r="47" spans="1:30" x14ac:dyDescent="0.3">
      <c r="A47" s="680"/>
      <c r="B47" s="681"/>
      <c r="C47" s="681"/>
      <c r="D47" s="681"/>
      <c r="E47" s="682"/>
      <c r="F47" s="680"/>
      <c r="G47" s="681"/>
      <c r="H47" s="681"/>
      <c r="I47" s="681"/>
      <c r="J47" s="682"/>
      <c r="K47" s="680"/>
      <c r="L47" s="681"/>
      <c r="M47" s="681"/>
      <c r="N47" s="681"/>
      <c r="O47" s="682"/>
      <c r="P47" s="680"/>
      <c r="Q47" s="681"/>
      <c r="R47" s="681"/>
      <c r="S47" s="681"/>
      <c r="T47" s="682"/>
      <c r="U47" s="680"/>
      <c r="V47" s="681"/>
      <c r="W47" s="681"/>
      <c r="X47" s="681"/>
      <c r="Y47" s="682"/>
      <c r="Z47" s="680"/>
      <c r="AA47" s="681"/>
      <c r="AB47" s="681"/>
      <c r="AC47" s="681"/>
      <c r="AD47" s="688"/>
    </row>
    <row r="48" spans="1:30" ht="17.25" thickBot="1" x14ac:dyDescent="0.35">
      <c r="A48" s="683"/>
      <c r="B48" s="684"/>
      <c r="C48" s="684"/>
      <c r="D48" s="684"/>
      <c r="E48" s="685"/>
      <c r="F48" s="683"/>
      <c r="G48" s="684"/>
      <c r="H48" s="684"/>
      <c r="I48" s="684"/>
      <c r="J48" s="685"/>
      <c r="K48" s="683"/>
      <c r="L48" s="684"/>
      <c r="M48" s="684"/>
      <c r="N48" s="684"/>
      <c r="O48" s="685"/>
      <c r="P48" s="683"/>
      <c r="Q48" s="684"/>
      <c r="R48" s="684"/>
      <c r="S48" s="684"/>
      <c r="T48" s="685"/>
      <c r="U48" s="683"/>
      <c r="V48" s="684"/>
      <c r="W48" s="684"/>
      <c r="X48" s="684"/>
      <c r="Y48" s="685"/>
      <c r="Z48" s="683"/>
      <c r="AA48" s="684"/>
      <c r="AB48" s="684"/>
      <c r="AC48" s="684"/>
      <c r="AD48" s="689"/>
    </row>
    <row r="49" spans="1:30" ht="17.45" customHeight="1" x14ac:dyDescent="0.3">
      <c r="A49" s="647">
        <f>A45/E39</f>
        <v>0.53086161227631257</v>
      </c>
      <c r="B49" s="648"/>
      <c r="C49" s="648"/>
      <c r="D49" s="648"/>
      <c r="E49" s="649"/>
      <c r="F49" s="647">
        <f>F45/E39</f>
        <v>0.4529737434744433</v>
      </c>
      <c r="G49" s="648"/>
      <c r="H49" s="648"/>
      <c r="I49" s="648"/>
      <c r="J49" s="649"/>
      <c r="K49" s="647">
        <f>K45/E39</f>
        <v>1.6164644249244117E-2</v>
      </c>
      <c r="L49" s="648"/>
      <c r="M49" s="648"/>
      <c r="N49" s="648"/>
      <c r="O49" s="649"/>
      <c r="P49" s="647">
        <f>P45/E39</f>
        <v>7.2204526835146346E-2</v>
      </c>
      <c r="Q49" s="648"/>
      <c r="R49" s="648"/>
      <c r="S49" s="648"/>
      <c r="T49" s="649"/>
      <c r="U49" s="656">
        <f>U45/7</f>
        <v>43.964285714285715</v>
      </c>
      <c r="V49" s="657"/>
      <c r="W49" s="657"/>
      <c r="X49" s="657"/>
      <c r="Y49" s="658"/>
      <c r="Z49" s="656">
        <f>U45/Z45</f>
        <v>8.3175675675675684</v>
      </c>
      <c r="AA49" s="657"/>
      <c r="AB49" s="657"/>
      <c r="AC49" s="657"/>
      <c r="AD49" s="658"/>
    </row>
    <row r="50" spans="1:30" ht="17.45" customHeight="1" x14ac:dyDescent="0.3">
      <c r="A50" s="650"/>
      <c r="B50" s="651"/>
      <c r="C50" s="651"/>
      <c r="D50" s="651"/>
      <c r="E50" s="652"/>
      <c r="F50" s="650"/>
      <c r="G50" s="651"/>
      <c r="H50" s="651"/>
      <c r="I50" s="651"/>
      <c r="J50" s="652"/>
      <c r="K50" s="650"/>
      <c r="L50" s="651"/>
      <c r="M50" s="651"/>
      <c r="N50" s="651"/>
      <c r="O50" s="652"/>
      <c r="P50" s="650"/>
      <c r="Q50" s="651"/>
      <c r="R50" s="651"/>
      <c r="S50" s="651"/>
      <c r="T50" s="652"/>
      <c r="U50" s="659"/>
      <c r="V50" s="660"/>
      <c r="W50" s="660"/>
      <c r="X50" s="660"/>
      <c r="Y50" s="661"/>
      <c r="Z50" s="659"/>
      <c r="AA50" s="660"/>
      <c r="AB50" s="660"/>
      <c r="AC50" s="660"/>
      <c r="AD50" s="661"/>
    </row>
    <row r="51" spans="1:30" ht="17.45" customHeight="1" x14ac:dyDescent="0.3">
      <c r="A51" s="650"/>
      <c r="B51" s="651"/>
      <c r="C51" s="651"/>
      <c r="D51" s="651"/>
      <c r="E51" s="652"/>
      <c r="F51" s="650"/>
      <c r="G51" s="651"/>
      <c r="H51" s="651"/>
      <c r="I51" s="651"/>
      <c r="J51" s="652"/>
      <c r="K51" s="650"/>
      <c r="L51" s="651"/>
      <c r="M51" s="651"/>
      <c r="N51" s="651"/>
      <c r="O51" s="652"/>
      <c r="P51" s="650"/>
      <c r="Q51" s="651"/>
      <c r="R51" s="651"/>
      <c r="S51" s="651"/>
      <c r="T51" s="652"/>
      <c r="U51" s="659"/>
      <c r="V51" s="660"/>
      <c r="W51" s="660"/>
      <c r="X51" s="660"/>
      <c r="Y51" s="661"/>
      <c r="Z51" s="659"/>
      <c r="AA51" s="660"/>
      <c r="AB51" s="660"/>
      <c r="AC51" s="660"/>
      <c r="AD51" s="661"/>
    </row>
    <row r="52" spans="1:30" ht="18" customHeight="1" thickBot="1" x14ac:dyDescent="0.35">
      <c r="A52" s="653"/>
      <c r="B52" s="654"/>
      <c r="C52" s="654"/>
      <c r="D52" s="654"/>
      <c r="E52" s="655"/>
      <c r="F52" s="653"/>
      <c r="G52" s="654"/>
      <c r="H52" s="654"/>
      <c r="I52" s="654"/>
      <c r="J52" s="655"/>
      <c r="K52" s="653"/>
      <c r="L52" s="654"/>
      <c r="M52" s="654"/>
      <c r="N52" s="654"/>
      <c r="O52" s="655"/>
      <c r="P52" s="653"/>
      <c r="Q52" s="654"/>
      <c r="R52" s="654"/>
      <c r="S52" s="654"/>
      <c r="T52" s="655"/>
      <c r="U52" s="662"/>
      <c r="V52" s="663"/>
      <c r="W52" s="663"/>
      <c r="X52" s="663"/>
      <c r="Y52" s="664"/>
      <c r="Z52" s="662"/>
      <c r="AA52" s="663"/>
      <c r="AB52" s="663"/>
      <c r="AC52" s="663"/>
      <c r="AD52" s="664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6220C300-D4B3-431B-8CD8-69B1E597645F}"/>
</file>

<file path=customXml/itemProps2.xml><?xml version="1.0" encoding="utf-8"?>
<ds:datastoreItem xmlns:ds="http://schemas.openxmlformats.org/officeDocument/2006/customXml" ds:itemID="{DA561ADE-A132-417F-8EEB-3C402A9F67E8}"/>
</file>

<file path=customXml/itemProps3.xml><?xml version="1.0" encoding="utf-8"?>
<ds:datastoreItem xmlns:ds="http://schemas.openxmlformats.org/officeDocument/2006/customXml" ds:itemID="{51B0F0D5-A754-41A0-9CF1-8FD8AE6B02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2022-08-14T07:28:18Z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