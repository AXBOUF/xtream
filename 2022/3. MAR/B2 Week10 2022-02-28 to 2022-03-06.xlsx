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Z:\home\B2 DR\2022\"/>
    </mc:Choice>
  </mc:AlternateContent>
  <xr:revisionPtr revIDLastSave="0" documentId="13_ncr:1_{1EFF728A-AA39-4A5F-8FC3-1A906DD37E23}" xr6:coauthVersionLast="47" xr6:coauthVersionMax="47" xr10:uidLastSave="{00000000-0000-0000-0000-000000000000}"/>
  <bookViews>
    <workbookView xWindow="-120" yWindow="-120" windowWidth="29040" windowHeight="16440" activeTab="6" xr2:uid="{00000000-000D-0000-FFFF-FFFF00000000}"/>
  </bookViews>
  <sheets>
    <sheet name="MON" sheetId="7" r:id="rId1"/>
    <sheet name="TUE" sheetId="6" r:id="rId2"/>
    <sheet name="WED" sheetId="5" r:id="rId3"/>
    <sheet name="THU" sheetId="4" r:id="rId4"/>
    <sheet name="FRI" sheetId="3" r:id="rId5"/>
    <sheet name="SAT" sheetId="1" r:id="rId6"/>
    <sheet name="SUN" sheetId="2" r:id="rId7"/>
    <sheet name="WEEKLY TOTAL" sheetId="8" r:id="rId8"/>
  </sheets>
  <definedNames>
    <definedName name="_xlnm.Print_Area" localSheetId="4">FRI!$A$1:$U$64</definedName>
    <definedName name="_xlnm.Print_Area" localSheetId="0">MON!$A$1:$U$64</definedName>
    <definedName name="_xlnm.Print_Area" localSheetId="5">SAT!$A$1:$U$64</definedName>
    <definedName name="_xlnm.Print_Area" localSheetId="6">SUN!$A$1:$U$64</definedName>
    <definedName name="_xlnm.Print_Area" localSheetId="3">THU!$A$1:$U$64</definedName>
    <definedName name="_xlnm.Print_Area" localSheetId="1">TUE!$A$1:$U$64</definedName>
    <definedName name="_xlnm.Print_Area" localSheetId="2">WED!$A$1:$U$64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94" i="2" l="1"/>
  <c r="L94" i="2"/>
  <c r="I94" i="2"/>
  <c r="H94" i="2"/>
  <c r="K93" i="2"/>
  <c r="K94" i="2" s="1"/>
  <c r="J93" i="2"/>
  <c r="J94" i="2" s="1"/>
  <c r="K92" i="2"/>
  <c r="J92" i="2"/>
  <c r="K91" i="2"/>
  <c r="J91" i="2"/>
  <c r="K90" i="2"/>
  <c r="J90" i="2"/>
  <c r="K89" i="2"/>
  <c r="J89" i="2"/>
  <c r="K88" i="2"/>
  <c r="J88" i="2"/>
  <c r="K87" i="2"/>
  <c r="J87" i="2"/>
  <c r="K86" i="2"/>
  <c r="J86" i="2"/>
  <c r="K85" i="2"/>
  <c r="J85" i="2"/>
  <c r="K84" i="2"/>
  <c r="J84" i="2"/>
  <c r="K83" i="2"/>
  <c r="J83" i="2"/>
  <c r="K82" i="2"/>
  <c r="J82" i="2"/>
  <c r="K81" i="2"/>
  <c r="J81" i="2"/>
  <c r="K80" i="2"/>
  <c r="J80" i="2"/>
  <c r="K79" i="2"/>
  <c r="J79" i="2"/>
  <c r="K78" i="2"/>
  <c r="J78" i="2"/>
  <c r="K77" i="2"/>
  <c r="J77" i="2"/>
  <c r="K76" i="2"/>
  <c r="J76" i="2"/>
  <c r="K75" i="2"/>
  <c r="J75" i="2"/>
  <c r="K74" i="2"/>
  <c r="J74" i="2"/>
  <c r="K73" i="2"/>
  <c r="J73" i="2"/>
  <c r="K72" i="2"/>
  <c r="J72" i="2"/>
  <c r="K71" i="2"/>
  <c r="J71" i="2"/>
  <c r="K70" i="2"/>
  <c r="J70" i="2"/>
  <c r="K69" i="2"/>
  <c r="J69" i="2"/>
  <c r="M62" i="2"/>
  <c r="L62" i="2"/>
  <c r="I62" i="2"/>
  <c r="H62" i="2"/>
  <c r="K61" i="2"/>
  <c r="K62" i="2" s="1"/>
  <c r="J61" i="2"/>
  <c r="J62" i="2" s="1"/>
  <c r="K60" i="2"/>
  <c r="J60" i="2"/>
  <c r="K59" i="2"/>
  <c r="J59" i="2"/>
  <c r="K58" i="2"/>
  <c r="J58" i="2"/>
  <c r="K57" i="2"/>
  <c r="J57" i="2"/>
  <c r="K56" i="2"/>
  <c r="J56" i="2"/>
  <c r="K55" i="2"/>
  <c r="J55" i="2"/>
  <c r="K54" i="2"/>
  <c r="J54" i="2"/>
  <c r="K53" i="2"/>
  <c r="J53" i="2"/>
  <c r="K52" i="2"/>
  <c r="J52" i="2"/>
  <c r="K51" i="2"/>
  <c r="J51" i="2"/>
  <c r="K50" i="2"/>
  <c r="J50" i="2"/>
  <c r="K49" i="2"/>
  <c r="J49" i="2"/>
  <c r="K48" i="2"/>
  <c r="J48" i="2"/>
  <c r="K47" i="2"/>
  <c r="J47" i="2"/>
  <c r="K46" i="2"/>
  <c r="J46" i="2"/>
  <c r="K45" i="2"/>
  <c r="J45" i="2"/>
  <c r="K44" i="2"/>
  <c r="J44" i="2"/>
  <c r="K43" i="2"/>
  <c r="J43" i="2"/>
  <c r="K42" i="2"/>
  <c r="J42" i="2"/>
  <c r="K41" i="2"/>
  <c r="J41" i="2"/>
  <c r="K40" i="2"/>
  <c r="J40" i="2"/>
  <c r="K39" i="2"/>
  <c r="J39" i="2"/>
  <c r="K38" i="2"/>
  <c r="J38" i="2"/>
  <c r="K37" i="2"/>
  <c r="J37" i="2"/>
  <c r="A37" i="2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T34" i="2"/>
  <c r="T66" i="2" s="1"/>
  <c r="O34" i="2"/>
  <c r="O66" i="2" s="1"/>
  <c r="J34" i="2"/>
  <c r="J66" i="2" s="1"/>
  <c r="A34" i="2"/>
  <c r="A66" i="2" s="1"/>
  <c r="H32" i="2"/>
  <c r="Z31" i="2"/>
  <c r="Q31" i="2"/>
  <c r="P31" i="2"/>
  <c r="O31" i="2"/>
  <c r="N31" i="2"/>
  <c r="M31" i="2"/>
  <c r="L31" i="2"/>
  <c r="M30" i="2"/>
  <c r="L30" i="2"/>
  <c r="I30" i="2"/>
  <c r="I31" i="2" s="1"/>
  <c r="S32" i="2" s="1"/>
  <c r="H33" i="8" s="1"/>
  <c r="H30" i="2"/>
  <c r="H31" i="2" s="1"/>
  <c r="K29" i="2"/>
  <c r="J29" i="2"/>
  <c r="K28" i="2"/>
  <c r="J28" i="2"/>
  <c r="K27" i="2"/>
  <c r="J27" i="2"/>
  <c r="K26" i="2"/>
  <c r="J26" i="2"/>
  <c r="AH25" i="2"/>
  <c r="T25" i="2"/>
  <c r="T26" i="2" s="1"/>
  <c r="S25" i="2"/>
  <c r="S26" i="2" s="1"/>
  <c r="R25" i="2"/>
  <c r="R26" i="2" s="1"/>
  <c r="K25" i="2"/>
  <c r="J25" i="2"/>
  <c r="K24" i="2"/>
  <c r="J24" i="2"/>
  <c r="K23" i="2"/>
  <c r="J23" i="2"/>
  <c r="AR22" i="2"/>
  <c r="AQ22" i="2"/>
  <c r="AG25" i="2" s="1"/>
  <c r="AP22" i="2"/>
  <c r="AF25" i="2" s="1"/>
  <c r="AG22" i="2"/>
  <c r="AF22" i="2"/>
  <c r="AE22" i="2"/>
  <c r="AE25" i="2" s="1"/>
  <c r="K22" i="2"/>
  <c r="J22" i="2"/>
  <c r="K21" i="2"/>
  <c r="J21" i="2"/>
  <c r="K20" i="2"/>
  <c r="J20" i="2"/>
  <c r="T19" i="2"/>
  <c r="S19" i="2"/>
  <c r="K19" i="2"/>
  <c r="J19" i="2"/>
  <c r="K18" i="2"/>
  <c r="J18" i="2"/>
  <c r="K17" i="2"/>
  <c r="J17" i="2"/>
  <c r="K16" i="2"/>
  <c r="J16" i="2"/>
  <c r="U15" i="2"/>
  <c r="K15" i="2"/>
  <c r="J15" i="2"/>
  <c r="U14" i="2"/>
  <c r="K14" i="2"/>
  <c r="J14" i="2"/>
  <c r="U13" i="2"/>
  <c r="K13" i="2"/>
  <c r="J13" i="2"/>
  <c r="U12" i="2"/>
  <c r="K12" i="2"/>
  <c r="J12" i="2"/>
  <c r="U11" i="2"/>
  <c r="K11" i="2"/>
  <c r="J11" i="2"/>
  <c r="U10" i="2"/>
  <c r="K10" i="2"/>
  <c r="J10" i="2"/>
  <c r="U9" i="2"/>
  <c r="K9" i="2"/>
  <c r="J9" i="2"/>
  <c r="U8" i="2"/>
  <c r="K8" i="2"/>
  <c r="J8" i="2"/>
  <c r="U7" i="2"/>
  <c r="K7" i="2"/>
  <c r="J7" i="2"/>
  <c r="U6" i="2"/>
  <c r="K6" i="2"/>
  <c r="J6" i="2"/>
  <c r="U5" i="2"/>
  <c r="K5" i="2"/>
  <c r="J5" i="2"/>
  <c r="M94" i="1"/>
  <c r="L94" i="1"/>
  <c r="I94" i="1"/>
  <c r="H94" i="1"/>
  <c r="K93" i="1"/>
  <c r="K94" i="1" s="1"/>
  <c r="J93" i="1"/>
  <c r="J94" i="1" s="1"/>
  <c r="K92" i="1"/>
  <c r="J92" i="1"/>
  <c r="K91" i="1"/>
  <c r="J91" i="1"/>
  <c r="K90" i="1"/>
  <c r="J90" i="1"/>
  <c r="K89" i="1"/>
  <c r="J89" i="1"/>
  <c r="K88" i="1"/>
  <c r="J88" i="1"/>
  <c r="K87" i="1"/>
  <c r="J87" i="1"/>
  <c r="K86" i="1"/>
  <c r="J86" i="1"/>
  <c r="K85" i="1"/>
  <c r="J85" i="1"/>
  <c r="K84" i="1"/>
  <c r="J84" i="1"/>
  <c r="K83" i="1"/>
  <c r="J83" i="1"/>
  <c r="K82" i="1"/>
  <c r="J82" i="1"/>
  <c r="K81" i="1"/>
  <c r="J81" i="1"/>
  <c r="K80" i="1"/>
  <c r="J80" i="1"/>
  <c r="K79" i="1"/>
  <c r="J79" i="1"/>
  <c r="K78" i="1"/>
  <c r="J78" i="1"/>
  <c r="K77" i="1"/>
  <c r="J77" i="1"/>
  <c r="K76" i="1"/>
  <c r="J76" i="1"/>
  <c r="K75" i="1"/>
  <c r="J75" i="1"/>
  <c r="K74" i="1"/>
  <c r="J74" i="1"/>
  <c r="K73" i="1"/>
  <c r="J73" i="1"/>
  <c r="K72" i="1"/>
  <c r="J72" i="1"/>
  <c r="K71" i="1"/>
  <c r="J71" i="1"/>
  <c r="K70" i="1"/>
  <c r="J70" i="1"/>
  <c r="K69" i="1"/>
  <c r="J69" i="1"/>
  <c r="M62" i="1"/>
  <c r="L62" i="1"/>
  <c r="I62" i="1"/>
  <c r="H62" i="1"/>
  <c r="K61" i="1"/>
  <c r="K62" i="1" s="1"/>
  <c r="J61" i="1"/>
  <c r="J62" i="1" s="1"/>
  <c r="K60" i="1"/>
  <c r="J60" i="1"/>
  <c r="K59" i="1"/>
  <c r="J59" i="1"/>
  <c r="K58" i="1"/>
  <c r="J58" i="1"/>
  <c r="K57" i="1"/>
  <c r="J57" i="1"/>
  <c r="K56" i="1"/>
  <c r="J56" i="1"/>
  <c r="K55" i="1"/>
  <c r="J55" i="1"/>
  <c r="K54" i="1"/>
  <c r="J54" i="1"/>
  <c r="K53" i="1"/>
  <c r="J53" i="1"/>
  <c r="K52" i="1"/>
  <c r="J52" i="1"/>
  <c r="K51" i="1"/>
  <c r="J51" i="1"/>
  <c r="K50" i="1"/>
  <c r="J50" i="1"/>
  <c r="K49" i="1"/>
  <c r="J49" i="1"/>
  <c r="K48" i="1"/>
  <c r="J48" i="1"/>
  <c r="K47" i="1"/>
  <c r="J47" i="1"/>
  <c r="K46" i="1"/>
  <c r="J46" i="1"/>
  <c r="K45" i="1"/>
  <c r="J45" i="1"/>
  <c r="K44" i="1"/>
  <c r="J44" i="1"/>
  <c r="K43" i="1"/>
  <c r="J43" i="1"/>
  <c r="K42" i="1"/>
  <c r="J42" i="1"/>
  <c r="K41" i="1"/>
  <c r="J41" i="1"/>
  <c r="K40" i="1"/>
  <c r="J40" i="1"/>
  <c r="K39" i="1"/>
  <c r="J39" i="1"/>
  <c r="K38" i="1"/>
  <c r="J38" i="1"/>
  <c r="K37" i="1"/>
  <c r="J37" i="1"/>
  <c r="A37" i="1"/>
  <c r="A38" i="1" s="1"/>
  <c r="A39" i="1" s="1"/>
  <c r="A40" i="1" s="1"/>
  <c r="A41" i="1" s="1"/>
  <c r="A42" i="1" s="1"/>
  <c r="A43" i="1" s="1"/>
  <c r="A44" i="1" s="1"/>
  <c r="A45" i="1" s="1"/>
  <c r="A46" i="1" s="1"/>
  <c r="A47" i="1" s="1"/>
  <c r="A48" i="1" s="1"/>
  <c r="A49" i="1" s="1"/>
  <c r="A50" i="1" s="1"/>
  <c r="A51" i="1" s="1"/>
  <c r="A52" i="1" s="1"/>
  <c r="A53" i="1" s="1"/>
  <c r="A54" i="1" s="1"/>
  <c r="A55" i="1" s="1"/>
  <c r="A56" i="1" s="1"/>
  <c r="A57" i="1" s="1"/>
  <c r="A58" i="1" s="1"/>
  <c r="A59" i="1" s="1"/>
  <c r="A60" i="1" s="1"/>
  <c r="A61" i="1" s="1"/>
  <c r="A69" i="1" s="1"/>
  <c r="A70" i="1" s="1"/>
  <c r="A71" i="1" s="1"/>
  <c r="A72" i="1" s="1"/>
  <c r="A73" i="1" s="1"/>
  <c r="A74" i="1" s="1"/>
  <c r="A75" i="1" s="1"/>
  <c r="A76" i="1" s="1"/>
  <c r="A77" i="1" s="1"/>
  <c r="A78" i="1" s="1"/>
  <c r="A79" i="1" s="1"/>
  <c r="A80" i="1" s="1"/>
  <c r="A81" i="1" s="1"/>
  <c r="A82" i="1" s="1"/>
  <c r="A83" i="1" s="1"/>
  <c r="A84" i="1" s="1"/>
  <c r="A85" i="1" s="1"/>
  <c r="A86" i="1" s="1"/>
  <c r="A87" i="1" s="1"/>
  <c r="A88" i="1" s="1"/>
  <c r="A89" i="1" s="1"/>
  <c r="A90" i="1" s="1"/>
  <c r="A91" i="1" s="1"/>
  <c r="A92" i="1" s="1"/>
  <c r="A93" i="1" s="1"/>
  <c r="T34" i="1"/>
  <c r="T66" i="1" s="1"/>
  <c r="O34" i="1"/>
  <c r="O66" i="1" s="1"/>
  <c r="J34" i="1"/>
  <c r="J66" i="1" s="1"/>
  <c r="A34" i="1"/>
  <c r="A66" i="1" s="1"/>
  <c r="H32" i="1"/>
  <c r="Z31" i="1"/>
  <c r="Q31" i="1"/>
  <c r="P31" i="1"/>
  <c r="O31" i="1"/>
  <c r="N31" i="1"/>
  <c r="L31" i="1"/>
  <c r="M30" i="1"/>
  <c r="M31" i="1" s="1"/>
  <c r="L30" i="1"/>
  <c r="I30" i="1"/>
  <c r="I31" i="1" s="1"/>
  <c r="H30" i="1"/>
  <c r="H31" i="1" s="1"/>
  <c r="K29" i="1"/>
  <c r="J29" i="1"/>
  <c r="K28" i="1"/>
  <c r="J28" i="1"/>
  <c r="K27" i="1"/>
  <c r="J27" i="1"/>
  <c r="K26" i="1"/>
  <c r="J26" i="1"/>
  <c r="AH25" i="1"/>
  <c r="T25" i="1"/>
  <c r="T26" i="1" s="1"/>
  <c r="S25" i="1"/>
  <c r="S26" i="1" s="1"/>
  <c r="R25" i="1"/>
  <c r="R26" i="1" s="1"/>
  <c r="K25" i="1"/>
  <c r="J25" i="1"/>
  <c r="K24" i="1"/>
  <c r="J24" i="1"/>
  <c r="K23" i="1"/>
  <c r="J23" i="1"/>
  <c r="AR22" i="1"/>
  <c r="AQ22" i="1"/>
  <c r="AG25" i="1" s="1"/>
  <c r="AP22" i="1"/>
  <c r="AF25" i="1" s="1"/>
  <c r="AG22" i="1"/>
  <c r="AF22" i="1"/>
  <c r="AE22" i="1"/>
  <c r="AE25" i="1" s="1"/>
  <c r="K22" i="1"/>
  <c r="J22" i="1"/>
  <c r="K21" i="1"/>
  <c r="J21" i="1"/>
  <c r="K20" i="1"/>
  <c r="J20" i="1"/>
  <c r="T19" i="1"/>
  <c r="S19" i="1"/>
  <c r="K19" i="1"/>
  <c r="J19" i="1"/>
  <c r="K18" i="1"/>
  <c r="J18" i="1"/>
  <c r="K17" i="1"/>
  <c r="J17" i="1"/>
  <c r="K16" i="1"/>
  <c r="J16" i="1"/>
  <c r="U15" i="1"/>
  <c r="K15" i="1"/>
  <c r="J15" i="1"/>
  <c r="U14" i="1"/>
  <c r="K14" i="1"/>
  <c r="J14" i="1"/>
  <c r="U13" i="1"/>
  <c r="K13" i="1"/>
  <c r="J13" i="1"/>
  <c r="U12" i="1"/>
  <c r="K12" i="1"/>
  <c r="J12" i="1"/>
  <c r="U11" i="1"/>
  <c r="K11" i="1"/>
  <c r="J11" i="1"/>
  <c r="U10" i="1"/>
  <c r="K10" i="1"/>
  <c r="J10" i="1"/>
  <c r="U9" i="1"/>
  <c r="K9" i="1"/>
  <c r="J9" i="1"/>
  <c r="U8" i="1"/>
  <c r="K8" i="1"/>
  <c r="J8" i="1"/>
  <c r="U7" i="1"/>
  <c r="K7" i="1"/>
  <c r="J7" i="1"/>
  <c r="U6" i="1"/>
  <c r="K6" i="1"/>
  <c r="J6" i="1"/>
  <c r="U5" i="1"/>
  <c r="K5" i="1"/>
  <c r="J5" i="1"/>
  <c r="M94" i="3"/>
  <c r="L94" i="3"/>
  <c r="I94" i="3"/>
  <c r="H94" i="3"/>
  <c r="K93" i="3"/>
  <c r="K94" i="3" s="1"/>
  <c r="J93" i="3"/>
  <c r="J94" i="3" s="1"/>
  <c r="K92" i="3"/>
  <c r="J92" i="3"/>
  <c r="K91" i="3"/>
  <c r="J91" i="3"/>
  <c r="K90" i="3"/>
  <c r="J90" i="3"/>
  <c r="K89" i="3"/>
  <c r="J89" i="3"/>
  <c r="K88" i="3"/>
  <c r="J88" i="3"/>
  <c r="K87" i="3"/>
  <c r="J87" i="3"/>
  <c r="K86" i="3"/>
  <c r="J86" i="3"/>
  <c r="K85" i="3"/>
  <c r="J85" i="3"/>
  <c r="K84" i="3"/>
  <c r="J84" i="3"/>
  <c r="K83" i="3"/>
  <c r="J83" i="3"/>
  <c r="K82" i="3"/>
  <c r="J82" i="3"/>
  <c r="K81" i="3"/>
  <c r="J81" i="3"/>
  <c r="K80" i="3"/>
  <c r="J80" i="3"/>
  <c r="K79" i="3"/>
  <c r="J79" i="3"/>
  <c r="K78" i="3"/>
  <c r="J78" i="3"/>
  <c r="K77" i="3"/>
  <c r="J77" i="3"/>
  <c r="K76" i="3"/>
  <c r="J76" i="3"/>
  <c r="K75" i="3"/>
  <c r="J75" i="3"/>
  <c r="K74" i="3"/>
  <c r="J74" i="3"/>
  <c r="K73" i="3"/>
  <c r="J73" i="3"/>
  <c r="K72" i="3"/>
  <c r="J72" i="3"/>
  <c r="K71" i="3"/>
  <c r="J71" i="3"/>
  <c r="K70" i="3"/>
  <c r="J70" i="3"/>
  <c r="K69" i="3"/>
  <c r="J69" i="3"/>
  <c r="J66" i="3"/>
  <c r="M62" i="3"/>
  <c r="L62" i="3"/>
  <c r="I62" i="3"/>
  <c r="H62" i="3"/>
  <c r="K61" i="3"/>
  <c r="K62" i="3" s="1"/>
  <c r="J61" i="3"/>
  <c r="J62" i="3" s="1"/>
  <c r="K60" i="3"/>
  <c r="J60" i="3"/>
  <c r="K59" i="3"/>
  <c r="J59" i="3"/>
  <c r="K58" i="3"/>
  <c r="J58" i="3"/>
  <c r="K57" i="3"/>
  <c r="J57" i="3"/>
  <c r="K56" i="3"/>
  <c r="J56" i="3"/>
  <c r="K55" i="3"/>
  <c r="J55" i="3"/>
  <c r="K54" i="3"/>
  <c r="J54" i="3"/>
  <c r="K53" i="3"/>
  <c r="J53" i="3"/>
  <c r="K52" i="3"/>
  <c r="J52" i="3"/>
  <c r="K51" i="3"/>
  <c r="J51" i="3"/>
  <c r="K50" i="3"/>
  <c r="J50" i="3"/>
  <c r="K49" i="3"/>
  <c r="J49" i="3"/>
  <c r="K48" i="3"/>
  <c r="J48" i="3"/>
  <c r="K47" i="3"/>
  <c r="J47" i="3"/>
  <c r="K46" i="3"/>
  <c r="J46" i="3"/>
  <c r="K45" i="3"/>
  <c r="J45" i="3"/>
  <c r="K44" i="3"/>
  <c r="J44" i="3"/>
  <c r="K43" i="3"/>
  <c r="J43" i="3"/>
  <c r="K42" i="3"/>
  <c r="J42" i="3"/>
  <c r="K41" i="3"/>
  <c r="J41" i="3"/>
  <c r="K40" i="3"/>
  <c r="J40" i="3"/>
  <c r="K39" i="3"/>
  <c r="J39" i="3"/>
  <c r="K38" i="3"/>
  <c r="J38" i="3"/>
  <c r="K37" i="3"/>
  <c r="J37" i="3"/>
  <c r="A37" i="3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9" i="3" s="1"/>
  <c r="A70" i="3" s="1"/>
  <c r="A71" i="3" s="1"/>
  <c r="A72" i="3" s="1"/>
  <c r="A73" i="3" s="1"/>
  <c r="A74" i="3" s="1"/>
  <c r="A75" i="3" s="1"/>
  <c r="A76" i="3" s="1"/>
  <c r="A77" i="3" s="1"/>
  <c r="A78" i="3" s="1"/>
  <c r="A79" i="3" s="1"/>
  <c r="A80" i="3" s="1"/>
  <c r="A81" i="3" s="1"/>
  <c r="A82" i="3" s="1"/>
  <c r="A83" i="3" s="1"/>
  <c r="A84" i="3" s="1"/>
  <c r="A85" i="3" s="1"/>
  <c r="A86" i="3" s="1"/>
  <c r="A87" i="3" s="1"/>
  <c r="A88" i="3" s="1"/>
  <c r="A89" i="3" s="1"/>
  <c r="A90" i="3" s="1"/>
  <c r="A91" i="3" s="1"/>
  <c r="A92" i="3" s="1"/>
  <c r="A93" i="3" s="1"/>
  <c r="T34" i="3"/>
  <c r="T66" i="3" s="1"/>
  <c r="O34" i="3"/>
  <c r="O66" i="3" s="1"/>
  <c r="J34" i="3"/>
  <c r="A34" i="3"/>
  <c r="A66" i="3" s="1"/>
  <c r="H32" i="3"/>
  <c r="Z31" i="3"/>
  <c r="Q31" i="3"/>
  <c r="P31" i="3"/>
  <c r="O31" i="3"/>
  <c r="N31" i="3"/>
  <c r="M31" i="3"/>
  <c r="L31" i="3"/>
  <c r="M30" i="3"/>
  <c r="L30" i="3"/>
  <c r="I30" i="3"/>
  <c r="I31" i="3" s="1"/>
  <c r="S32" i="3" s="1"/>
  <c r="H23" i="8" s="1"/>
  <c r="H30" i="3"/>
  <c r="H31" i="3" s="1"/>
  <c r="K29" i="3"/>
  <c r="J29" i="3"/>
  <c r="K28" i="3"/>
  <c r="J28" i="3"/>
  <c r="K27" i="3"/>
  <c r="J27" i="3"/>
  <c r="K26" i="3"/>
  <c r="J26" i="3"/>
  <c r="AH25" i="3"/>
  <c r="T25" i="3"/>
  <c r="T26" i="3" s="1"/>
  <c r="S25" i="3"/>
  <c r="S26" i="3" s="1"/>
  <c r="R25" i="3"/>
  <c r="R26" i="3" s="1"/>
  <c r="K25" i="3"/>
  <c r="J25" i="3"/>
  <c r="K24" i="3"/>
  <c r="J24" i="3"/>
  <c r="K23" i="3"/>
  <c r="J23" i="3"/>
  <c r="AR22" i="3"/>
  <c r="AQ22" i="3"/>
  <c r="AG25" i="3" s="1"/>
  <c r="AP22" i="3"/>
  <c r="AF25" i="3" s="1"/>
  <c r="AG22" i="3"/>
  <c r="AF22" i="3"/>
  <c r="AE22" i="3"/>
  <c r="AE25" i="3" s="1"/>
  <c r="K22" i="3"/>
  <c r="J22" i="3"/>
  <c r="K21" i="3"/>
  <c r="J21" i="3"/>
  <c r="K20" i="3"/>
  <c r="J20" i="3"/>
  <c r="T19" i="3"/>
  <c r="S19" i="3"/>
  <c r="K19" i="3"/>
  <c r="J19" i="3"/>
  <c r="K18" i="3"/>
  <c r="J18" i="3"/>
  <c r="K17" i="3"/>
  <c r="J17" i="3"/>
  <c r="K16" i="3"/>
  <c r="J16" i="3"/>
  <c r="U15" i="3"/>
  <c r="K15" i="3"/>
  <c r="J15" i="3"/>
  <c r="U14" i="3"/>
  <c r="K14" i="3"/>
  <c r="J14" i="3"/>
  <c r="U13" i="3"/>
  <c r="K13" i="3"/>
  <c r="J13" i="3"/>
  <c r="U12" i="3"/>
  <c r="K12" i="3"/>
  <c r="J12" i="3"/>
  <c r="U11" i="3"/>
  <c r="K11" i="3"/>
  <c r="J11" i="3"/>
  <c r="U10" i="3"/>
  <c r="K10" i="3"/>
  <c r="J10" i="3"/>
  <c r="U9" i="3"/>
  <c r="K9" i="3"/>
  <c r="J9" i="3"/>
  <c r="U8" i="3"/>
  <c r="K8" i="3"/>
  <c r="J8" i="3"/>
  <c r="U7" i="3"/>
  <c r="K7" i="3"/>
  <c r="J7" i="3"/>
  <c r="U6" i="3"/>
  <c r="K6" i="3"/>
  <c r="J6" i="3"/>
  <c r="U5" i="3"/>
  <c r="K5" i="3"/>
  <c r="K30" i="3" s="1"/>
  <c r="K31" i="3" s="1"/>
  <c r="J5" i="3"/>
  <c r="M94" i="4"/>
  <c r="L94" i="4"/>
  <c r="I94" i="4"/>
  <c r="H94" i="4"/>
  <c r="K93" i="4"/>
  <c r="K94" i="4" s="1"/>
  <c r="J93" i="4"/>
  <c r="J94" i="4" s="1"/>
  <c r="K92" i="4"/>
  <c r="J92" i="4"/>
  <c r="K91" i="4"/>
  <c r="J91" i="4"/>
  <c r="K90" i="4"/>
  <c r="J90" i="4"/>
  <c r="K89" i="4"/>
  <c r="J89" i="4"/>
  <c r="K88" i="4"/>
  <c r="J88" i="4"/>
  <c r="K87" i="4"/>
  <c r="J87" i="4"/>
  <c r="K86" i="4"/>
  <c r="J86" i="4"/>
  <c r="K85" i="4"/>
  <c r="J85" i="4"/>
  <c r="K84" i="4"/>
  <c r="J84" i="4"/>
  <c r="K83" i="4"/>
  <c r="J83" i="4"/>
  <c r="K82" i="4"/>
  <c r="J82" i="4"/>
  <c r="K81" i="4"/>
  <c r="J81" i="4"/>
  <c r="K80" i="4"/>
  <c r="J80" i="4"/>
  <c r="K79" i="4"/>
  <c r="J79" i="4"/>
  <c r="K78" i="4"/>
  <c r="J78" i="4"/>
  <c r="K77" i="4"/>
  <c r="J77" i="4"/>
  <c r="K76" i="4"/>
  <c r="J76" i="4"/>
  <c r="K75" i="4"/>
  <c r="J75" i="4"/>
  <c r="K74" i="4"/>
  <c r="J74" i="4"/>
  <c r="K73" i="4"/>
  <c r="J73" i="4"/>
  <c r="K72" i="4"/>
  <c r="J72" i="4"/>
  <c r="K71" i="4"/>
  <c r="J71" i="4"/>
  <c r="K70" i="4"/>
  <c r="J70" i="4"/>
  <c r="K69" i="4"/>
  <c r="J69" i="4"/>
  <c r="M62" i="4"/>
  <c r="L62" i="4"/>
  <c r="I62" i="4"/>
  <c r="H62" i="4"/>
  <c r="K61" i="4"/>
  <c r="K62" i="4" s="1"/>
  <c r="J61" i="4"/>
  <c r="J62" i="4" s="1"/>
  <c r="K60" i="4"/>
  <c r="J60" i="4"/>
  <c r="K59" i="4"/>
  <c r="J59" i="4"/>
  <c r="K58" i="4"/>
  <c r="J58" i="4"/>
  <c r="K57" i="4"/>
  <c r="J57" i="4"/>
  <c r="K56" i="4"/>
  <c r="J56" i="4"/>
  <c r="K55" i="4"/>
  <c r="J55" i="4"/>
  <c r="K54" i="4"/>
  <c r="J54" i="4"/>
  <c r="K53" i="4"/>
  <c r="J53" i="4"/>
  <c r="K52" i="4"/>
  <c r="J52" i="4"/>
  <c r="K51" i="4"/>
  <c r="J51" i="4"/>
  <c r="K50" i="4"/>
  <c r="J50" i="4"/>
  <c r="K49" i="4"/>
  <c r="J49" i="4"/>
  <c r="K48" i="4"/>
  <c r="J48" i="4"/>
  <c r="K47" i="4"/>
  <c r="J47" i="4"/>
  <c r="K46" i="4"/>
  <c r="J46" i="4"/>
  <c r="K45" i="4"/>
  <c r="J45" i="4"/>
  <c r="K44" i="4"/>
  <c r="J44" i="4"/>
  <c r="K43" i="4"/>
  <c r="J43" i="4"/>
  <c r="K42" i="4"/>
  <c r="J42" i="4"/>
  <c r="K41" i="4"/>
  <c r="J41" i="4"/>
  <c r="K40" i="4"/>
  <c r="J40" i="4"/>
  <c r="K39" i="4"/>
  <c r="J39" i="4"/>
  <c r="K38" i="4"/>
  <c r="J38" i="4"/>
  <c r="K37" i="4"/>
  <c r="J37" i="4"/>
  <c r="A37" i="4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9" i="4" s="1"/>
  <c r="A70" i="4" s="1"/>
  <c r="A71" i="4" s="1"/>
  <c r="A72" i="4" s="1"/>
  <c r="A73" i="4" s="1"/>
  <c r="A74" i="4" s="1"/>
  <c r="A75" i="4" s="1"/>
  <c r="A76" i="4" s="1"/>
  <c r="A77" i="4" s="1"/>
  <c r="A78" i="4" s="1"/>
  <c r="A79" i="4" s="1"/>
  <c r="A80" i="4" s="1"/>
  <c r="A81" i="4" s="1"/>
  <c r="A82" i="4" s="1"/>
  <c r="A83" i="4" s="1"/>
  <c r="A84" i="4" s="1"/>
  <c r="A85" i="4" s="1"/>
  <c r="A86" i="4" s="1"/>
  <c r="A87" i="4" s="1"/>
  <c r="A88" i="4" s="1"/>
  <c r="A89" i="4" s="1"/>
  <c r="A90" i="4" s="1"/>
  <c r="A91" i="4" s="1"/>
  <c r="A92" i="4" s="1"/>
  <c r="A93" i="4" s="1"/>
  <c r="T34" i="4"/>
  <c r="T66" i="4" s="1"/>
  <c r="O34" i="4"/>
  <c r="O66" i="4" s="1"/>
  <c r="J34" i="4"/>
  <c r="J66" i="4" s="1"/>
  <c r="A34" i="4"/>
  <c r="A66" i="4" s="1"/>
  <c r="H32" i="4"/>
  <c r="Z31" i="4"/>
  <c r="Q31" i="4"/>
  <c r="P31" i="4"/>
  <c r="O31" i="4"/>
  <c r="N31" i="4"/>
  <c r="M31" i="4"/>
  <c r="L31" i="4"/>
  <c r="M30" i="4"/>
  <c r="L30" i="4"/>
  <c r="I30" i="4"/>
  <c r="I31" i="4" s="1"/>
  <c r="S32" i="4" s="1"/>
  <c r="H18" i="8" s="1"/>
  <c r="H30" i="4"/>
  <c r="H31" i="4" s="1"/>
  <c r="K29" i="4"/>
  <c r="J29" i="4"/>
  <c r="K28" i="4"/>
  <c r="J28" i="4"/>
  <c r="K27" i="4"/>
  <c r="J27" i="4"/>
  <c r="K26" i="4"/>
  <c r="J26" i="4"/>
  <c r="AH25" i="4"/>
  <c r="T25" i="4"/>
  <c r="T26" i="4" s="1"/>
  <c r="S25" i="4"/>
  <c r="S26" i="4" s="1"/>
  <c r="R25" i="4"/>
  <c r="R26" i="4" s="1"/>
  <c r="K25" i="4"/>
  <c r="J25" i="4"/>
  <c r="K24" i="4"/>
  <c r="J24" i="4"/>
  <c r="K23" i="4"/>
  <c r="J23" i="4"/>
  <c r="AR22" i="4"/>
  <c r="AQ22" i="4"/>
  <c r="AG25" i="4" s="1"/>
  <c r="AP22" i="4"/>
  <c r="AF25" i="4" s="1"/>
  <c r="AG22" i="4"/>
  <c r="AF22" i="4"/>
  <c r="AE22" i="4"/>
  <c r="AE25" i="4" s="1"/>
  <c r="K22" i="4"/>
  <c r="J22" i="4"/>
  <c r="K21" i="4"/>
  <c r="J21" i="4"/>
  <c r="K20" i="4"/>
  <c r="J20" i="4"/>
  <c r="T19" i="4"/>
  <c r="S19" i="4"/>
  <c r="K19" i="4"/>
  <c r="J19" i="4"/>
  <c r="K18" i="4"/>
  <c r="J18" i="4"/>
  <c r="K17" i="4"/>
  <c r="J17" i="4"/>
  <c r="K16" i="4"/>
  <c r="J16" i="4"/>
  <c r="U15" i="4"/>
  <c r="K15" i="4"/>
  <c r="J15" i="4"/>
  <c r="U14" i="4"/>
  <c r="K14" i="4"/>
  <c r="J14" i="4"/>
  <c r="U13" i="4"/>
  <c r="K13" i="4"/>
  <c r="J13" i="4"/>
  <c r="U12" i="4"/>
  <c r="K12" i="4"/>
  <c r="J12" i="4"/>
  <c r="U11" i="4"/>
  <c r="K11" i="4"/>
  <c r="J11" i="4"/>
  <c r="U10" i="4"/>
  <c r="K10" i="4"/>
  <c r="J10" i="4"/>
  <c r="U9" i="4"/>
  <c r="K9" i="4"/>
  <c r="J9" i="4"/>
  <c r="U8" i="4"/>
  <c r="K8" i="4"/>
  <c r="J8" i="4"/>
  <c r="U7" i="4"/>
  <c r="K7" i="4"/>
  <c r="J7" i="4"/>
  <c r="U6" i="4"/>
  <c r="K6" i="4"/>
  <c r="J6" i="4"/>
  <c r="U5" i="4"/>
  <c r="U16" i="4" s="1"/>
  <c r="K5" i="4"/>
  <c r="J5" i="4"/>
  <c r="M94" i="5"/>
  <c r="L94" i="5"/>
  <c r="I94" i="5"/>
  <c r="H94" i="5"/>
  <c r="K93" i="5"/>
  <c r="K94" i="5" s="1"/>
  <c r="J93" i="5"/>
  <c r="J94" i="5" s="1"/>
  <c r="K92" i="5"/>
  <c r="J92" i="5"/>
  <c r="K91" i="5"/>
  <c r="J91" i="5"/>
  <c r="K90" i="5"/>
  <c r="J90" i="5"/>
  <c r="K89" i="5"/>
  <c r="J89" i="5"/>
  <c r="K88" i="5"/>
  <c r="J88" i="5"/>
  <c r="K87" i="5"/>
  <c r="J87" i="5"/>
  <c r="K86" i="5"/>
  <c r="J86" i="5"/>
  <c r="K85" i="5"/>
  <c r="J85" i="5"/>
  <c r="K84" i="5"/>
  <c r="J84" i="5"/>
  <c r="K83" i="5"/>
  <c r="J83" i="5"/>
  <c r="K82" i="5"/>
  <c r="J82" i="5"/>
  <c r="K81" i="5"/>
  <c r="J81" i="5"/>
  <c r="K80" i="5"/>
  <c r="J80" i="5"/>
  <c r="K79" i="5"/>
  <c r="J79" i="5"/>
  <c r="K78" i="5"/>
  <c r="J78" i="5"/>
  <c r="K77" i="5"/>
  <c r="J77" i="5"/>
  <c r="K76" i="5"/>
  <c r="J76" i="5"/>
  <c r="K75" i="5"/>
  <c r="J75" i="5"/>
  <c r="K74" i="5"/>
  <c r="J74" i="5"/>
  <c r="K73" i="5"/>
  <c r="J73" i="5"/>
  <c r="K72" i="5"/>
  <c r="J72" i="5"/>
  <c r="K71" i="5"/>
  <c r="J71" i="5"/>
  <c r="K70" i="5"/>
  <c r="J70" i="5"/>
  <c r="K69" i="5"/>
  <c r="J69" i="5"/>
  <c r="T66" i="5"/>
  <c r="M62" i="5"/>
  <c r="L62" i="5"/>
  <c r="I62" i="5"/>
  <c r="H62" i="5"/>
  <c r="K61" i="5"/>
  <c r="K62" i="5" s="1"/>
  <c r="J61" i="5"/>
  <c r="J62" i="5" s="1"/>
  <c r="K60" i="5"/>
  <c r="J60" i="5"/>
  <c r="K59" i="5"/>
  <c r="J59" i="5"/>
  <c r="K58" i="5"/>
  <c r="J58" i="5"/>
  <c r="K57" i="5"/>
  <c r="J57" i="5"/>
  <c r="K56" i="5"/>
  <c r="J56" i="5"/>
  <c r="K55" i="5"/>
  <c r="J55" i="5"/>
  <c r="K54" i="5"/>
  <c r="J54" i="5"/>
  <c r="K53" i="5"/>
  <c r="J53" i="5"/>
  <c r="K52" i="5"/>
  <c r="J52" i="5"/>
  <c r="K51" i="5"/>
  <c r="J51" i="5"/>
  <c r="K50" i="5"/>
  <c r="J50" i="5"/>
  <c r="K49" i="5"/>
  <c r="J49" i="5"/>
  <c r="K48" i="5"/>
  <c r="J48" i="5"/>
  <c r="K47" i="5"/>
  <c r="J47" i="5"/>
  <c r="K46" i="5"/>
  <c r="J46" i="5"/>
  <c r="K45" i="5"/>
  <c r="J45" i="5"/>
  <c r="K44" i="5"/>
  <c r="J44" i="5"/>
  <c r="K43" i="5"/>
  <c r="J43" i="5"/>
  <c r="K42" i="5"/>
  <c r="J42" i="5"/>
  <c r="K41" i="5"/>
  <c r="J41" i="5"/>
  <c r="K40" i="5"/>
  <c r="J40" i="5"/>
  <c r="K39" i="5"/>
  <c r="J39" i="5"/>
  <c r="K38" i="5"/>
  <c r="J38" i="5"/>
  <c r="K37" i="5"/>
  <c r="J37" i="5"/>
  <c r="A37" i="5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9" i="5" s="1"/>
  <c r="A70" i="5" s="1"/>
  <c r="A71" i="5" s="1"/>
  <c r="A72" i="5" s="1"/>
  <c r="A73" i="5" s="1"/>
  <c r="A74" i="5" s="1"/>
  <c r="A75" i="5" s="1"/>
  <c r="A76" i="5" s="1"/>
  <c r="A77" i="5" s="1"/>
  <c r="A78" i="5" s="1"/>
  <c r="A79" i="5" s="1"/>
  <c r="A80" i="5" s="1"/>
  <c r="A81" i="5" s="1"/>
  <c r="A82" i="5" s="1"/>
  <c r="A83" i="5" s="1"/>
  <c r="A84" i="5" s="1"/>
  <c r="A85" i="5" s="1"/>
  <c r="A86" i="5" s="1"/>
  <c r="A87" i="5" s="1"/>
  <c r="A88" i="5" s="1"/>
  <c r="A89" i="5" s="1"/>
  <c r="A90" i="5" s="1"/>
  <c r="A91" i="5" s="1"/>
  <c r="A92" i="5" s="1"/>
  <c r="A93" i="5" s="1"/>
  <c r="T34" i="5"/>
  <c r="O34" i="5"/>
  <c r="O66" i="5" s="1"/>
  <c r="J34" i="5"/>
  <c r="J66" i="5" s="1"/>
  <c r="A34" i="5"/>
  <c r="A66" i="5" s="1"/>
  <c r="H32" i="5"/>
  <c r="Z31" i="5"/>
  <c r="Q31" i="5"/>
  <c r="P31" i="5"/>
  <c r="O31" i="5"/>
  <c r="N31" i="5"/>
  <c r="M31" i="5"/>
  <c r="L31" i="5"/>
  <c r="M30" i="5"/>
  <c r="L30" i="5"/>
  <c r="I30" i="5"/>
  <c r="I31" i="5" s="1"/>
  <c r="S32" i="5" s="1"/>
  <c r="H30" i="5"/>
  <c r="H31" i="5" s="1"/>
  <c r="K29" i="5"/>
  <c r="J29" i="5"/>
  <c r="K28" i="5"/>
  <c r="J28" i="5"/>
  <c r="K27" i="5"/>
  <c r="J27" i="5"/>
  <c r="K26" i="5"/>
  <c r="J26" i="5"/>
  <c r="AH25" i="5"/>
  <c r="T25" i="5"/>
  <c r="T26" i="5" s="1"/>
  <c r="S25" i="5"/>
  <c r="S26" i="5" s="1"/>
  <c r="R25" i="5"/>
  <c r="R26" i="5" s="1"/>
  <c r="K25" i="5"/>
  <c r="J25" i="5"/>
  <c r="K24" i="5"/>
  <c r="J24" i="5"/>
  <c r="K23" i="5"/>
  <c r="J23" i="5"/>
  <c r="AR22" i="5"/>
  <c r="AQ22" i="5"/>
  <c r="AG25" i="5" s="1"/>
  <c r="AP22" i="5"/>
  <c r="AF25" i="5" s="1"/>
  <c r="AG22" i="5"/>
  <c r="AF22" i="5"/>
  <c r="AE22" i="5"/>
  <c r="AE25" i="5" s="1"/>
  <c r="K22" i="5"/>
  <c r="J22" i="5"/>
  <c r="K21" i="5"/>
  <c r="J21" i="5"/>
  <c r="K20" i="5"/>
  <c r="J20" i="5"/>
  <c r="T19" i="5"/>
  <c r="S19" i="5"/>
  <c r="K19" i="5"/>
  <c r="J19" i="5"/>
  <c r="K18" i="5"/>
  <c r="J18" i="5"/>
  <c r="K17" i="5"/>
  <c r="J17" i="5"/>
  <c r="K16" i="5"/>
  <c r="J16" i="5"/>
  <c r="U15" i="5"/>
  <c r="K15" i="5"/>
  <c r="J15" i="5"/>
  <c r="U14" i="5"/>
  <c r="K14" i="5"/>
  <c r="J14" i="5"/>
  <c r="U13" i="5"/>
  <c r="K13" i="5"/>
  <c r="J13" i="5"/>
  <c r="U12" i="5"/>
  <c r="K12" i="5"/>
  <c r="J12" i="5"/>
  <c r="U11" i="5"/>
  <c r="K11" i="5"/>
  <c r="J11" i="5"/>
  <c r="U10" i="5"/>
  <c r="K10" i="5"/>
  <c r="J10" i="5"/>
  <c r="U9" i="5"/>
  <c r="K9" i="5"/>
  <c r="J9" i="5"/>
  <c r="U8" i="5"/>
  <c r="K8" i="5"/>
  <c r="J8" i="5"/>
  <c r="U7" i="5"/>
  <c r="K7" i="5"/>
  <c r="J7" i="5"/>
  <c r="U6" i="5"/>
  <c r="K6" i="5"/>
  <c r="J6" i="5"/>
  <c r="U5" i="5"/>
  <c r="K5" i="5"/>
  <c r="K30" i="5" s="1"/>
  <c r="K31" i="5" s="1"/>
  <c r="J5" i="5"/>
  <c r="M94" i="6"/>
  <c r="L94" i="6"/>
  <c r="I94" i="6"/>
  <c r="H94" i="6"/>
  <c r="K93" i="6"/>
  <c r="K94" i="6" s="1"/>
  <c r="J93" i="6"/>
  <c r="J94" i="6" s="1"/>
  <c r="K92" i="6"/>
  <c r="J92" i="6"/>
  <c r="K91" i="6"/>
  <c r="J91" i="6"/>
  <c r="K90" i="6"/>
  <c r="J90" i="6"/>
  <c r="K89" i="6"/>
  <c r="J89" i="6"/>
  <c r="K88" i="6"/>
  <c r="J88" i="6"/>
  <c r="K87" i="6"/>
  <c r="J87" i="6"/>
  <c r="K86" i="6"/>
  <c r="J86" i="6"/>
  <c r="K85" i="6"/>
  <c r="J85" i="6"/>
  <c r="K84" i="6"/>
  <c r="J84" i="6"/>
  <c r="K83" i="6"/>
  <c r="J83" i="6"/>
  <c r="K82" i="6"/>
  <c r="J82" i="6"/>
  <c r="K81" i="6"/>
  <c r="J81" i="6"/>
  <c r="K80" i="6"/>
  <c r="J80" i="6"/>
  <c r="K79" i="6"/>
  <c r="J79" i="6"/>
  <c r="K78" i="6"/>
  <c r="J78" i="6"/>
  <c r="K77" i="6"/>
  <c r="J77" i="6"/>
  <c r="K76" i="6"/>
  <c r="J76" i="6"/>
  <c r="K75" i="6"/>
  <c r="J75" i="6"/>
  <c r="K74" i="6"/>
  <c r="J74" i="6"/>
  <c r="K73" i="6"/>
  <c r="J73" i="6"/>
  <c r="K72" i="6"/>
  <c r="J72" i="6"/>
  <c r="K71" i="6"/>
  <c r="J71" i="6"/>
  <c r="K70" i="6"/>
  <c r="J70" i="6"/>
  <c r="K69" i="6"/>
  <c r="J69" i="6"/>
  <c r="M62" i="6"/>
  <c r="L62" i="6"/>
  <c r="I62" i="6"/>
  <c r="H62" i="6"/>
  <c r="K61" i="6"/>
  <c r="K62" i="6" s="1"/>
  <c r="J61" i="6"/>
  <c r="J62" i="6" s="1"/>
  <c r="K60" i="6"/>
  <c r="J60" i="6"/>
  <c r="K59" i="6"/>
  <c r="J59" i="6"/>
  <c r="K58" i="6"/>
  <c r="J58" i="6"/>
  <c r="K57" i="6"/>
  <c r="J57" i="6"/>
  <c r="K56" i="6"/>
  <c r="J56" i="6"/>
  <c r="K55" i="6"/>
  <c r="J55" i="6"/>
  <c r="K54" i="6"/>
  <c r="J54" i="6"/>
  <c r="K53" i="6"/>
  <c r="J53" i="6"/>
  <c r="K52" i="6"/>
  <c r="J52" i="6"/>
  <c r="K51" i="6"/>
  <c r="J51" i="6"/>
  <c r="K50" i="6"/>
  <c r="J50" i="6"/>
  <c r="K49" i="6"/>
  <c r="J49" i="6"/>
  <c r="K48" i="6"/>
  <c r="J48" i="6"/>
  <c r="K47" i="6"/>
  <c r="J47" i="6"/>
  <c r="K46" i="6"/>
  <c r="J46" i="6"/>
  <c r="K45" i="6"/>
  <c r="J45" i="6"/>
  <c r="K44" i="6"/>
  <c r="J44" i="6"/>
  <c r="K43" i="6"/>
  <c r="J43" i="6"/>
  <c r="K42" i="6"/>
  <c r="J42" i="6"/>
  <c r="K41" i="6"/>
  <c r="J41" i="6"/>
  <c r="K40" i="6"/>
  <c r="J40" i="6"/>
  <c r="K39" i="6"/>
  <c r="J39" i="6"/>
  <c r="A39" i="6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9" i="6" s="1"/>
  <c r="A70" i="6" s="1"/>
  <c r="A71" i="6" s="1"/>
  <c r="A72" i="6" s="1"/>
  <c r="A73" i="6" s="1"/>
  <c r="A74" i="6" s="1"/>
  <c r="A75" i="6" s="1"/>
  <c r="A76" i="6" s="1"/>
  <c r="A77" i="6" s="1"/>
  <c r="A78" i="6" s="1"/>
  <c r="A79" i="6" s="1"/>
  <c r="A80" i="6" s="1"/>
  <c r="A81" i="6" s="1"/>
  <c r="A82" i="6" s="1"/>
  <c r="A83" i="6" s="1"/>
  <c r="A84" i="6" s="1"/>
  <c r="A85" i="6" s="1"/>
  <c r="A86" i="6" s="1"/>
  <c r="A87" i="6" s="1"/>
  <c r="A88" i="6" s="1"/>
  <c r="A89" i="6" s="1"/>
  <c r="A90" i="6" s="1"/>
  <c r="A91" i="6" s="1"/>
  <c r="A92" i="6" s="1"/>
  <c r="A93" i="6" s="1"/>
  <c r="K38" i="6"/>
  <c r="J38" i="6"/>
  <c r="A38" i="6"/>
  <c r="K37" i="6"/>
  <c r="J37" i="6"/>
  <c r="A37" i="6"/>
  <c r="T34" i="6"/>
  <c r="T66" i="6" s="1"/>
  <c r="O34" i="6"/>
  <c r="O66" i="6" s="1"/>
  <c r="J34" i="6"/>
  <c r="J66" i="6" s="1"/>
  <c r="A34" i="6"/>
  <c r="A66" i="6" s="1"/>
  <c r="H32" i="6"/>
  <c r="Z31" i="6"/>
  <c r="Q31" i="6"/>
  <c r="P31" i="6"/>
  <c r="O31" i="6"/>
  <c r="N31" i="6"/>
  <c r="M31" i="6"/>
  <c r="L31" i="6"/>
  <c r="H31" i="6"/>
  <c r="M30" i="6"/>
  <c r="L30" i="6"/>
  <c r="I30" i="6"/>
  <c r="I31" i="6" s="1"/>
  <c r="S32" i="6" s="1"/>
  <c r="H8" i="8" s="1"/>
  <c r="H30" i="6"/>
  <c r="K29" i="6"/>
  <c r="J29" i="6"/>
  <c r="K28" i="6"/>
  <c r="J28" i="6"/>
  <c r="K27" i="6"/>
  <c r="J27" i="6"/>
  <c r="K26" i="6"/>
  <c r="J26" i="6"/>
  <c r="AH25" i="6"/>
  <c r="T25" i="6"/>
  <c r="T26" i="6" s="1"/>
  <c r="S25" i="6"/>
  <c r="S26" i="6" s="1"/>
  <c r="R25" i="6"/>
  <c r="R26" i="6" s="1"/>
  <c r="K25" i="6"/>
  <c r="J25" i="6"/>
  <c r="K24" i="6"/>
  <c r="J24" i="6"/>
  <c r="K23" i="6"/>
  <c r="J23" i="6"/>
  <c r="AR22" i="6"/>
  <c r="AQ22" i="6"/>
  <c r="AG25" i="6" s="1"/>
  <c r="AP22" i="6"/>
  <c r="AF25" i="6" s="1"/>
  <c r="AG22" i="6"/>
  <c r="AF22" i="6"/>
  <c r="AE22" i="6"/>
  <c r="AE25" i="6" s="1"/>
  <c r="K22" i="6"/>
  <c r="J22" i="6"/>
  <c r="K21" i="6"/>
  <c r="J21" i="6"/>
  <c r="K20" i="6"/>
  <c r="J20" i="6"/>
  <c r="T19" i="6"/>
  <c r="S19" i="6"/>
  <c r="K19" i="6"/>
  <c r="J19" i="6"/>
  <c r="K18" i="6"/>
  <c r="J18" i="6"/>
  <c r="K17" i="6"/>
  <c r="J17" i="6"/>
  <c r="K16" i="6"/>
  <c r="J16" i="6"/>
  <c r="U15" i="6"/>
  <c r="K15" i="6"/>
  <c r="J15" i="6"/>
  <c r="U14" i="6"/>
  <c r="K14" i="6"/>
  <c r="J14" i="6"/>
  <c r="U13" i="6"/>
  <c r="K13" i="6"/>
  <c r="J13" i="6"/>
  <c r="U12" i="6"/>
  <c r="K12" i="6"/>
  <c r="J12" i="6"/>
  <c r="U11" i="6"/>
  <c r="K11" i="6"/>
  <c r="J11" i="6"/>
  <c r="U10" i="6"/>
  <c r="K10" i="6"/>
  <c r="J10" i="6"/>
  <c r="U9" i="6"/>
  <c r="K9" i="6"/>
  <c r="J9" i="6"/>
  <c r="U8" i="6"/>
  <c r="K8" i="6"/>
  <c r="J8" i="6"/>
  <c r="U7" i="6"/>
  <c r="K7" i="6"/>
  <c r="J7" i="6"/>
  <c r="U6" i="6"/>
  <c r="K6" i="6"/>
  <c r="J6" i="6"/>
  <c r="U5" i="6"/>
  <c r="K5" i="6"/>
  <c r="J5" i="6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J79" i="7"/>
  <c r="J78" i="7"/>
  <c r="J77" i="7"/>
  <c r="J76" i="7"/>
  <c r="J75" i="7"/>
  <c r="J74" i="7"/>
  <c r="J73" i="7"/>
  <c r="J72" i="7"/>
  <c r="J71" i="7"/>
  <c r="J70" i="7"/>
  <c r="J69" i="7"/>
  <c r="J61" i="7"/>
  <c r="J60" i="7"/>
  <c r="J59" i="7"/>
  <c r="J58" i="7"/>
  <c r="J57" i="7"/>
  <c r="J56" i="7"/>
  <c r="J55" i="7"/>
  <c r="J54" i="7"/>
  <c r="J53" i="7"/>
  <c r="J52" i="7"/>
  <c r="J51" i="7"/>
  <c r="J50" i="7"/>
  <c r="J49" i="7"/>
  <c r="J48" i="7"/>
  <c r="J47" i="7"/>
  <c r="J46" i="7"/>
  <c r="J45" i="7"/>
  <c r="J44" i="7"/>
  <c r="J43" i="7"/>
  <c r="J42" i="7"/>
  <c r="J41" i="7"/>
  <c r="J40" i="7"/>
  <c r="J39" i="7"/>
  <c r="J38" i="7"/>
  <c r="J37" i="7"/>
  <c r="J29" i="7"/>
  <c r="J28" i="7"/>
  <c r="J27" i="7"/>
  <c r="J26" i="7"/>
  <c r="J25" i="7"/>
  <c r="J24" i="7"/>
  <c r="J23" i="7"/>
  <c r="J22" i="7"/>
  <c r="J21" i="7"/>
  <c r="J20" i="7"/>
  <c r="J19" i="7"/>
  <c r="J18" i="7"/>
  <c r="J17" i="7"/>
  <c r="J16" i="7"/>
  <c r="J15" i="7"/>
  <c r="J13" i="7"/>
  <c r="J12" i="7"/>
  <c r="J11" i="7"/>
  <c r="J10" i="7"/>
  <c r="J9" i="7"/>
  <c r="J8" i="7"/>
  <c r="J7" i="7"/>
  <c r="J6" i="7"/>
  <c r="J5" i="7"/>
  <c r="T19" i="7"/>
  <c r="S19" i="7"/>
  <c r="K24" i="7"/>
  <c r="U16" i="2" l="1"/>
  <c r="S16" i="2" s="1"/>
  <c r="J30" i="2"/>
  <c r="J31" i="2" s="1"/>
  <c r="H35" i="8" s="1"/>
  <c r="V32" i="8" s="1"/>
  <c r="K30" i="2"/>
  <c r="K31" i="2" s="1"/>
  <c r="H34" i="8" s="1"/>
  <c r="U16" i="1"/>
  <c r="S16" i="1" s="1"/>
  <c r="S32" i="1"/>
  <c r="H28" i="8" s="1"/>
  <c r="K30" i="1"/>
  <c r="K31" i="1" s="1"/>
  <c r="J30" i="1"/>
  <c r="J31" i="1" s="1"/>
  <c r="J30" i="4"/>
  <c r="K30" i="4"/>
  <c r="U16" i="3"/>
  <c r="J30" i="3"/>
  <c r="J31" i="3" s="1"/>
  <c r="U16" i="5"/>
  <c r="S16" i="5" s="1"/>
  <c r="J30" i="5"/>
  <c r="J31" i="5" s="1"/>
  <c r="U16" i="6"/>
  <c r="R16" i="6" s="1"/>
  <c r="K30" i="6"/>
  <c r="K31" i="6" s="1"/>
  <c r="J30" i="6"/>
  <c r="J31" i="6" s="1"/>
  <c r="AD25" i="2"/>
  <c r="AI25" i="2"/>
  <c r="Z32" i="2"/>
  <c r="Z33" i="2" s="1"/>
  <c r="S31" i="2"/>
  <c r="T31" i="2"/>
  <c r="AD25" i="1"/>
  <c r="AI25" i="1"/>
  <c r="Z32" i="1"/>
  <c r="Z33" i="1" s="1"/>
  <c r="S31" i="1"/>
  <c r="H27" i="8" s="1"/>
  <c r="T31" i="1"/>
  <c r="AD25" i="3"/>
  <c r="AI25" i="3"/>
  <c r="S16" i="3"/>
  <c r="R16" i="3"/>
  <c r="C32" i="3"/>
  <c r="O32" i="3" s="1"/>
  <c r="Z32" i="3"/>
  <c r="Z33" i="3" s="1"/>
  <c r="S31" i="3"/>
  <c r="T31" i="3"/>
  <c r="J31" i="4"/>
  <c r="K31" i="4"/>
  <c r="C32" i="4" s="1"/>
  <c r="AD25" i="4"/>
  <c r="AI25" i="4"/>
  <c r="S16" i="4"/>
  <c r="R16" i="4"/>
  <c r="Z32" i="4"/>
  <c r="Z33" i="4" s="1"/>
  <c r="S31" i="4"/>
  <c r="Y39" i="8"/>
  <c r="T31" i="4"/>
  <c r="AI25" i="5"/>
  <c r="AD25" i="5"/>
  <c r="C32" i="5"/>
  <c r="P32" i="5" s="1"/>
  <c r="S31" i="5"/>
  <c r="Z32" i="5"/>
  <c r="Z33" i="5" s="1"/>
  <c r="T31" i="5"/>
  <c r="S16" i="6"/>
  <c r="AD25" i="6"/>
  <c r="AI25" i="6"/>
  <c r="S31" i="6"/>
  <c r="H7" i="8" s="1"/>
  <c r="Z32" i="6"/>
  <c r="Z33" i="6" s="1"/>
  <c r="T31" i="6"/>
  <c r="H32" i="8"/>
  <c r="H22" i="8"/>
  <c r="H13" i="8"/>
  <c r="H17" i="8"/>
  <c r="H12" i="8"/>
  <c r="L36" i="8"/>
  <c r="L31" i="8"/>
  <c r="L26" i="8"/>
  <c r="L21" i="8"/>
  <c r="L16" i="8"/>
  <c r="L11" i="8"/>
  <c r="L6" i="8"/>
  <c r="E26" i="8"/>
  <c r="E35" i="8"/>
  <c r="E25" i="8"/>
  <c r="E20" i="8"/>
  <c r="E19" i="8"/>
  <c r="E18" i="8"/>
  <c r="E17" i="8"/>
  <c r="E15" i="8"/>
  <c r="E14" i="8"/>
  <c r="E13" i="8"/>
  <c r="E12" i="8"/>
  <c r="Y41" i="8"/>
  <c r="E10" i="8"/>
  <c r="M94" i="7"/>
  <c r="L94" i="7"/>
  <c r="I94" i="7"/>
  <c r="H94" i="7"/>
  <c r="K93" i="7"/>
  <c r="K94" i="7" s="1"/>
  <c r="K92" i="7"/>
  <c r="K91" i="7"/>
  <c r="K90" i="7"/>
  <c r="K89" i="7"/>
  <c r="J94" i="7"/>
  <c r="K88" i="7"/>
  <c r="K87" i="7"/>
  <c r="K86" i="7"/>
  <c r="K85" i="7"/>
  <c r="K84" i="7"/>
  <c r="K83" i="7"/>
  <c r="K82" i="7"/>
  <c r="K81" i="7"/>
  <c r="K80" i="7"/>
  <c r="K79" i="7"/>
  <c r="K78" i="7"/>
  <c r="K77" i="7"/>
  <c r="K76" i="7"/>
  <c r="K75" i="7"/>
  <c r="K74" i="7"/>
  <c r="K73" i="7"/>
  <c r="K72" i="7"/>
  <c r="K71" i="7"/>
  <c r="K70" i="7"/>
  <c r="K69" i="7"/>
  <c r="M62" i="7"/>
  <c r="L62" i="7"/>
  <c r="I62" i="7"/>
  <c r="H62" i="7"/>
  <c r="K61" i="7"/>
  <c r="K60" i="7"/>
  <c r="K59" i="7"/>
  <c r="K58" i="7"/>
  <c r="K57" i="7"/>
  <c r="K56" i="7"/>
  <c r="K55" i="7"/>
  <c r="K54" i="7"/>
  <c r="K53" i="7"/>
  <c r="K52" i="7"/>
  <c r="K51" i="7"/>
  <c r="K50" i="7"/>
  <c r="K49" i="7"/>
  <c r="K48" i="7"/>
  <c r="K47" i="7"/>
  <c r="K46" i="7"/>
  <c r="K45" i="7"/>
  <c r="K44" i="7"/>
  <c r="K43" i="7"/>
  <c r="K42" i="7"/>
  <c r="K41" i="7"/>
  <c r="K40" i="7"/>
  <c r="K39" i="7"/>
  <c r="A39" i="7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9" i="7" s="1"/>
  <c r="A70" i="7" s="1"/>
  <c r="A71" i="7" s="1"/>
  <c r="A72" i="7" s="1"/>
  <c r="A73" i="7" s="1"/>
  <c r="A74" i="7" s="1"/>
  <c r="A75" i="7" s="1"/>
  <c r="A76" i="7" s="1"/>
  <c r="A77" i="7" s="1"/>
  <c r="A78" i="7" s="1"/>
  <c r="A79" i="7" s="1"/>
  <c r="A80" i="7" s="1"/>
  <c r="A81" i="7" s="1"/>
  <c r="A82" i="7" s="1"/>
  <c r="A83" i="7" s="1"/>
  <c r="A84" i="7" s="1"/>
  <c r="A85" i="7" s="1"/>
  <c r="A86" i="7" s="1"/>
  <c r="A87" i="7" s="1"/>
  <c r="A88" i="7" s="1"/>
  <c r="A89" i="7" s="1"/>
  <c r="A90" i="7" s="1"/>
  <c r="A91" i="7" s="1"/>
  <c r="A92" i="7" s="1"/>
  <c r="A93" i="7" s="1"/>
  <c r="K38" i="7"/>
  <c r="A38" i="7"/>
  <c r="K37" i="7"/>
  <c r="A37" i="7"/>
  <c r="T34" i="7"/>
  <c r="T66" i="7" s="1"/>
  <c r="O34" i="7"/>
  <c r="O66" i="7" s="1"/>
  <c r="J34" i="7"/>
  <c r="J66" i="7" s="1"/>
  <c r="H32" i="7"/>
  <c r="Z31" i="7"/>
  <c r="Q31" i="7"/>
  <c r="O39" i="8" s="1"/>
  <c r="P31" i="7"/>
  <c r="T39" i="8" s="1"/>
  <c r="O31" i="7"/>
  <c r="N31" i="7"/>
  <c r="E2" i="8" s="1"/>
  <c r="M31" i="7"/>
  <c r="L31" i="7"/>
  <c r="M30" i="7"/>
  <c r="L30" i="7"/>
  <c r="I30" i="7"/>
  <c r="I31" i="7" s="1"/>
  <c r="S32" i="7" s="1"/>
  <c r="H3" i="8" s="1"/>
  <c r="H30" i="7"/>
  <c r="H31" i="7" s="1"/>
  <c r="S31" i="7" s="1"/>
  <c r="H2" i="8" s="1"/>
  <c r="K29" i="7"/>
  <c r="K28" i="7"/>
  <c r="K27" i="7"/>
  <c r="K26" i="7"/>
  <c r="AH25" i="7"/>
  <c r="T25" i="7"/>
  <c r="T26" i="7" s="1"/>
  <c r="S25" i="7"/>
  <c r="S26" i="7" s="1"/>
  <c r="R25" i="7"/>
  <c r="R26" i="7" s="1"/>
  <c r="K25" i="7"/>
  <c r="K23" i="7"/>
  <c r="AR22" i="7"/>
  <c r="AQ22" i="7"/>
  <c r="AG25" i="7" s="1"/>
  <c r="AP22" i="7"/>
  <c r="AF25" i="7" s="1"/>
  <c r="AG22" i="7"/>
  <c r="AF22" i="7"/>
  <c r="AE22" i="7"/>
  <c r="AE25" i="7" s="1"/>
  <c r="K22" i="7"/>
  <c r="K21" i="7"/>
  <c r="K20" i="7"/>
  <c r="K19" i="7"/>
  <c r="K18" i="7"/>
  <c r="K17" i="7"/>
  <c r="K16" i="7"/>
  <c r="U15" i="7"/>
  <c r="K15" i="7"/>
  <c r="U14" i="7"/>
  <c r="K14" i="7"/>
  <c r="U13" i="7"/>
  <c r="K13" i="7"/>
  <c r="U12" i="7"/>
  <c r="K12" i="7"/>
  <c r="U11" i="7"/>
  <c r="K11" i="7"/>
  <c r="U10" i="7"/>
  <c r="K10" i="7"/>
  <c r="U9" i="7"/>
  <c r="U8" i="7"/>
  <c r="K8" i="7"/>
  <c r="U7" i="7"/>
  <c r="K7" i="7"/>
  <c r="U6" i="7"/>
  <c r="K6" i="7"/>
  <c r="U5" i="7"/>
  <c r="K5" i="7"/>
  <c r="J30" i="7"/>
  <c r="A34" i="7"/>
  <c r="A66" i="7" s="1"/>
  <c r="E34" i="8"/>
  <c r="E33" i="8"/>
  <c r="E32" i="8"/>
  <c r="E24" i="8"/>
  <c r="E23" i="8"/>
  <c r="E22" i="8"/>
  <c r="E9" i="8"/>
  <c r="E8" i="8"/>
  <c r="E7" i="8"/>
  <c r="R16" i="2" l="1"/>
  <c r="E36" i="8"/>
  <c r="C32" i="2"/>
  <c r="O32" i="2" s="1"/>
  <c r="L33" i="8" s="1"/>
  <c r="R16" i="1"/>
  <c r="E31" i="8"/>
  <c r="C32" i="1"/>
  <c r="O32" i="1" s="1"/>
  <c r="R16" i="5"/>
  <c r="O32" i="5"/>
  <c r="E11" i="8"/>
  <c r="U25" i="3"/>
  <c r="T16" i="3"/>
  <c r="K32" i="3"/>
  <c r="P32" i="3"/>
  <c r="Q32" i="3"/>
  <c r="N32" i="3"/>
  <c r="U25" i="4"/>
  <c r="K32" i="4"/>
  <c r="T16" i="4"/>
  <c r="P32" i="4"/>
  <c r="O32" i="4"/>
  <c r="N32" i="4"/>
  <c r="Q32" i="4"/>
  <c r="U25" i="5"/>
  <c r="K32" i="5"/>
  <c r="T16" i="5"/>
  <c r="N32" i="5"/>
  <c r="Q32" i="5"/>
  <c r="C32" i="6"/>
  <c r="Q32" i="6" s="1"/>
  <c r="L10" i="8" s="1"/>
  <c r="K30" i="7"/>
  <c r="Z45" i="8"/>
  <c r="E21" i="8"/>
  <c r="E16" i="8"/>
  <c r="H15" i="8"/>
  <c r="V12" i="8" s="1"/>
  <c r="U16" i="7"/>
  <c r="E6" i="8" s="1"/>
  <c r="J62" i="7"/>
  <c r="K62" i="7"/>
  <c r="Q7" i="8"/>
  <c r="Q32" i="8"/>
  <c r="Q22" i="8"/>
  <c r="Q17" i="8"/>
  <c r="Q12" i="8"/>
  <c r="H10" i="8"/>
  <c r="V7" i="8" s="1"/>
  <c r="AI25" i="7"/>
  <c r="AD25" i="7"/>
  <c r="Z32" i="7"/>
  <c r="Z33" i="7" s="1"/>
  <c r="T31" i="7"/>
  <c r="P32" i="2" l="1"/>
  <c r="L34" i="8" s="1"/>
  <c r="K32" i="2"/>
  <c r="N32" i="2"/>
  <c r="L32" i="8" s="1"/>
  <c r="Q32" i="2"/>
  <c r="L35" i="8" s="1"/>
  <c r="U25" i="2"/>
  <c r="T16" i="2"/>
  <c r="P32" i="1"/>
  <c r="Q32" i="1"/>
  <c r="K32" i="1"/>
  <c r="U25" i="1"/>
  <c r="N32" i="1"/>
  <c r="T16" i="1"/>
  <c r="P32" i="6"/>
  <c r="L9" i="8" s="1"/>
  <c r="U25" i="6"/>
  <c r="K32" i="6"/>
  <c r="T16" i="6"/>
  <c r="O32" i="6"/>
  <c r="L8" i="8" s="1"/>
  <c r="N32" i="6"/>
  <c r="L7" i="8" s="1"/>
  <c r="H19" i="8"/>
  <c r="H20" i="8"/>
  <c r="V17" i="8" s="1"/>
  <c r="U45" i="8"/>
  <c r="Z49" i="8" s="1"/>
  <c r="R16" i="7"/>
  <c r="S16" i="7"/>
  <c r="J31" i="7"/>
  <c r="O41" i="8" s="1"/>
  <c r="K31" i="7"/>
  <c r="T41" i="8" s="1"/>
  <c r="L23" i="8"/>
  <c r="H25" i="8"/>
  <c r="V22" i="8" s="1"/>
  <c r="L25" i="8"/>
  <c r="H24" i="8"/>
  <c r="L24" i="8"/>
  <c r="L22" i="8"/>
  <c r="H14" i="8"/>
  <c r="H9" i="8"/>
  <c r="E30" i="8"/>
  <c r="E29" i="8"/>
  <c r="E28" i="8"/>
  <c r="E27" i="8"/>
  <c r="U49" i="8" l="1"/>
  <c r="C32" i="7"/>
  <c r="Q32" i="7" s="1"/>
  <c r="L18" i="8"/>
  <c r="L15" i="8"/>
  <c r="L14" i="8"/>
  <c r="L12" i="8"/>
  <c r="L13" i="8"/>
  <c r="Q27" i="8"/>
  <c r="H29" i="8"/>
  <c r="T16" i="7" l="1"/>
  <c r="O32" i="7"/>
  <c r="K32" i="7"/>
  <c r="P32" i="7"/>
  <c r="N32" i="7"/>
  <c r="U25" i="7"/>
  <c r="L19" i="8"/>
  <c r="L20" i="8"/>
  <c r="L17" i="8"/>
  <c r="L28" i="8"/>
  <c r="H30" i="8"/>
  <c r="V27" i="8" s="1"/>
  <c r="L30" i="8" l="1"/>
  <c r="L27" i="8"/>
  <c r="L29" i="8"/>
  <c r="E4" i="8" l="1"/>
  <c r="E5" i="8"/>
  <c r="E3" i="8" l="1"/>
  <c r="Q2" i="8" s="1"/>
  <c r="A39" i="8" l="1"/>
  <c r="H4" i="8" l="1"/>
  <c r="H5" i="8"/>
  <c r="V2" i="8" s="1"/>
  <c r="AA2" i="8" l="1"/>
  <c r="A45" i="8"/>
  <c r="AA32" i="8"/>
  <c r="AA22" i="8"/>
  <c r="AA17" i="8"/>
  <c r="AA12" i="8"/>
  <c r="L5" i="8"/>
  <c r="L4" i="8"/>
  <c r="L2" i="8"/>
  <c r="L3" i="8"/>
  <c r="AA7" i="8" l="1"/>
  <c r="P45" i="8"/>
  <c r="K45" i="8"/>
  <c r="F45" i="8" l="1"/>
  <c r="E39" i="8" l="1"/>
  <c r="A49" i="8" s="1"/>
  <c r="AA27" i="8"/>
  <c r="K39" i="8" l="1"/>
  <c r="F49" i="8"/>
  <c r="P49" i="8"/>
  <c r="K49" i="8"/>
</calcChain>
</file>

<file path=xl/sharedStrings.xml><?xml version="1.0" encoding="utf-8"?>
<sst xmlns="http://schemas.openxmlformats.org/spreadsheetml/2006/main" count="1360" uniqueCount="264">
  <si>
    <t>No</t>
  </si>
  <si>
    <t>Service</t>
  </si>
  <si>
    <t>O/Taker</t>
  </si>
  <si>
    <t>Time In</t>
  </si>
  <si>
    <t>Time out</t>
  </si>
  <si>
    <t>Sub total</t>
  </si>
  <si>
    <t xml:space="preserve"> </t>
  </si>
  <si>
    <t>Reg No</t>
  </si>
  <si>
    <t xml:space="preserve"> Comment</t>
  </si>
  <si>
    <r>
      <t xml:space="preserve">Cars/T Hr </t>
    </r>
    <r>
      <rPr>
        <b/>
        <sz val="11"/>
        <color theme="1"/>
        <rFont val="맑은 고딕"/>
        <family val="3"/>
        <charset val="129"/>
      </rPr>
      <t>①</t>
    </r>
  </si>
  <si>
    <r>
      <t xml:space="preserve">Cars/T Hr </t>
    </r>
    <r>
      <rPr>
        <b/>
        <sz val="11"/>
        <color theme="1"/>
        <rFont val="맑은 고딕"/>
        <family val="3"/>
        <charset val="129"/>
      </rPr>
      <t>②</t>
    </r>
  </si>
  <si>
    <t>Sales/T Hr</t>
  </si>
  <si>
    <t>Total Hours</t>
  </si>
  <si>
    <t>QTY</t>
  </si>
  <si>
    <t>AMT</t>
  </si>
  <si>
    <t>CASH</t>
  </si>
  <si>
    <t>Daily Total</t>
  </si>
  <si>
    <t>Page: 2</t>
  </si>
  <si>
    <t>Total Hours</t>
    <phoneticPr fontId="4" type="noConversion"/>
  </si>
  <si>
    <t>RMKS</t>
    <phoneticPr fontId="4" type="noConversion"/>
  </si>
  <si>
    <t>CARD</t>
    <phoneticPr fontId="4" type="noConversion"/>
  </si>
  <si>
    <t>Docket No</t>
    <phoneticPr fontId="4" type="noConversion"/>
  </si>
  <si>
    <t>CASH</t>
    <phoneticPr fontId="4" type="noConversion"/>
  </si>
  <si>
    <t>ITEM</t>
    <phoneticPr fontId="4" type="noConversion"/>
  </si>
  <si>
    <t>Daily Report</t>
    <phoneticPr fontId="4" type="noConversion"/>
  </si>
  <si>
    <t>TIME</t>
    <phoneticPr fontId="4" type="noConversion"/>
  </si>
  <si>
    <t>NAME</t>
    <phoneticPr fontId="4" type="noConversion"/>
  </si>
  <si>
    <t>B2 card</t>
    <phoneticPr fontId="4" type="noConversion"/>
  </si>
  <si>
    <t>Subtotal</t>
    <phoneticPr fontId="4" type="noConversion"/>
  </si>
  <si>
    <t>Settlement</t>
    <phoneticPr fontId="4" type="noConversion"/>
  </si>
  <si>
    <t>Branch cards</t>
  </si>
  <si>
    <t>Merchant machine usage at B2</t>
  </si>
  <si>
    <t>B2 machine</t>
  </si>
  <si>
    <t>Settle amount</t>
  </si>
  <si>
    <t>Total</t>
  </si>
  <si>
    <t>BLH machine</t>
  </si>
  <si>
    <t>Wongo</t>
  </si>
  <si>
    <t>Merchant machine usage at GA</t>
  </si>
  <si>
    <t>GA machine</t>
  </si>
  <si>
    <t>B2/GA TOTAL</t>
  </si>
  <si>
    <t>Wongo machine</t>
  </si>
  <si>
    <t xml:space="preserve"> </t>
    <phoneticPr fontId="4" type="noConversion"/>
  </si>
  <si>
    <t>EXCL RSL</t>
    <phoneticPr fontId="4" type="noConversion"/>
  </si>
  <si>
    <t>NOV</t>
    <phoneticPr fontId="4" type="noConversion"/>
  </si>
  <si>
    <t>RSL</t>
    <phoneticPr fontId="4" type="noConversion"/>
  </si>
  <si>
    <t>GV</t>
    <phoneticPr fontId="4" type="noConversion"/>
  </si>
  <si>
    <t>GV CARD</t>
    <phoneticPr fontId="4" type="noConversion"/>
  </si>
  <si>
    <t>GV CASH</t>
    <phoneticPr fontId="4" type="noConversion"/>
  </si>
  <si>
    <t>Page total</t>
    <phoneticPr fontId="4" type="noConversion"/>
  </si>
  <si>
    <t>WEATHER</t>
    <phoneticPr fontId="4" type="noConversion"/>
  </si>
  <si>
    <t>REPORT by</t>
    <phoneticPr fontId="4" type="noConversion"/>
  </si>
  <si>
    <t>TOTAL STAFF</t>
    <phoneticPr fontId="4" type="noConversion"/>
  </si>
  <si>
    <t>Page: 3</t>
    <phoneticPr fontId="4" type="noConversion"/>
  </si>
  <si>
    <t>No of Cars</t>
    <phoneticPr fontId="4" type="noConversion"/>
  </si>
  <si>
    <t>Average</t>
    <phoneticPr fontId="4" type="noConversion"/>
  </si>
  <si>
    <t>TOTAL SALES</t>
    <phoneticPr fontId="4" type="noConversion"/>
  </si>
  <si>
    <t>Expense</t>
    <phoneticPr fontId="4" type="noConversion"/>
  </si>
  <si>
    <t>Cash</t>
    <phoneticPr fontId="4" type="noConversion"/>
  </si>
  <si>
    <t>Card</t>
    <phoneticPr fontId="4" type="noConversion"/>
  </si>
  <si>
    <t>CARS</t>
    <phoneticPr fontId="4" type="noConversion"/>
  </si>
  <si>
    <t>AMOUNT</t>
    <phoneticPr fontId="4" type="noConversion"/>
  </si>
  <si>
    <t>PERCENTAGE</t>
    <phoneticPr fontId="4" type="noConversion"/>
  </si>
  <si>
    <t>TOTAL CARS</t>
    <phoneticPr fontId="4" type="noConversion"/>
  </si>
  <si>
    <t>TOTAL AMOUNT</t>
    <phoneticPr fontId="4" type="noConversion"/>
  </si>
  <si>
    <t>AVERAGE</t>
    <phoneticPr fontId="4" type="noConversion"/>
  </si>
  <si>
    <t>RSL</t>
    <phoneticPr fontId="4" type="noConversion"/>
  </si>
  <si>
    <t>MON</t>
    <phoneticPr fontId="4" type="noConversion"/>
  </si>
  <si>
    <t>TUE</t>
    <phoneticPr fontId="4" type="noConversion"/>
  </si>
  <si>
    <t>WED</t>
    <phoneticPr fontId="4" type="noConversion"/>
  </si>
  <si>
    <t>THU</t>
    <phoneticPr fontId="4" type="noConversion"/>
  </si>
  <si>
    <t>SAT</t>
    <phoneticPr fontId="4" type="noConversion"/>
  </si>
  <si>
    <t>SUN</t>
    <phoneticPr fontId="4" type="noConversion"/>
  </si>
  <si>
    <t>TOTAL CARS</t>
  </si>
  <si>
    <t>TOTAL SALES</t>
    <phoneticPr fontId="4" type="noConversion"/>
  </si>
  <si>
    <t>AVERAGE</t>
    <phoneticPr fontId="4" type="noConversion"/>
  </si>
  <si>
    <t>GV</t>
    <phoneticPr fontId="4" type="noConversion"/>
  </si>
  <si>
    <t>GV SOLD</t>
    <phoneticPr fontId="4" type="noConversion"/>
  </si>
  <si>
    <t>B2 Daily Report</t>
    <phoneticPr fontId="4" type="noConversion"/>
  </si>
  <si>
    <t>SMALL</t>
    <phoneticPr fontId="4" type="noConversion"/>
  </si>
  <si>
    <t>MEDIUM</t>
    <phoneticPr fontId="4" type="noConversion"/>
  </si>
  <si>
    <t>LARGE</t>
    <phoneticPr fontId="4" type="noConversion"/>
  </si>
  <si>
    <t>TOTAL</t>
    <phoneticPr fontId="4" type="noConversion"/>
  </si>
  <si>
    <t>CARD CLOSING</t>
    <phoneticPr fontId="4" type="noConversion"/>
  </si>
  <si>
    <t>CASH CLOSING</t>
    <phoneticPr fontId="4" type="noConversion"/>
  </si>
  <si>
    <t>TOTAL CASH</t>
    <phoneticPr fontId="4" type="noConversion"/>
  </si>
  <si>
    <t>TOTAL CARD</t>
    <phoneticPr fontId="4" type="noConversion"/>
  </si>
  <si>
    <t>TOTAL RSL</t>
    <phoneticPr fontId="4" type="noConversion"/>
  </si>
  <si>
    <t>TOTAL GV</t>
    <phoneticPr fontId="4" type="noConversion"/>
  </si>
  <si>
    <t>Mobile</t>
    <phoneticPr fontId="4" type="noConversion"/>
  </si>
  <si>
    <t>Gender</t>
    <phoneticPr fontId="4" type="noConversion"/>
  </si>
  <si>
    <t>STAFF HRS</t>
    <phoneticPr fontId="4" type="noConversion"/>
  </si>
  <si>
    <t>M</t>
    <phoneticPr fontId="4" type="noConversion"/>
  </si>
  <si>
    <t>F</t>
    <phoneticPr fontId="4" type="noConversion"/>
  </si>
  <si>
    <t>FR I</t>
    <phoneticPr fontId="4" type="noConversion"/>
  </si>
  <si>
    <t xml:space="preserve">hrs </t>
    <phoneticPr fontId="4" type="noConversion"/>
  </si>
  <si>
    <t>no. staff</t>
    <phoneticPr fontId="4" type="noConversion"/>
  </si>
  <si>
    <t>REPORT BY</t>
    <phoneticPr fontId="4" type="noConversion"/>
  </si>
  <si>
    <t>28-02-2022</t>
    <phoneticPr fontId="4" type="noConversion"/>
  </si>
  <si>
    <t>01-03-2022</t>
    <phoneticPr fontId="4" type="noConversion"/>
  </si>
  <si>
    <t>02-03-2022</t>
    <phoneticPr fontId="4" type="noConversion"/>
  </si>
  <si>
    <t>03-03-2022</t>
    <phoneticPr fontId="4" type="noConversion"/>
  </si>
  <si>
    <t>04-03-2022</t>
    <phoneticPr fontId="4" type="noConversion"/>
  </si>
  <si>
    <t>05-03-2022</t>
    <phoneticPr fontId="4" type="noConversion"/>
  </si>
  <si>
    <t>06-02-2022</t>
    <phoneticPr fontId="4" type="noConversion"/>
  </si>
  <si>
    <t>AA9813</t>
    <phoneticPr fontId="4" type="noConversion"/>
  </si>
  <si>
    <t>0416166707</t>
    <phoneticPr fontId="4" type="noConversion"/>
  </si>
  <si>
    <t>M</t>
  </si>
  <si>
    <t>X/ST</t>
    <phoneticPr fontId="4" type="noConversion"/>
  </si>
  <si>
    <t>ERY51B</t>
    <phoneticPr fontId="4" type="noConversion"/>
  </si>
  <si>
    <t>0407770517</t>
    <phoneticPr fontId="4" type="noConversion"/>
  </si>
  <si>
    <t>F</t>
  </si>
  <si>
    <t>H</t>
    <phoneticPr fontId="4" type="noConversion"/>
  </si>
  <si>
    <t>CSI94H</t>
    <phoneticPr fontId="4" type="noConversion"/>
  </si>
  <si>
    <t>0406751801</t>
    <phoneticPr fontId="4" type="noConversion"/>
  </si>
  <si>
    <t>DVJ83H</t>
    <phoneticPr fontId="4" type="noConversion"/>
  </si>
  <si>
    <t>0433674098</t>
    <phoneticPr fontId="4" type="noConversion"/>
  </si>
  <si>
    <t>IN</t>
    <phoneticPr fontId="4" type="noConversion"/>
  </si>
  <si>
    <t>DHU51T</t>
    <phoneticPr fontId="4" type="noConversion"/>
  </si>
  <si>
    <t>0403073338</t>
    <phoneticPr fontId="4" type="noConversion"/>
  </si>
  <si>
    <t>PCL</t>
    <phoneticPr fontId="4" type="noConversion"/>
  </si>
  <si>
    <t>21030(6/6),22011(NEW)</t>
    <phoneticPr fontId="4" type="noConversion"/>
  </si>
  <si>
    <t>JOHN</t>
  </si>
  <si>
    <t>HENDRA</t>
  </si>
  <si>
    <t>ARIANTO</t>
  </si>
  <si>
    <t>KUROSH</t>
  </si>
  <si>
    <t>CJB09C</t>
    <phoneticPr fontId="4" type="noConversion"/>
  </si>
  <si>
    <t>0423407566</t>
    <phoneticPr fontId="4" type="noConversion"/>
  </si>
  <si>
    <t>BFE86C</t>
    <phoneticPr fontId="4" type="noConversion"/>
  </si>
  <si>
    <t>0435065659</t>
    <phoneticPr fontId="4" type="noConversion"/>
  </si>
  <si>
    <t>202112044(X)</t>
    <phoneticPr fontId="4" type="noConversion"/>
  </si>
  <si>
    <t>202112060(D)</t>
    <phoneticPr fontId="4" type="noConversion"/>
  </si>
  <si>
    <t>HEATHER</t>
    <phoneticPr fontId="4" type="noConversion"/>
  </si>
  <si>
    <t>CII15F</t>
    <phoneticPr fontId="4" type="noConversion"/>
  </si>
  <si>
    <t>0421600810</t>
    <phoneticPr fontId="4" type="noConversion"/>
  </si>
  <si>
    <t>CAE47M</t>
    <phoneticPr fontId="4" type="noConversion"/>
  </si>
  <si>
    <t>0405947767</t>
    <phoneticPr fontId="4" type="noConversion"/>
  </si>
  <si>
    <t>X</t>
    <phoneticPr fontId="4" type="noConversion"/>
  </si>
  <si>
    <t>NJT40J</t>
    <phoneticPr fontId="4" type="noConversion"/>
  </si>
  <si>
    <t>0433337443</t>
    <phoneticPr fontId="4" type="noConversion"/>
  </si>
  <si>
    <t>202112066-67(X)</t>
    <phoneticPr fontId="4" type="noConversion"/>
  </si>
  <si>
    <t>JOHN</t>
    <phoneticPr fontId="4" type="noConversion"/>
  </si>
  <si>
    <t>MIX</t>
    <phoneticPr fontId="4" type="noConversion"/>
  </si>
  <si>
    <t>EIU87U</t>
    <phoneticPr fontId="4" type="noConversion"/>
  </si>
  <si>
    <t>0479178600</t>
    <phoneticPr fontId="4" type="noConversion"/>
  </si>
  <si>
    <t>D/ST</t>
    <phoneticPr fontId="4" type="noConversion"/>
  </si>
  <si>
    <t>JUNIOR</t>
    <phoneticPr fontId="4" type="noConversion"/>
  </si>
  <si>
    <t>AYD08T</t>
    <phoneticPr fontId="4" type="noConversion"/>
  </si>
  <si>
    <t>0403749869</t>
    <phoneticPr fontId="4" type="noConversion"/>
  </si>
  <si>
    <t>D</t>
    <phoneticPr fontId="4" type="noConversion"/>
  </si>
  <si>
    <t>EHU67D</t>
    <phoneticPr fontId="4" type="noConversion"/>
  </si>
  <si>
    <t>0413116333</t>
    <phoneticPr fontId="4" type="noConversion"/>
  </si>
  <si>
    <t>GV3</t>
    <phoneticPr fontId="4" type="noConversion"/>
  </si>
  <si>
    <t>202784(4-6/6)</t>
    <phoneticPr fontId="4" type="noConversion"/>
  </si>
  <si>
    <t>WSD79J</t>
    <phoneticPr fontId="4" type="noConversion"/>
  </si>
  <si>
    <t>0402662822</t>
    <phoneticPr fontId="4" type="noConversion"/>
  </si>
  <si>
    <t>CTG51T</t>
    <phoneticPr fontId="4" type="noConversion"/>
  </si>
  <si>
    <t>0410523674</t>
    <phoneticPr fontId="4" type="noConversion"/>
  </si>
  <si>
    <t>H/ST</t>
    <phoneticPr fontId="4" type="noConversion"/>
  </si>
  <si>
    <t>RAIN</t>
    <phoneticPr fontId="4" type="noConversion"/>
  </si>
  <si>
    <t>DGA72H</t>
    <phoneticPr fontId="4" type="noConversion"/>
  </si>
  <si>
    <t>0450933327</t>
    <phoneticPr fontId="4" type="noConversion"/>
  </si>
  <si>
    <t>DSP67T</t>
    <phoneticPr fontId="4" type="noConversion"/>
  </si>
  <si>
    <t>0408849477</t>
    <phoneticPr fontId="4" type="noConversion"/>
  </si>
  <si>
    <t>ZZH131</t>
    <phoneticPr fontId="4" type="noConversion"/>
  </si>
  <si>
    <t>0447808524</t>
    <phoneticPr fontId="4" type="noConversion"/>
  </si>
  <si>
    <t>NBN03G</t>
  </si>
  <si>
    <t>0422000063</t>
  </si>
  <si>
    <t>D/ST</t>
  </si>
  <si>
    <t>BBQ39E</t>
  </si>
  <si>
    <t>0414663656</t>
  </si>
  <si>
    <t>D/ID</t>
  </si>
  <si>
    <t>BNQ244</t>
  </si>
  <si>
    <t>0405449216</t>
  </si>
  <si>
    <t>H</t>
  </si>
  <si>
    <t>ESP00N</t>
  </si>
  <si>
    <t>0431511601</t>
  </si>
  <si>
    <t>D</t>
  </si>
  <si>
    <t>DYR84T</t>
  </si>
  <si>
    <t>0418603326</t>
  </si>
  <si>
    <t>DSC68B</t>
  </si>
  <si>
    <t>0418677764</t>
  </si>
  <si>
    <t>PCS</t>
  </si>
  <si>
    <t>EBJ26B</t>
  </si>
  <si>
    <t>0411896960</t>
  </si>
  <si>
    <t>X</t>
  </si>
  <si>
    <t>JUNIOR</t>
  </si>
  <si>
    <t>HEATHER</t>
  </si>
  <si>
    <t>ANTHONY</t>
  </si>
  <si>
    <t>DSA75V</t>
  </si>
  <si>
    <t>0438910161</t>
  </si>
  <si>
    <t>IN/ST</t>
  </si>
  <si>
    <t>NCC11H</t>
  </si>
  <si>
    <t>0409818331</t>
  </si>
  <si>
    <t>EKJ74X</t>
  </si>
  <si>
    <t>0452367828</t>
  </si>
  <si>
    <t>IN</t>
  </si>
  <si>
    <t>634VBT</t>
  </si>
  <si>
    <t>0411558500</t>
  </si>
  <si>
    <t>EDO02R</t>
  </si>
  <si>
    <t>0452233913</t>
  </si>
  <si>
    <t>CDP54G</t>
  </si>
  <si>
    <t>0408228252</t>
  </si>
  <si>
    <t>DVB53H</t>
  </si>
  <si>
    <t>0439439741</t>
  </si>
  <si>
    <t>21044(6/6)</t>
    <phoneticPr fontId="4" type="noConversion"/>
  </si>
  <si>
    <t>PETER</t>
  </si>
  <si>
    <t>CHRIS</t>
  </si>
  <si>
    <t>IN/ST</t>
    <phoneticPr fontId="4" type="noConversion"/>
  </si>
  <si>
    <t>ELY12W</t>
    <phoneticPr fontId="4" type="noConversion"/>
  </si>
  <si>
    <t>0426464093</t>
    <phoneticPr fontId="4" type="noConversion"/>
  </si>
  <si>
    <t>DJA58X</t>
    <phoneticPr fontId="4" type="noConversion"/>
  </si>
  <si>
    <t>0422974080</t>
    <phoneticPr fontId="4" type="noConversion"/>
  </si>
  <si>
    <t>F/D</t>
    <phoneticPr fontId="4" type="noConversion"/>
  </si>
  <si>
    <t>TAX</t>
    <phoneticPr fontId="4" type="noConversion"/>
  </si>
  <si>
    <t>EBP90G</t>
    <phoneticPr fontId="4" type="noConversion"/>
  </si>
  <si>
    <t>0405728253</t>
    <phoneticPr fontId="4" type="noConversion"/>
  </si>
  <si>
    <t>BYA51W</t>
    <phoneticPr fontId="4" type="noConversion"/>
  </si>
  <si>
    <t>0411630923</t>
    <phoneticPr fontId="4" type="noConversion"/>
  </si>
  <si>
    <t>202202065(X)</t>
    <phoneticPr fontId="4" type="noConversion"/>
  </si>
  <si>
    <t>DPM19L</t>
    <phoneticPr fontId="4" type="noConversion"/>
  </si>
  <si>
    <t>0424315781</t>
    <phoneticPr fontId="4" type="noConversion"/>
  </si>
  <si>
    <t>DAO82R</t>
    <phoneticPr fontId="4" type="noConversion"/>
  </si>
  <si>
    <t>0402841531</t>
    <phoneticPr fontId="4" type="noConversion"/>
  </si>
  <si>
    <t>PCS</t>
    <phoneticPr fontId="4" type="noConversion"/>
  </si>
  <si>
    <t>21009(6/6),22008(NEW)</t>
    <phoneticPr fontId="4" type="noConversion"/>
  </si>
  <si>
    <t>ELO50K</t>
    <phoneticPr fontId="4" type="noConversion"/>
  </si>
  <si>
    <t>0417478029</t>
    <phoneticPr fontId="4" type="noConversion"/>
  </si>
  <si>
    <t>DJP71U</t>
    <phoneticPr fontId="4" type="noConversion"/>
  </si>
  <si>
    <t>0411269889</t>
    <phoneticPr fontId="4" type="noConversion"/>
  </si>
  <si>
    <t>DHA32R</t>
    <phoneticPr fontId="4" type="noConversion"/>
  </si>
  <si>
    <t>0414286990</t>
    <phoneticPr fontId="4" type="noConversion"/>
  </si>
  <si>
    <t>CLOUDY</t>
    <phoneticPr fontId="4" type="noConversion"/>
  </si>
  <si>
    <t>KAVIN</t>
    <phoneticPr fontId="4" type="noConversion"/>
  </si>
  <si>
    <t>CHN05H</t>
    <phoneticPr fontId="4" type="noConversion"/>
  </si>
  <si>
    <t>0452335670</t>
    <phoneticPr fontId="4" type="noConversion"/>
  </si>
  <si>
    <t>21039(3/6)</t>
    <phoneticPr fontId="4" type="noConversion"/>
  </si>
  <si>
    <t>YJY73P</t>
    <phoneticPr fontId="4" type="noConversion"/>
  </si>
  <si>
    <t>04487801277</t>
    <phoneticPr fontId="4" type="noConversion"/>
  </si>
  <si>
    <t>EF076</t>
    <phoneticPr fontId="4" type="noConversion"/>
  </si>
  <si>
    <t>04187913425</t>
    <phoneticPr fontId="4" type="noConversion"/>
  </si>
  <si>
    <t>DLL91X</t>
    <phoneticPr fontId="4" type="noConversion"/>
  </si>
  <si>
    <t>0450227584</t>
    <phoneticPr fontId="4" type="noConversion"/>
  </si>
  <si>
    <t>ERB24W</t>
    <phoneticPr fontId="4" type="noConversion"/>
  </si>
  <si>
    <t>0452289808</t>
    <phoneticPr fontId="4" type="noConversion"/>
  </si>
  <si>
    <t>EIX63K</t>
    <phoneticPr fontId="4" type="noConversion"/>
  </si>
  <si>
    <t>0413707449</t>
    <phoneticPr fontId="4" type="noConversion"/>
  </si>
  <si>
    <t>CCWWW</t>
    <phoneticPr fontId="4" type="noConversion"/>
  </si>
  <si>
    <t>0406531188</t>
    <phoneticPr fontId="4" type="noConversion"/>
  </si>
  <si>
    <t>21012(2/6)</t>
    <phoneticPr fontId="4" type="noConversion"/>
  </si>
  <si>
    <t>NBX79C</t>
    <phoneticPr fontId="4" type="noConversion"/>
  </si>
  <si>
    <t>0418411143</t>
    <phoneticPr fontId="4" type="noConversion"/>
  </si>
  <si>
    <t>CJM46A</t>
    <phoneticPr fontId="4" type="noConversion"/>
  </si>
  <si>
    <t>0411511580</t>
    <phoneticPr fontId="4" type="noConversion"/>
  </si>
  <si>
    <t>EHU86W</t>
    <phoneticPr fontId="4" type="noConversion"/>
  </si>
  <si>
    <t>0402596192</t>
    <phoneticPr fontId="4" type="noConversion"/>
  </si>
  <si>
    <t>EIO22J</t>
    <phoneticPr fontId="4" type="noConversion"/>
  </si>
  <si>
    <t>0418635924</t>
    <phoneticPr fontId="4" type="noConversion"/>
  </si>
  <si>
    <t>CLB95P</t>
    <phoneticPr fontId="4" type="noConversion"/>
  </si>
  <si>
    <t>0414407275</t>
    <phoneticPr fontId="4" type="noConversion"/>
  </si>
  <si>
    <t>BJZ08C</t>
    <phoneticPr fontId="4" type="noConversion"/>
  </si>
  <si>
    <t>0402660628</t>
    <phoneticPr fontId="4" type="noConversion"/>
  </si>
  <si>
    <t>IN/ID</t>
    <phoneticPr fontId="4" type="noConversion"/>
  </si>
  <si>
    <t>EHD76R</t>
    <phoneticPr fontId="4" type="noConversion"/>
  </si>
  <si>
    <t>0402208123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</si>
</sst>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42" formatCode="_-&quot;₩&quot;* #,##0_-;\-&quot;₩&quot;* #,##0_-;_-&quot;₩&quot;* &quot;-&quot;_-;_-@_-"/>
    <numFmt numFmtId="24" formatCode="\$#,##0_);[Red]\(\$#,##0\)"/>
    <numFmt numFmtId="26" formatCode="\$#,##0.00_);[Red]\(\$#,##0.00\)"/>
    <numFmt numFmtId="176" formatCode="\$#,##0.00"/>
    <numFmt numFmtId="177" formatCode="h:mm;@"/>
    <numFmt numFmtId="178" formatCode="0.00_);[Red]\(0.00\)"/>
    <numFmt numFmtId="179" formatCode="0_);[Red]\(0\)"/>
    <numFmt numFmtId="180" formatCode="0.00_ "/>
    <numFmt numFmtId="181" formatCode="#,##0.0;[Red]#,##0.0"/>
    <numFmt numFmtId="182" formatCode="[$$-C09]#,##0.00"/>
    <numFmt numFmtId="183" formatCode="_-\$* #,##0.00_ ;_-\$* \-#,##0.00\ ;_-\$* &quot;-&quot;??_ ;_-@_ "/>
    <numFmt numFmtId="184" formatCode="#,##0.00_);[Red]\(#,##0.00\)"/>
  </numFmts>
  <fonts count="30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맑은 고딕"/>
      <family val="2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2"/>
      <name val="맑은 고딕"/>
      <family val="3"/>
      <charset val="129"/>
      <scheme val="minor"/>
    </font>
    <font>
      <sz val="11"/>
      <name val="맑은 고딕"/>
      <family val="2"/>
      <scheme val="minor"/>
    </font>
    <font>
      <b/>
      <sz val="11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b/>
      <sz val="2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8"/>
      <color theme="0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8"/>
      <color theme="0"/>
      <name val="맑은 고딕"/>
      <family val="3"/>
      <charset val="129"/>
      <scheme val="minor"/>
    </font>
    <font>
      <sz val="12"/>
      <color theme="1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A5A5A5"/>
      </patternFill>
    </fill>
    <fill>
      <patternFill patternType="solid">
        <fgColor rgb="FFF2F2F2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6EFCE"/>
      </patternFill>
    </fill>
  </fills>
  <borders count="6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8" fillId="3" borderId="33" applyNumberFormat="0" applyAlignment="0" applyProtection="0">
      <alignment vertical="center"/>
    </xf>
    <xf numFmtId="42" fontId="12" fillId="0" borderId="0" applyFont="0" applyFill="0" applyBorder="0" applyAlignment="0" applyProtection="0">
      <alignment vertical="center"/>
    </xf>
    <xf numFmtId="0" fontId="13" fillId="4" borderId="36" applyNumberFormat="0" applyAlignment="0" applyProtection="0">
      <alignment vertical="center"/>
    </xf>
    <xf numFmtId="0" fontId="24" fillId="14" borderId="0" applyNumberFormat="0" applyBorder="0" applyAlignment="0" applyProtection="0">
      <alignment vertical="center"/>
    </xf>
  </cellStyleXfs>
  <cellXfs count="738">
    <xf numFmtId="0" fontId="0" fillId="0" borderId="0" xfId="0"/>
    <xf numFmtId="0" fontId="0" fillId="0" borderId="10" xfId="0" applyBorder="1"/>
    <xf numFmtId="177" fontId="0" fillId="0" borderId="3" xfId="0" applyNumberFormat="1" applyBorder="1"/>
    <xf numFmtId="177" fontId="0" fillId="0" borderId="5" xfId="0" applyNumberFormat="1" applyBorder="1"/>
    <xf numFmtId="178" fontId="0" fillId="0" borderId="16" xfId="0" applyNumberFormat="1" applyBorder="1"/>
    <xf numFmtId="0" fontId="0" fillId="0" borderId="9" xfId="0" applyBorder="1"/>
    <xf numFmtId="177" fontId="0" fillId="0" borderId="1" xfId="0" applyNumberFormat="1" applyBorder="1"/>
    <xf numFmtId="177" fontId="0" fillId="0" borderId="2" xfId="0" applyNumberFormat="1" applyBorder="1"/>
    <xf numFmtId="178" fontId="0" fillId="0" borderId="15" xfId="0" applyNumberFormat="1" applyBorder="1"/>
    <xf numFmtId="0" fontId="0" fillId="0" borderId="25" xfId="0" applyBorder="1" applyAlignment="1">
      <alignment shrinkToFit="1"/>
    </xf>
    <xf numFmtId="177" fontId="0" fillId="0" borderId="25" xfId="0" applyNumberFormat="1" applyBorder="1" applyAlignment="1">
      <alignment shrinkToFit="1"/>
    </xf>
    <xf numFmtId="178" fontId="0" fillId="0" borderId="24" xfId="0" applyNumberFormat="1" applyBorder="1" applyAlignment="1">
      <alignment shrinkToFit="1"/>
    </xf>
    <xf numFmtId="26" fontId="0" fillId="2" borderId="4" xfId="0" applyNumberFormat="1" applyFill="1" applyBorder="1" applyAlignment="1">
      <alignment horizontal="center" shrinkToFit="1"/>
    </xf>
    <xf numFmtId="179" fontId="0" fillId="2" borderId="4" xfId="0" applyNumberFormat="1" applyFill="1" applyBorder="1" applyAlignment="1">
      <alignment horizontal="center" vertical="center" shrinkToFit="1"/>
    </xf>
    <xf numFmtId="0" fontId="0" fillId="0" borderId="0" xfId="0" applyBorder="1" applyAlignment="1">
      <alignment shrinkToFit="1"/>
    </xf>
    <xf numFmtId="0" fontId="0" fillId="0" borderId="31" xfId="0" applyBorder="1" applyAlignment="1">
      <alignment shrinkToFit="1"/>
    </xf>
    <xf numFmtId="42" fontId="7" fillId="0" borderId="1" xfId="2" applyFont="1" applyFill="1" applyBorder="1" applyAlignment="1">
      <alignment vertical="center" shrinkToFit="1"/>
    </xf>
    <xf numFmtId="0" fontId="0" fillId="0" borderId="0" xfId="0" applyFill="1" applyBorder="1" applyAlignment="1">
      <alignment shrinkToFit="1"/>
    </xf>
    <xf numFmtId="0" fontId="0" fillId="0" borderId="26" xfId="0" applyBorder="1"/>
    <xf numFmtId="0" fontId="0" fillId="0" borderId="25" xfId="0" applyBorder="1" applyAlignment="1">
      <alignment horizontal="center" shrinkToFit="1"/>
    </xf>
    <xf numFmtId="0" fontId="16" fillId="0" borderId="1" xfId="3" applyFont="1" applyFill="1" applyBorder="1" applyAlignment="1">
      <alignment horizontal="center" shrinkToFit="1"/>
    </xf>
    <xf numFmtId="182" fontId="0" fillId="0" borderId="1" xfId="0" applyNumberFormat="1" applyFill="1" applyBorder="1" applyAlignment="1">
      <alignment shrinkToFit="1"/>
    </xf>
    <xf numFmtId="0" fontId="0" fillId="0" borderId="1" xfId="0" applyFill="1" applyBorder="1" applyAlignment="1">
      <alignment shrinkToFit="1"/>
    </xf>
    <xf numFmtId="182" fontId="0" fillId="5" borderId="1" xfId="0" applyNumberFormat="1" applyFill="1" applyBorder="1" applyAlignment="1">
      <alignment shrinkToFit="1"/>
    </xf>
    <xf numFmtId="0" fontId="0" fillId="0" borderId="1" xfId="0" applyBorder="1" applyAlignment="1">
      <alignment vertical="center" shrinkToFit="1"/>
    </xf>
    <xf numFmtId="182" fontId="0" fillId="0" borderId="1" xfId="0" applyNumberFormat="1" applyBorder="1" applyAlignment="1">
      <alignment vertical="center" shrinkToFit="1"/>
    </xf>
    <xf numFmtId="0" fontId="0" fillId="2" borderId="9" xfId="0" applyFill="1" applyBorder="1" applyAlignment="1">
      <alignment shrinkToFit="1"/>
    </xf>
    <xf numFmtId="0" fontId="16" fillId="0" borderId="1" xfId="3" applyFont="1" applyFill="1" applyBorder="1" applyAlignment="1">
      <alignment horizontal="left" shrinkToFit="1"/>
    </xf>
    <xf numFmtId="0" fontId="16" fillId="0" borderId="1" xfId="3" applyFont="1" applyFill="1" applyBorder="1" applyAlignment="1">
      <alignment shrinkToFit="1"/>
    </xf>
    <xf numFmtId="26" fontId="14" fillId="0" borderId="0" xfId="0" applyNumberFormat="1" applyFont="1" applyFill="1" applyBorder="1" applyAlignment="1">
      <alignment shrinkToFit="1"/>
    </xf>
    <xf numFmtId="0" fontId="16" fillId="0" borderId="40" xfId="3" applyFont="1" applyFill="1" applyBorder="1" applyAlignment="1">
      <alignment horizontal="left" shrinkToFit="1"/>
    </xf>
    <xf numFmtId="177" fontId="0" fillId="2" borderId="4" xfId="0" applyNumberFormat="1" applyFill="1" applyBorder="1" applyAlignment="1">
      <alignment horizontal="center" shrinkToFit="1"/>
    </xf>
    <xf numFmtId="177" fontId="0" fillId="2" borderId="6" xfId="0" applyNumberFormat="1" applyFill="1" applyBorder="1" applyAlignment="1">
      <alignment horizontal="center" shrinkToFit="1"/>
    </xf>
    <xf numFmtId="0" fontId="0" fillId="2" borderId="19" xfId="0" applyFill="1" applyBorder="1" applyAlignment="1">
      <alignment shrinkToFit="1"/>
    </xf>
    <xf numFmtId="0" fontId="16" fillId="0" borderId="26" xfId="3" applyFont="1" applyFill="1" applyBorder="1" applyAlignment="1">
      <alignment shrinkToFit="1"/>
    </xf>
    <xf numFmtId="0" fontId="0" fillId="0" borderId="0" xfId="0" applyAlignment="1">
      <alignment shrinkToFit="1"/>
    </xf>
    <xf numFmtId="0" fontId="0" fillId="5" borderId="0" xfId="0" applyFill="1" applyAlignment="1">
      <alignment shrinkToFit="1"/>
    </xf>
    <xf numFmtId="0" fontId="0" fillId="0" borderId="0" xfId="0" applyFill="1" applyAlignment="1">
      <alignment shrinkToFit="1"/>
    </xf>
    <xf numFmtId="182" fontId="0" fillId="0" borderId="0" xfId="0" applyNumberFormat="1" applyFill="1" applyBorder="1" applyAlignment="1">
      <alignment shrinkToFit="1"/>
    </xf>
    <xf numFmtId="178" fontId="0" fillId="0" borderId="0" xfId="0" applyNumberFormat="1" applyAlignment="1">
      <alignment shrinkToFit="1"/>
    </xf>
    <xf numFmtId="178" fontId="0" fillId="0" borderId="0" xfId="0" applyNumberFormat="1" applyFill="1" applyAlignment="1">
      <alignment shrinkToFit="1"/>
    </xf>
    <xf numFmtId="0" fontId="0" fillId="0" borderId="0" xfId="0" applyFill="1" applyBorder="1" applyAlignment="1">
      <alignment horizontal="left" shrinkToFit="1"/>
    </xf>
    <xf numFmtId="176" fontId="0" fillId="0" borderId="0" xfId="0" applyNumberFormat="1" applyFill="1" applyBorder="1" applyAlignment="1">
      <alignment shrinkToFit="1"/>
    </xf>
    <xf numFmtId="26" fontId="0" fillId="0" borderId="0" xfId="0" applyNumberFormat="1" applyFill="1" applyBorder="1" applyAlignment="1">
      <alignment shrinkToFit="1"/>
    </xf>
    <xf numFmtId="176" fontId="0" fillId="0" borderId="0" xfId="0" applyNumberFormat="1" applyAlignment="1">
      <alignment shrinkToFit="1"/>
    </xf>
    <xf numFmtId="182" fontId="0" fillId="0" borderId="1" xfId="0" applyNumberFormat="1" applyBorder="1" applyAlignment="1">
      <alignment shrinkToFit="1"/>
    </xf>
    <xf numFmtId="0" fontId="0" fillId="2" borderId="0" xfId="0" applyFill="1" applyAlignment="1">
      <alignment shrinkToFit="1"/>
    </xf>
    <xf numFmtId="0" fontId="0" fillId="2" borderId="0" xfId="0" applyFill="1" applyBorder="1" applyAlignment="1">
      <alignment horizontal="left" shrinkToFit="1"/>
    </xf>
    <xf numFmtId="180" fontId="0" fillId="2" borderId="0" xfId="0" applyNumberFormat="1" applyFill="1" applyAlignment="1">
      <alignment shrinkToFit="1"/>
    </xf>
    <xf numFmtId="26" fontId="0" fillId="2" borderId="0" xfId="0" applyNumberFormat="1" applyFill="1" applyAlignment="1">
      <alignment shrinkToFit="1"/>
    </xf>
    <xf numFmtId="182" fontId="0" fillId="2" borderId="0" xfId="0" applyNumberFormat="1" applyFill="1" applyAlignment="1">
      <alignment shrinkToFit="1"/>
    </xf>
    <xf numFmtId="26" fontId="0" fillId="5" borderId="1" xfId="0" applyNumberFormat="1" applyFill="1" applyBorder="1" applyAlignment="1">
      <alignment shrinkToFit="1"/>
    </xf>
    <xf numFmtId="26" fontId="0" fillId="0" borderId="0" xfId="0" applyNumberFormat="1" applyFill="1" applyAlignment="1">
      <alignment shrinkToFit="1"/>
    </xf>
    <xf numFmtId="181" fontId="0" fillId="0" borderId="0" xfId="0" applyNumberFormat="1" applyAlignment="1">
      <alignment shrinkToFit="1"/>
    </xf>
    <xf numFmtId="26" fontId="0" fillId="0" borderId="1" xfId="0" applyNumberFormat="1" applyBorder="1" applyAlignment="1">
      <alignment shrinkToFit="1"/>
    </xf>
    <xf numFmtId="26" fontId="0" fillId="0" borderId="0" xfId="0" applyNumberFormat="1" applyAlignment="1">
      <alignment shrinkToFit="1"/>
    </xf>
    <xf numFmtId="180" fontId="0" fillId="0" borderId="1" xfId="0" applyNumberFormat="1" applyBorder="1" applyAlignment="1">
      <alignment shrinkToFit="1"/>
    </xf>
    <xf numFmtId="0" fontId="5" fillId="0" borderId="1" xfId="0" applyFont="1" applyBorder="1" applyAlignment="1">
      <alignment shrinkToFit="1"/>
    </xf>
    <xf numFmtId="26" fontId="5" fillId="0" borderId="1" xfId="0" applyNumberFormat="1" applyFont="1" applyBorder="1" applyAlignment="1">
      <alignment shrinkToFit="1"/>
    </xf>
    <xf numFmtId="182" fontId="0" fillId="0" borderId="0" xfId="0" applyNumberFormat="1" applyFill="1" applyAlignment="1">
      <alignment shrinkToFit="1"/>
    </xf>
    <xf numFmtId="0" fontId="5" fillId="0" borderId="13" xfId="0" applyFont="1" applyBorder="1" applyAlignment="1">
      <alignment shrinkToFit="1"/>
    </xf>
    <xf numFmtId="0" fontId="5" fillId="0" borderId="14" xfId="0" applyFont="1" applyBorder="1" applyAlignment="1">
      <alignment shrinkToFit="1"/>
    </xf>
    <xf numFmtId="177" fontId="0" fillId="0" borderId="0" xfId="0" applyNumberFormat="1" applyAlignment="1">
      <alignment shrinkToFit="1"/>
    </xf>
    <xf numFmtId="0" fontId="11" fillId="0" borderId="1" xfId="0" applyFont="1" applyBorder="1" applyAlignment="1">
      <alignment horizontal="left" shrinkToFit="1"/>
    </xf>
    <xf numFmtId="0" fontId="14" fillId="0" borderId="1" xfId="0" applyFont="1" applyBorder="1" applyAlignment="1">
      <alignment shrinkToFit="1"/>
    </xf>
    <xf numFmtId="0" fontId="0" fillId="0" borderId="39" xfId="0" applyBorder="1" applyAlignment="1">
      <alignment horizontal="left" shrinkToFit="1"/>
    </xf>
    <xf numFmtId="0" fontId="0" fillId="0" borderId="26" xfId="0" applyBorder="1" applyAlignment="1">
      <alignment horizontal="left"/>
    </xf>
    <xf numFmtId="0" fontId="0" fillId="0" borderId="1" xfId="0" applyBorder="1" applyAlignment="1">
      <alignment horizontal="left"/>
    </xf>
    <xf numFmtId="0" fontId="0" fillId="0" borderId="1" xfId="0" applyBorder="1"/>
    <xf numFmtId="178" fontId="16" fillId="0" borderId="4" xfId="0" applyNumberFormat="1" applyFont="1" applyBorder="1" applyAlignment="1">
      <alignment horizontal="center" shrinkToFit="1"/>
    </xf>
    <xf numFmtId="0" fontId="5" fillId="0" borderId="28" xfId="0" applyFont="1" applyBorder="1" applyAlignment="1">
      <alignment shrinkToFit="1"/>
    </xf>
    <xf numFmtId="176" fontId="7" fillId="0" borderId="1" xfId="0" applyNumberFormat="1" applyFont="1" applyBorder="1" applyAlignment="1">
      <alignment vertical="center" shrinkToFit="1"/>
    </xf>
    <xf numFmtId="176" fontId="7" fillId="0" borderId="15" xfId="0" applyNumberFormat="1" applyFont="1" applyBorder="1" applyAlignment="1">
      <alignment vertical="center" shrinkToFit="1"/>
    </xf>
    <xf numFmtId="26" fontId="7" fillId="0" borderId="1" xfId="0" applyNumberFormat="1" applyFont="1" applyBorder="1" applyAlignment="1">
      <alignment vertical="center" shrinkToFit="1"/>
    </xf>
    <xf numFmtId="26" fontId="7" fillId="0" borderId="15" xfId="0" applyNumberFormat="1" applyFont="1" applyBorder="1" applyAlignment="1">
      <alignment vertical="center" shrinkToFit="1"/>
    </xf>
    <xf numFmtId="24" fontId="7" fillId="0" borderId="1" xfId="0" applyNumberFormat="1" applyFont="1" applyBorder="1" applyAlignment="1">
      <alignment vertical="center" shrinkToFit="1"/>
    </xf>
    <xf numFmtId="24" fontId="0" fillId="0" borderId="1" xfId="0" applyNumberFormat="1" applyBorder="1"/>
    <xf numFmtId="0" fontId="0" fillId="0" borderId="17" xfId="0" applyBorder="1"/>
    <xf numFmtId="26" fontId="7" fillId="0" borderId="9" xfId="0" applyNumberFormat="1" applyFont="1" applyBorder="1" applyAlignment="1">
      <alignment horizontal="center" vertical="center" shrinkToFit="1"/>
    </xf>
    <xf numFmtId="0" fontId="0" fillId="0" borderId="19" xfId="0" applyBorder="1" applyAlignment="1">
      <alignment horizontal="left"/>
    </xf>
    <xf numFmtId="26" fontId="7" fillId="0" borderId="9" xfId="0" applyNumberFormat="1" applyFont="1" applyBorder="1" applyAlignment="1">
      <alignment vertical="center" shrinkToFit="1"/>
    </xf>
    <xf numFmtId="0" fontId="0" fillId="0" borderId="42" xfId="0" applyBorder="1"/>
    <xf numFmtId="178" fontId="5" fillId="6" borderId="12" xfId="0" applyNumberFormat="1" applyFont="1" applyFill="1" applyBorder="1" applyAlignment="1">
      <alignment shrinkToFit="1"/>
    </xf>
    <xf numFmtId="178" fontId="5" fillId="6" borderId="12" xfId="0" applyNumberFormat="1" applyFont="1" applyFill="1" applyBorder="1" applyAlignment="1">
      <alignment horizontal="center" shrinkToFit="1"/>
    </xf>
    <xf numFmtId="177" fontId="5" fillId="6" borderId="12" xfId="0" applyNumberFormat="1" applyFont="1" applyFill="1" applyBorder="1" applyAlignment="1">
      <alignment shrinkToFit="1"/>
    </xf>
    <xf numFmtId="177" fontId="5" fillId="6" borderId="12" xfId="0" applyNumberFormat="1" applyFont="1" applyFill="1" applyBorder="1" applyAlignment="1">
      <alignment horizontal="center" shrinkToFit="1"/>
    </xf>
    <xf numFmtId="0" fontId="5" fillId="6" borderId="41" xfId="0" applyFont="1" applyFill="1" applyBorder="1" applyAlignment="1">
      <alignment horizontal="center" shrinkToFit="1"/>
    </xf>
    <xf numFmtId="177" fontId="5" fillId="6" borderId="41" xfId="0" applyNumberFormat="1" applyFont="1" applyFill="1" applyBorder="1" applyAlignment="1">
      <alignment horizontal="center" shrinkToFit="1"/>
    </xf>
    <xf numFmtId="178" fontId="5" fillId="6" borderId="41" xfId="0" applyNumberFormat="1" applyFont="1" applyFill="1" applyBorder="1" applyAlignment="1">
      <alignment horizontal="center" shrinkToFit="1"/>
    </xf>
    <xf numFmtId="178" fontId="16" fillId="2" borderId="1" xfId="3" applyNumberFormat="1" applyFont="1" applyFill="1" applyBorder="1" applyAlignment="1">
      <alignment horizontal="center" shrinkToFit="1"/>
    </xf>
    <xf numFmtId="178" fontId="0" fillId="2" borderId="1" xfId="0" applyNumberFormat="1" applyFill="1" applyBorder="1" applyAlignment="1">
      <alignment horizontal="center" shrinkToFit="1"/>
    </xf>
    <xf numFmtId="178" fontId="14" fillId="0" borderId="4" xfId="0" applyNumberFormat="1" applyFont="1" applyBorder="1" applyAlignment="1">
      <alignment horizontal="center" shrinkToFit="1"/>
    </xf>
    <xf numFmtId="178" fontId="0" fillId="6" borderId="20" xfId="0" applyNumberFormat="1" applyFill="1" applyBorder="1" applyAlignment="1">
      <alignment horizontal="center" shrinkToFit="1"/>
    </xf>
    <xf numFmtId="0" fontId="14" fillId="6" borderId="52" xfId="0" applyFont="1" applyFill="1" applyBorder="1" applyAlignment="1">
      <alignment horizontal="left" shrinkToFit="1"/>
    </xf>
    <xf numFmtId="179" fontId="14" fillId="6" borderId="50" xfId="0" applyNumberFormat="1" applyFont="1" applyFill="1" applyBorder="1" applyAlignment="1">
      <alignment horizontal="center" vertical="center" shrinkToFit="1"/>
    </xf>
    <xf numFmtId="179" fontId="11" fillId="6" borderId="53" xfId="0" applyNumberFormat="1" applyFont="1" applyFill="1" applyBorder="1" applyAlignment="1">
      <alignment horizontal="left" shrinkToFit="1"/>
    </xf>
    <xf numFmtId="0" fontId="5" fillId="6" borderId="28" xfId="0" applyFont="1" applyFill="1" applyBorder="1" applyAlignment="1">
      <alignment horizontal="center" shrinkToFit="1"/>
    </xf>
    <xf numFmtId="178" fontId="5" fillId="6" borderId="1" xfId="0" applyNumberFormat="1" applyFont="1" applyFill="1" applyBorder="1" applyAlignment="1">
      <alignment horizontal="center" shrinkToFit="1"/>
    </xf>
    <xf numFmtId="176" fontId="5" fillId="6" borderId="13" xfId="0" applyNumberFormat="1" applyFont="1" applyFill="1" applyBorder="1" applyAlignment="1">
      <alignment horizontal="center" vertical="center" shrinkToFit="1"/>
    </xf>
    <xf numFmtId="176" fontId="5" fillId="6" borderId="10" xfId="0" applyNumberFormat="1" applyFont="1" applyFill="1" applyBorder="1" applyAlignment="1">
      <alignment horizontal="center" vertical="center" shrinkToFit="1"/>
    </xf>
    <xf numFmtId="0" fontId="14" fillId="6" borderId="19" xfId="0" applyFont="1" applyFill="1" applyBorder="1" applyAlignment="1">
      <alignment horizontal="center" shrinkToFit="1"/>
    </xf>
    <xf numFmtId="0" fontId="14" fillId="6" borderId="4" xfId="0" applyFont="1" applyFill="1" applyBorder="1" applyAlignment="1">
      <alignment horizontal="center" shrinkToFit="1"/>
    </xf>
    <xf numFmtId="0" fontId="15" fillId="6" borderId="3" xfId="0" applyFont="1" applyFill="1" applyBorder="1" applyAlignment="1">
      <alignment horizontal="center" shrinkToFit="1"/>
    </xf>
    <xf numFmtId="180" fontId="5" fillId="6" borderId="1" xfId="0" applyNumberFormat="1" applyFont="1" applyFill="1" applyBorder="1" applyAlignment="1">
      <alignment horizontal="center" shrinkToFit="1"/>
    </xf>
    <xf numFmtId="179" fontId="5" fillId="6" borderId="1" xfId="0" applyNumberFormat="1" applyFont="1" applyFill="1" applyBorder="1" applyAlignment="1">
      <alignment horizontal="center" shrinkToFit="1"/>
    </xf>
    <xf numFmtId="180" fontId="5" fillId="6" borderId="14" xfId="0" applyNumberFormat="1" applyFont="1" applyFill="1" applyBorder="1" applyAlignment="1">
      <alignment horizontal="center" shrinkToFit="1"/>
    </xf>
    <xf numFmtId="178" fontId="5" fillId="6" borderId="14" xfId="0" applyNumberFormat="1" applyFont="1" applyFill="1" applyBorder="1" applyAlignment="1">
      <alignment horizontal="center" shrinkToFit="1"/>
    </xf>
    <xf numFmtId="176" fontId="5" fillId="6" borderId="3" xfId="0" applyNumberFormat="1" applyFont="1" applyFill="1" applyBorder="1" applyAlignment="1">
      <alignment horizontal="center" shrinkToFit="1"/>
    </xf>
    <xf numFmtId="180" fontId="5" fillId="6" borderId="3" xfId="0" applyNumberFormat="1" applyFont="1" applyFill="1" applyBorder="1" applyAlignment="1">
      <alignment horizontal="center" shrinkToFit="1"/>
    </xf>
    <xf numFmtId="179" fontId="9" fillId="6" borderId="3" xfId="1" applyNumberFormat="1" applyFont="1" applyFill="1" applyBorder="1" applyAlignment="1">
      <alignment horizontal="center" vertical="center"/>
    </xf>
    <xf numFmtId="9" fontId="5" fillId="6" borderId="5" xfId="0" applyNumberFormat="1" applyFont="1" applyFill="1" applyBorder="1" applyAlignment="1">
      <alignment horizontal="center" shrinkToFit="1"/>
    </xf>
    <xf numFmtId="178" fontId="17" fillId="6" borderId="28" xfId="0" applyNumberFormat="1" applyFont="1" applyFill="1" applyBorder="1" applyAlignment="1">
      <alignment horizontal="center" vertical="center" shrinkToFit="1"/>
    </xf>
    <xf numFmtId="180" fontId="15" fillId="6" borderId="10" xfId="0" applyNumberFormat="1" applyFont="1" applyFill="1" applyBorder="1" applyAlignment="1">
      <alignment horizontal="center" shrinkToFit="1"/>
    </xf>
    <xf numFmtId="0" fontId="0" fillId="0" borderId="54" xfId="0" applyBorder="1" applyAlignment="1">
      <alignment shrinkToFit="1"/>
    </xf>
    <xf numFmtId="177" fontId="0" fillId="0" borderId="11" xfId="0" applyNumberFormat="1" applyBorder="1" applyAlignment="1">
      <alignment shrinkToFit="1"/>
    </xf>
    <xf numFmtId="178" fontId="0" fillId="0" borderId="38" xfId="0" applyNumberFormat="1" applyBorder="1" applyAlignment="1">
      <alignment shrinkToFit="1"/>
    </xf>
    <xf numFmtId="184" fontId="14" fillId="6" borderId="50" xfId="0" applyNumberFormat="1" applyFont="1" applyFill="1" applyBorder="1" applyAlignment="1">
      <alignment shrinkToFit="1"/>
    </xf>
    <xf numFmtId="179" fontId="5" fillId="6" borderId="2" xfId="0" applyNumberFormat="1" applyFont="1" applyFill="1" applyBorder="1" applyAlignment="1">
      <alignment horizontal="center" vertical="center" shrinkToFit="1"/>
    </xf>
    <xf numFmtId="0" fontId="0" fillId="0" borderId="4" xfId="0" applyBorder="1" applyAlignment="1">
      <alignment horizontal="center" shrinkToFit="1"/>
    </xf>
    <xf numFmtId="0" fontId="14" fillId="0" borderId="1" xfId="0" applyFont="1" applyBorder="1" applyAlignment="1">
      <alignment horizontal="center" shrinkToFit="1"/>
    </xf>
    <xf numFmtId="0" fontId="14" fillId="0" borderId="1" xfId="3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/>
    </xf>
    <xf numFmtId="0" fontId="11" fillId="0" borderId="4" xfId="0" applyFont="1" applyBorder="1" applyAlignment="1">
      <alignment horizontal="center" shrinkToFit="1"/>
    </xf>
    <xf numFmtId="178" fontId="16" fillId="0" borderId="1" xfId="3" applyNumberFormat="1" applyFont="1" applyFill="1" applyBorder="1" applyAlignment="1">
      <alignment horizontal="center" shrinkToFit="1"/>
    </xf>
    <xf numFmtId="178" fontId="2" fillId="0" borderId="4" xfId="0" applyNumberFormat="1" applyFont="1" applyBorder="1" applyAlignment="1">
      <alignment horizontal="center" shrinkToFit="1"/>
    </xf>
    <xf numFmtId="178" fontId="2" fillId="0" borderId="1" xfId="0" applyNumberFormat="1" applyFont="1" applyBorder="1" applyAlignment="1">
      <alignment horizontal="center" shrinkToFit="1"/>
    </xf>
    <xf numFmtId="178" fontId="16" fillId="2" borderId="4" xfId="0" applyNumberFormat="1" applyFont="1" applyFill="1" applyBorder="1" applyAlignment="1">
      <alignment horizontal="center" shrinkToFit="1"/>
    </xf>
    <xf numFmtId="0" fontId="0" fillId="0" borderId="1" xfId="0" applyBorder="1" applyAlignment="1">
      <alignment shrinkToFit="1"/>
    </xf>
    <xf numFmtId="0" fontId="3" fillId="0" borderId="19" xfId="0" applyFont="1" applyBorder="1" applyAlignment="1">
      <alignment horizontal="center" shrinkToFit="1"/>
    </xf>
    <xf numFmtId="0" fontId="2" fillId="2" borderId="4" xfId="0" applyFont="1" applyFill="1" applyBorder="1" applyAlignment="1">
      <alignment horizontal="center" shrinkToFit="1"/>
    </xf>
    <xf numFmtId="178" fontId="2" fillId="6" borderId="4" xfId="0" applyNumberFormat="1" applyFont="1" applyFill="1" applyBorder="1" applyAlignment="1">
      <alignment horizontal="center" shrinkToFit="1"/>
    </xf>
    <xf numFmtId="178" fontId="16" fillId="0" borderId="6" xfId="0" applyNumberFormat="1" applyFont="1" applyBorder="1" applyAlignment="1">
      <alignment horizontal="center" shrinkToFit="1"/>
    </xf>
    <xf numFmtId="0" fontId="0" fillId="0" borderId="1" xfId="0" applyBorder="1" applyAlignment="1">
      <alignment horizontal="left" shrinkToFit="1"/>
    </xf>
    <xf numFmtId="0" fontId="2" fillId="2" borderId="1" xfId="0" applyFont="1" applyFill="1" applyBorder="1" applyAlignment="1">
      <alignment horizontal="center" shrinkToFit="1"/>
    </xf>
    <xf numFmtId="0" fontId="7" fillId="2" borderId="1" xfId="0" applyFont="1" applyFill="1" applyBorder="1" applyAlignment="1">
      <alignment horizontal="left" shrinkToFit="1"/>
    </xf>
    <xf numFmtId="0" fontId="3" fillId="0" borderId="9" xfId="0" applyFont="1" applyBorder="1" applyAlignment="1">
      <alignment horizontal="center" shrinkToFit="1"/>
    </xf>
    <xf numFmtId="0" fontId="0" fillId="2" borderId="1" xfId="0" applyFill="1" applyBorder="1" applyAlignment="1">
      <alignment shrinkToFit="1"/>
    </xf>
    <xf numFmtId="0" fontId="14" fillId="0" borderId="13" xfId="0" applyFont="1" applyBorder="1" applyAlignment="1">
      <alignment horizontal="left" shrinkToFit="1"/>
    </xf>
    <xf numFmtId="179" fontId="14" fillId="0" borderId="14" xfId="0" applyNumberFormat="1" applyFont="1" applyBorder="1" applyAlignment="1">
      <alignment horizontal="center" vertical="center" shrinkToFit="1"/>
    </xf>
    <xf numFmtId="26" fontId="14" fillId="0" borderId="14" xfId="0" applyNumberFormat="1" applyFont="1" applyBorder="1" applyAlignment="1">
      <alignment shrinkToFit="1"/>
    </xf>
    <xf numFmtId="179" fontId="7" fillId="0" borderId="28" xfId="0" applyNumberFormat="1" applyFont="1" applyBorder="1" applyAlignment="1">
      <alignment vertical="center" shrinkToFit="1"/>
    </xf>
    <xf numFmtId="178" fontId="2" fillId="2" borderId="1" xfId="0" applyNumberFormat="1" applyFont="1" applyFill="1" applyBorder="1" applyAlignment="1">
      <alignment horizontal="center" shrinkToFit="1"/>
    </xf>
    <xf numFmtId="0" fontId="3" fillId="2" borderId="9" xfId="0" applyFont="1" applyFill="1" applyBorder="1" applyAlignment="1">
      <alignment horizontal="center" shrinkToFit="1"/>
    </xf>
    <xf numFmtId="0" fontId="17" fillId="6" borderId="7" xfId="0" applyFont="1" applyFill="1" applyBorder="1" applyAlignment="1">
      <alignment horizontal="center" shrinkToFit="1"/>
    </xf>
    <xf numFmtId="0" fontId="17" fillId="6" borderId="8" xfId="0" applyFont="1" applyFill="1" applyBorder="1" applyAlignment="1">
      <alignment horizontal="center" shrinkToFit="1"/>
    </xf>
    <xf numFmtId="178" fontId="5" fillId="6" borderId="48" xfId="0" applyNumberFormat="1" applyFont="1" applyFill="1" applyBorder="1" applyAlignment="1">
      <alignment vertical="center" shrinkToFit="1"/>
    </xf>
    <xf numFmtId="178" fontId="14" fillId="0" borderId="47" xfId="0" applyNumberFormat="1" applyFont="1" applyBorder="1" applyAlignment="1">
      <alignment shrinkToFit="1"/>
    </xf>
    <xf numFmtId="0" fontId="3" fillId="0" borderId="54" xfId="0" applyFont="1" applyBorder="1" applyAlignment="1">
      <alignment horizontal="center" shrinkToFit="1"/>
    </xf>
    <xf numFmtId="178" fontId="0" fillId="2" borderId="11" xfId="0" applyNumberFormat="1" applyFill="1" applyBorder="1" applyAlignment="1">
      <alignment horizontal="center" shrinkToFit="1"/>
    </xf>
    <xf numFmtId="178" fontId="16" fillId="0" borderId="40" xfId="0" applyNumberFormat="1" applyFont="1" applyBorder="1" applyAlignment="1">
      <alignment horizontal="center" shrinkToFit="1"/>
    </xf>
    <xf numFmtId="178" fontId="14" fillId="0" borderId="17" xfId="0" applyNumberFormat="1" applyFont="1" applyBorder="1" applyAlignment="1">
      <alignment shrinkToFit="1"/>
    </xf>
    <xf numFmtId="178" fontId="14" fillId="0" borderId="49" xfId="0" applyNumberFormat="1" applyFont="1" applyBorder="1" applyAlignment="1">
      <alignment shrinkToFit="1"/>
    </xf>
    <xf numFmtId="0" fontId="3" fillId="0" borderId="13" xfId="0" applyFont="1" applyBorder="1" applyAlignment="1">
      <alignment horizontal="center" shrinkToFit="1"/>
    </xf>
    <xf numFmtId="0" fontId="23" fillId="0" borderId="1" xfId="0" applyFont="1" applyBorder="1" applyAlignment="1">
      <alignment horizontal="center"/>
    </xf>
    <xf numFmtId="0" fontId="17" fillId="13" borderId="7" xfId="0" applyFont="1" applyFill="1" applyBorder="1" applyAlignment="1">
      <alignment horizontal="center" shrinkToFit="1"/>
    </xf>
    <xf numFmtId="177" fontId="17" fillId="13" borderId="8" xfId="0" applyNumberFormat="1" applyFont="1" applyFill="1" applyBorder="1" applyAlignment="1">
      <alignment horizontal="center" shrinkToFit="1"/>
    </xf>
    <xf numFmtId="178" fontId="17" fillId="13" borderId="48" xfId="0" applyNumberFormat="1" applyFont="1" applyFill="1" applyBorder="1" applyAlignment="1">
      <alignment horizontal="center" shrinkToFit="1"/>
    </xf>
    <xf numFmtId="0" fontId="0" fillId="13" borderId="0" xfId="0" applyFill="1" applyAlignment="1">
      <alignment shrinkToFit="1"/>
    </xf>
    <xf numFmtId="182" fontId="0" fillId="13" borderId="1" xfId="0" applyNumberFormat="1" applyFill="1" applyBorder="1" applyAlignment="1">
      <alignment shrinkToFit="1"/>
    </xf>
    <xf numFmtId="0" fontId="0" fillId="2" borderId="17" xfId="0" applyFill="1" applyBorder="1" applyAlignment="1">
      <alignment horizontal="center" shrinkToFit="1"/>
    </xf>
    <xf numFmtId="26" fontId="0" fillId="0" borderId="11" xfId="0" applyNumberFormat="1" applyBorder="1" applyAlignment="1">
      <alignment shrinkToFit="1"/>
    </xf>
    <xf numFmtId="179" fontId="0" fillId="0" borderId="11" xfId="0" applyNumberFormat="1" applyBorder="1" applyAlignment="1">
      <alignment horizontal="center" vertical="center" shrinkToFit="1"/>
    </xf>
    <xf numFmtId="10" fontId="0" fillId="0" borderId="0" xfId="0" applyNumberFormat="1" applyAlignment="1">
      <alignment shrinkToFit="1"/>
    </xf>
    <xf numFmtId="0" fontId="0" fillId="2" borderId="2" xfId="0" applyFill="1" applyBorder="1" applyAlignment="1">
      <alignment horizontal="center" shrinkToFit="1"/>
    </xf>
    <xf numFmtId="0" fontId="0" fillId="2" borderId="29" xfId="0" applyFill="1" applyBorder="1" applyAlignment="1">
      <alignment horizontal="center" shrinkToFit="1"/>
    </xf>
    <xf numFmtId="0" fontId="0" fillId="2" borderId="1" xfId="0" applyFill="1" applyBorder="1" applyAlignment="1">
      <alignment horizontal="center" shrinkToFit="1"/>
    </xf>
    <xf numFmtId="0" fontId="0" fillId="0" borderId="0" xfId="0" applyAlignment="1">
      <alignment horizontal="center" shrinkToFit="1"/>
    </xf>
    <xf numFmtId="0" fontId="17" fillId="13" borderId="50" xfId="0" applyFont="1" applyFill="1" applyBorder="1" applyAlignment="1">
      <alignment horizontal="center" shrinkToFit="1"/>
    </xf>
    <xf numFmtId="178" fontId="2" fillId="0" borderId="26" xfId="0" applyNumberFormat="1" applyFont="1" applyBorder="1" applyAlignment="1">
      <alignment horizontal="center" shrinkToFit="1"/>
    </xf>
    <xf numFmtId="178" fontId="16" fillId="0" borderId="61" xfId="3" applyNumberFormat="1" applyFont="1" applyFill="1" applyBorder="1" applyAlignment="1">
      <alignment horizontal="center" shrinkToFit="1"/>
    </xf>
    <xf numFmtId="179" fontId="7" fillId="0" borderId="39" xfId="0" applyNumberFormat="1" applyFont="1" applyBorder="1" applyAlignment="1">
      <alignment horizontal="left"/>
    </xf>
    <xf numFmtId="179" fontId="7" fillId="0" borderId="26" xfId="0" applyNumberFormat="1" applyFont="1" applyBorder="1" applyAlignment="1">
      <alignment horizontal="left"/>
    </xf>
    <xf numFmtId="179" fontId="14" fillId="0" borderId="26" xfId="0" applyNumberFormat="1" applyFont="1" applyBorder="1" applyAlignment="1">
      <alignment horizontal="left"/>
    </xf>
    <xf numFmtId="0" fontId="14" fillId="0" borderId="26" xfId="0" applyFont="1" applyBorder="1" applyAlignment="1">
      <alignment horizontal="left" shrinkToFit="1"/>
    </xf>
    <xf numFmtId="0" fontId="7" fillId="0" borderId="39" xfId="0" applyFont="1" applyBorder="1" applyAlignment="1">
      <alignment horizontal="left"/>
    </xf>
    <xf numFmtId="0" fontId="0" fillId="0" borderId="26" xfId="0" applyBorder="1" applyAlignment="1">
      <alignment horizontal="left" shrinkToFit="1"/>
    </xf>
    <xf numFmtId="0" fontId="0" fillId="2" borderId="26" xfId="0" applyFill="1" applyBorder="1" applyAlignment="1">
      <alignment horizontal="left" shrinkToFit="1"/>
    </xf>
    <xf numFmtId="0" fontId="16" fillId="0" borderId="26" xfId="3" applyFont="1" applyFill="1" applyBorder="1" applyAlignment="1">
      <alignment horizontal="left" shrinkToFit="1"/>
    </xf>
    <xf numFmtId="0" fontId="16" fillId="0" borderId="46" xfId="3" applyFont="1" applyFill="1" applyBorder="1" applyAlignment="1">
      <alignment horizontal="left" shrinkToFit="1"/>
    </xf>
    <xf numFmtId="0" fontId="7" fillId="0" borderId="26" xfId="0" applyFont="1" applyBorder="1" applyAlignment="1">
      <alignment horizontal="left"/>
    </xf>
    <xf numFmtId="0" fontId="14" fillId="0" borderId="26" xfId="0" applyFont="1" applyBorder="1" applyAlignment="1">
      <alignment horizontal="left"/>
    </xf>
    <xf numFmtId="0" fontId="0" fillId="0" borderId="62" xfId="0" applyBorder="1" applyAlignment="1">
      <alignment horizontal="center" shrinkToFit="1"/>
    </xf>
    <xf numFmtId="0" fontId="0" fillId="0" borderId="63" xfId="0" applyBorder="1" applyAlignment="1">
      <alignment horizontal="center" shrinkToFit="1"/>
    </xf>
    <xf numFmtId="49" fontId="16" fillId="0" borderId="2" xfId="3" applyNumberFormat="1" applyFont="1" applyFill="1" applyBorder="1" applyAlignment="1">
      <alignment horizontal="left" shrinkToFit="1"/>
    </xf>
    <xf numFmtId="49" fontId="11" fillId="0" borderId="2" xfId="0" applyNumberFormat="1" applyFont="1" applyBorder="1" applyAlignment="1">
      <alignment horizontal="left" shrinkToFit="1"/>
    </xf>
    <xf numFmtId="49" fontId="16" fillId="0" borderId="2" xfId="3" applyNumberFormat="1" applyFont="1" applyFill="1" applyBorder="1" applyAlignment="1">
      <alignment shrinkToFit="1"/>
    </xf>
    <xf numFmtId="49" fontId="14" fillId="0" borderId="2" xfId="0" applyNumberFormat="1" applyFont="1" applyBorder="1" applyAlignment="1">
      <alignment shrinkToFit="1"/>
    </xf>
    <xf numFmtId="49" fontId="0" fillId="0" borderId="37" xfId="0" applyNumberFormat="1" applyBorder="1" applyAlignment="1">
      <alignment horizontal="left" shrinkToFit="1"/>
    </xf>
    <xf numFmtId="49" fontId="0" fillId="0" borderId="2" xfId="0" applyNumberFormat="1" applyBorder="1" applyAlignment="1">
      <alignment shrinkToFit="1"/>
    </xf>
    <xf numFmtId="49" fontId="0" fillId="0" borderId="2" xfId="0" applyNumberFormat="1" applyBorder="1" applyAlignment="1">
      <alignment horizontal="left" shrinkToFit="1"/>
    </xf>
    <xf numFmtId="49" fontId="16" fillId="0" borderId="29" xfId="3" applyNumberFormat="1" applyFont="1" applyFill="1" applyBorder="1" applyAlignment="1">
      <alignment shrinkToFit="1"/>
    </xf>
    <xf numFmtId="49" fontId="0" fillId="0" borderId="29" xfId="0" applyNumberFormat="1" applyBorder="1"/>
    <xf numFmtId="49" fontId="0" fillId="0" borderId="29" xfId="0" applyNumberFormat="1" applyBorder="1" applyAlignment="1">
      <alignment horizontal="left"/>
    </xf>
    <xf numFmtId="49" fontId="0" fillId="0" borderId="0" xfId="0" applyNumberFormat="1" applyAlignment="1">
      <alignment shrinkToFit="1"/>
    </xf>
    <xf numFmtId="49" fontId="17" fillId="13" borderId="50" xfId="0" applyNumberFormat="1" applyFont="1" applyFill="1" applyBorder="1" applyAlignment="1">
      <alignment horizontal="center" shrinkToFit="1"/>
    </xf>
    <xf numFmtId="49" fontId="0" fillId="0" borderId="2" xfId="0" applyNumberFormat="1" applyBorder="1" applyAlignment="1">
      <alignment horizontal="left"/>
    </xf>
    <xf numFmtId="49" fontId="5" fillId="6" borderId="3" xfId="0" applyNumberFormat="1" applyFont="1" applyFill="1" applyBorder="1" applyAlignment="1">
      <alignment horizontal="center" shrinkToFit="1"/>
    </xf>
    <xf numFmtId="49" fontId="0" fillId="0" borderId="2" xfId="0" applyNumberFormat="1" applyBorder="1"/>
    <xf numFmtId="49" fontId="16" fillId="0" borderId="40" xfId="3" applyNumberFormat="1" applyFont="1" applyFill="1" applyBorder="1" applyAlignment="1">
      <alignment horizontal="left" shrinkToFit="1"/>
    </xf>
    <xf numFmtId="49" fontId="16" fillId="0" borderId="45" xfId="3" applyNumberFormat="1" applyFont="1" applyFill="1" applyBorder="1" applyAlignment="1">
      <alignment horizontal="left" shrinkToFit="1"/>
    </xf>
    <xf numFmtId="49" fontId="25" fillId="0" borderId="2" xfId="0" applyNumberFormat="1" applyFont="1" applyBorder="1" applyAlignment="1">
      <alignment horizontal="left"/>
    </xf>
    <xf numFmtId="49" fontId="26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shrinkToFit="1"/>
    </xf>
    <xf numFmtId="49" fontId="25" fillId="0" borderId="29" xfId="0" applyNumberFormat="1" applyFont="1" applyBorder="1"/>
    <xf numFmtId="49" fontId="26" fillId="0" borderId="2" xfId="0" applyNumberFormat="1" applyFont="1" applyBorder="1" applyAlignment="1">
      <alignment shrinkToFit="1"/>
    </xf>
    <xf numFmtId="49" fontId="25" fillId="0" borderId="37" xfId="0" applyNumberFormat="1" applyFont="1" applyBorder="1" applyAlignment="1">
      <alignment horizontal="left" shrinkToFit="1"/>
    </xf>
    <xf numFmtId="49" fontId="25" fillId="0" borderId="2" xfId="0" applyNumberFormat="1" applyFont="1" applyBorder="1" applyAlignment="1">
      <alignment shrinkToFit="1"/>
    </xf>
    <xf numFmtId="49" fontId="25" fillId="2" borderId="2" xfId="0" applyNumberFormat="1" applyFont="1" applyFill="1" applyBorder="1" applyAlignment="1">
      <alignment shrinkToFit="1"/>
    </xf>
    <xf numFmtId="49" fontId="25" fillId="0" borderId="2" xfId="0" applyNumberFormat="1" applyFont="1" applyBorder="1" applyAlignment="1">
      <alignment horizontal="left" shrinkToFit="1"/>
    </xf>
    <xf numFmtId="49" fontId="26" fillId="0" borderId="2" xfId="3" applyNumberFormat="1" applyFont="1" applyFill="1" applyBorder="1" applyAlignment="1">
      <alignment horizontal="left" shrinkToFit="1"/>
    </xf>
    <xf numFmtId="49" fontId="26" fillId="0" borderId="29" xfId="3" applyNumberFormat="1" applyFont="1" applyFill="1" applyBorder="1" applyAlignment="1">
      <alignment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178" fontId="24" fillId="2" borderId="4" xfId="4" applyNumberFormat="1" applyFill="1" applyBorder="1" applyAlignment="1">
      <alignment horizontal="center" shrinkToFit="1"/>
    </xf>
    <xf numFmtId="178" fontId="24" fillId="2" borderId="6" xfId="4" applyNumberFormat="1" applyFill="1" applyBorder="1" applyAlignment="1">
      <alignment horizontal="center" shrinkToFit="1"/>
    </xf>
    <xf numFmtId="178" fontId="11" fillId="6" borderId="4" xfId="4" applyNumberFormat="1" applyFont="1" applyFill="1" applyBorder="1" applyAlignment="1">
      <alignment horizont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49" fontId="29" fillId="0" borderId="2" xfId="0" applyNumberFormat="1" applyFont="1" applyBorder="1"/>
    <xf numFmtId="0" fontId="17" fillId="13" borderId="8" xfId="0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0" fillId="0" borderId="1" xfId="0" applyBorder="1" applyAlignment="1">
      <alignment horizont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24" fillId="14" borderId="4" xfId="4" applyBorder="1" applyAlignment="1">
      <alignment horizontal="center" shrinkToFit="1"/>
    </xf>
    <xf numFmtId="0" fontId="24" fillId="14" borderId="1" xfId="4" applyBorder="1" applyAlignment="1">
      <alignment horizontal="left" shrinkToFit="1"/>
    </xf>
    <xf numFmtId="49" fontId="24" fillId="14" borderId="2" xfId="4" applyNumberFormat="1" applyBorder="1" applyAlignment="1">
      <alignment horizontal="left" shrinkToFit="1"/>
    </xf>
    <xf numFmtId="0" fontId="24" fillId="14" borderId="62" xfId="4" applyBorder="1" applyAlignment="1">
      <alignment horizontal="center" shrinkToFit="1"/>
    </xf>
    <xf numFmtId="179" fontId="24" fillId="14" borderId="26" xfId="4" applyNumberFormat="1" applyBorder="1" applyAlignment="1">
      <alignment horizontal="left"/>
    </xf>
    <xf numFmtId="0" fontId="24" fillId="14" borderId="1" xfId="4" applyBorder="1" applyAlignment="1">
      <alignment horizontal="center" shrinkToFit="1"/>
    </xf>
    <xf numFmtId="178" fontId="24" fillId="14" borderId="4" xfId="4" applyNumberFormat="1" applyBorder="1" applyAlignment="1">
      <alignment horizontal="center" shrinkToFit="1"/>
    </xf>
    <xf numFmtId="178" fontId="24" fillId="14" borderId="6" xfId="4" applyNumberFormat="1" applyBorder="1" applyAlignment="1">
      <alignment horizontal="center" shrinkToFit="1"/>
    </xf>
    <xf numFmtId="178" fontId="1" fillId="0" borderId="4" xfId="0" applyNumberFormat="1" applyFont="1" applyBorder="1" applyAlignment="1">
      <alignment horizontal="center" shrinkToFit="1"/>
    </xf>
    <xf numFmtId="0" fontId="5" fillId="0" borderId="27" xfId="0" applyFont="1" applyBorder="1" applyAlignment="1">
      <alignment horizontal="center" shrinkToFit="1"/>
    </xf>
    <xf numFmtId="0" fontId="5" fillId="0" borderId="25" xfId="0" applyFont="1" applyBorder="1" applyAlignment="1">
      <alignment horizontal="center" shrinkToFit="1"/>
    </xf>
    <xf numFmtId="0" fontId="5" fillId="0" borderId="24" xfId="0" applyFont="1" applyBorder="1" applyAlignment="1">
      <alignment horizontal="center" shrinkToFit="1"/>
    </xf>
    <xf numFmtId="0" fontId="5" fillId="0" borderId="31" xfId="0" applyFont="1" applyBorder="1" applyAlignment="1">
      <alignment horizontal="center" shrinkToFit="1"/>
    </xf>
    <xf numFmtId="0" fontId="5" fillId="0" borderId="0" xfId="0" applyFont="1" applyAlignment="1">
      <alignment horizontal="center" shrinkToFit="1"/>
    </xf>
    <xf numFmtId="0" fontId="5" fillId="0" borderId="32" xfId="0" applyFont="1" applyBorder="1" applyAlignment="1">
      <alignment horizontal="center" shrinkToFit="1"/>
    </xf>
    <xf numFmtId="0" fontId="5" fillId="0" borderId="21" xfId="0" applyFont="1" applyBorder="1" applyAlignment="1">
      <alignment horizontal="center" shrinkToFit="1"/>
    </xf>
    <xf numFmtId="0" fontId="5" fillId="0" borderId="22" xfId="0" applyFont="1" applyBorder="1" applyAlignment="1">
      <alignment horizontal="center" shrinkToFit="1"/>
    </xf>
    <xf numFmtId="0" fontId="5" fillId="0" borderId="23" xfId="0" applyFont="1" applyBorder="1" applyAlignment="1">
      <alignment horizontal="center" shrinkToFit="1"/>
    </xf>
    <xf numFmtId="0" fontId="3" fillId="6" borderId="34" xfId="0" applyFont="1" applyFill="1" applyBorder="1" applyAlignment="1">
      <alignment horizontal="center"/>
    </xf>
    <xf numFmtId="0" fontId="3" fillId="6" borderId="35" xfId="0" applyFont="1" applyFill="1" applyBorder="1" applyAlignment="1">
      <alignment horizontal="center"/>
    </xf>
    <xf numFmtId="0" fontId="3" fillId="6" borderId="18" xfId="0" applyFont="1" applyFill="1" applyBorder="1" applyAlignment="1">
      <alignment horizontal="center"/>
    </xf>
    <xf numFmtId="0" fontId="0" fillId="0" borderId="29" xfId="0" applyBorder="1" applyAlignment="1">
      <alignment horizontal="center" shrinkToFit="1"/>
    </xf>
    <xf numFmtId="0" fontId="0" fillId="0" borderId="2" xfId="0" applyBorder="1" applyAlignment="1">
      <alignment horizontal="center" shrinkToFit="1"/>
    </xf>
    <xf numFmtId="0" fontId="0" fillId="0" borderId="17" xfId="0" applyBorder="1" applyAlignment="1">
      <alignment horizontal="center" shrinkToFit="1"/>
    </xf>
    <xf numFmtId="17" fontId="0" fillId="0" borderId="11" xfId="0" applyNumberFormat="1" applyBorder="1" applyAlignment="1">
      <alignment horizontal="center" shrinkToFit="1"/>
    </xf>
    <xf numFmtId="17" fontId="0" fillId="0" borderId="30" xfId="0" applyNumberFormat="1" applyBorder="1" applyAlignment="1">
      <alignment horizontal="center" shrinkToFit="1"/>
    </xf>
    <xf numFmtId="0" fontId="0" fillId="0" borderId="38" xfId="0" applyBorder="1" applyAlignment="1">
      <alignment horizontal="center" shrinkToFit="1"/>
    </xf>
    <xf numFmtId="0" fontId="5" fillId="6" borderId="13" xfId="0" applyFont="1" applyFill="1" applyBorder="1" applyAlignment="1">
      <alignment horizontal="center" vertical="center" shrinkToFit="1"/>
    </xf>
    <xf numFmtId="0" fontId="5" fillId="6" borderId="14" xfId="0" applyFont="1" applyFill="1" applyBorder="1" applyAlignment="1">
      <alignment horizontal="center" vertical="center" shrinkToFit="1"/>
    </xf>
    <xf numFmtId="0" fontId="5" fillId="6" borderId="4" xfId="0" applyFont="1" applyFill="1" applyBorder="1" applyAlignment="1">
      <alignment horizontal="center" vertical="center" shrinkToFit="1"/>
    </xf>
    <xf numFmtId="0" fontId="5" fillId="6" borderId="9" xfId="0" applyFont="1" applyFill="1" applyBorder="1" applyAlignment="1">
      <alignment horizontal="center" vertical="center" shrinkToFit="1"/>
    </xf>
    <xf numFmtId="0" fontId="5" fillId="6" borderId="1" xfId="0" applyFont="1" applyFill="1" applyBorder="1" applyAlignment="1">
      <alignment horizontal="center" vertical="center" shrinkToFit="1"/>
    </xf>
    <xf numFmtId="0" fontId="5" fillId="6" borderId="10" xfId="0" applyFont="1" applyFill="1" applyBorder="1" applyAlignment="1">
      <alignment horizontal="center" vertical="center" shrinkToFit="1"/>
    </xf>
    <xf numFmtId="0" fontId="5" fillId="6" borderId="3" xfId="0" applyFont="1" applyFill="1" applyBorder="1" applyAlignment="1">
      <alignment horizontal="center" vertical="center" shrinkToFit="1"/>
    </xf>
    <xf numFmtId="180" fontId="5" fillId="6" borderId="14" xfId="0" applyNumberFormat="1" applyFont="1" applyFill="1" applyBorder="1" applyAlignment="1">
      <alignment horizontal="center" vertical="center" shrinkToFit="1"/>
    </xf>
    <xf numFmtId="180" fontId="5" fillId="6" borderId="1" xfId="0" applyNumberFormat="1" applyFont="1" applyFill="1" applyBorder="1" applyAlignment="1">
      <alignment horizontal="center" vertical="center" shrinkToFit="1"/>
    </xf>
    <xf numFmtId="180" fontId="5" fillId="6" borderId="3" xfId="0" applyNumberFormat="1" applyFont="1" applyFill="1" applyBorder="1" applyAlignment="1">
      <alignment horizontal="center" vertical="center" shrinkToFit="1"/>
    </xf>
    <xf numFmtId="178" fontId="5" fillId="6" borderId="14" xfId="0" applyNumberFormat="1" applyFont="1" applyFill="1" applyBorder="1" applyAlignment="1">
      <alignment horizontal="center" vertical="center" shrinkToFit="1"/>
    </xf>
    <xf numFmtId="178" fontId="5" fillId="6" borderId="1" xfId="0" applyNumberFormat="1" applyFont="1" applyFill="1" applyBorder="1" applyAlignment="1">
      <alignment horizontal="center" vertical="center" shrinkToFit="1"/>
    </xf>
    <xf numFmtId="178" fontId="5" fillId="6" borderId="3" xfId="0" applyNumberFormat="1" applyFont="1" applyFill="1" applyBorder="1" applyAlignment="1">
      <alignment horizontal="center" vertical="center" shrinkToFit="1"/>
    </xf>
    <xf numFmtId="178" fontId="5" fillId="6" borderId="28" xfId="0" applyNumberFormat="1" applyFont="1" applyFill="1" applyBorder="1" applyAlignment="1">
      <alignment horizontal="center" vertical="center" shrinkToFit="1"/>
    </xf>
    <xf numFmtId="178" fontId="5" fillId="6" borderId="15" xfId="0" applyNumberFormat="1" applyFont="1" applyFill="1" applyBorder="1" applyAlignment="1">
      <alignment horizontal="center" vertical="center" shrinkToFit="1"/>
    </xf>
    <xf numFmtId="178" fontId="5" fillId="6" borderId="16" xfId="0" applyNumberFormat="1" applyFont="1" applyFill="1" applyBorder="1" applyAlignment="1">
      <alignment horizontal="center" vertical="center" shrinkToFit="1"/>
    </xf>
    <xf numFmtId="0" fontId="0" fillId="0" borderId="1" xfId="0" applyBorder="1" applyAlignment="1">
      <alignment horizontal="center" shrinkToFit="1"/>
    </xf>
    <xf numFmtId="0" fontId="16" fillId="0" borderId="2" xfId="0" applyFont="1" applyBorder="1" applyAlignment="1">
      <alignment horizontal="center" shrinkToFit="1"/>
    </xf>
    <xf numFmtId="0" fontId="16" fillId="0" borderId="29" xfId="0" applyFont="1" applyBorder="1" applyAlignment="1">
      <alignment horizontal="center" shrinkToFit="1"/>
    </xf>
    <xf numFmtId="0" fontId="16" fillId="0" borderId="17" xfId="0" applyFont="1" applyBorder="1" applyAlignment="1">
      <alignment horizontal="center" shrinkToFit="1"/>
    </xf>
    <xf numFmtId="179" fontId="5" fillId="0" borderId="12" xfId="0" applyNumberFormat="1" applyFont="1" applyBorder="1" applyAlignment="1">
      <alignment horizontal="center" shrinkToFit="1"/>
    </xf>
    <xf numFmtId="0" fontId="17" fillId="13" borderId="8" xfId="0" applyFont="1" applyFill="1" applyBorder="1" applyAlignment="1">
      <alignment horizontal="center" shrinkToFit="1"/>
    </xf>
    <xf numFmtId="0" fontId="0" fillId="0" borderId="2" xfId="0" applyBorder="1" applyAlignment="1">
      <alignment horizontal="center" vertical="center" shrinkToFit="1"/>
    </xf>
    <xf numFmtId="0" fontId="0" fillId="0" borderId="29" xfId="0" applyBorder="1" applyAlignment="1">
      <alignment horizontal="center" vertical="center" shrinkToFit="1"/>
    </xf>
    <xf numFmtId="0" fontId="0" fillId="0" borderId="17" xfId="0" applyBorder="1" applyAlignment="1">
      <alignment horizontal="center" vertical="center" shrinkToFit="1"/>
    </xf>
    <xf numFmtId="0" fontId="14" fillId="0" borderId="2" xfId="0" applyFont="1" applyBorder="1" applyAlignment="1">
      <alignment horizontal="center" shrinkToFit="1"/>
    </xf>
    <xf numFmtId="0" fontId="14" fillId="0" borderId="29" xfId="0" applyFont="1" applyBorder="1" applyAlignment="1">
      <alignment horizontal="center" shrinkToFit="1"/>
    </xf>
    <xf numFmtId="0" fontId="14" fillId="0" borderId="17" xfId="0" applyFont="1" applyBorder="1" applyAlignment="1">
      <alignment horizontal="center" shrinkToFit="1"/>
    </xf>
    <xf numFmtId="0" fontId="5" fillId="0" borderId="34" xfId="0" applyFont="1" applyBorder="1" applyAlignment="1">
      <alignment horizontal="center" shrinkToFit="1"/>
    </xf>
    <xf numFmtId="0" fontId="5" fillId="0" borderId="35" xfId="0" applyFont="1" applyBorder="1" applyAlignment="1">
      <alignment horizontal="center" shrinkToFit="1"/>
    </xf>
    <xf numFmtId="0" fontId="5" fillId="0" borderId="18" xfId="0" applyFont="1" applyBorder="1" applyAlignment="1">
      <alignment horizontal="center" shrinkToFit="1"/>
    </xf>
    <xf numFmtId="0" fontId="5" fillId="6" borderId="18" xfId="0" applyFont="1" applyFill="1" applyBorder="1" applyAlignment="1">
      <alignment horizontal="center" shrinkToFit="1"/>
    </xf>
    <xf numFmtId="0" fontId="5" fillId="6" borderId="34" xfId="0" applyFont="1" applyFill="1" applyBorder="1" applyAlignment="1">
      <alignment horizontal="center" shrinkToFit="1"/>
    </xf>
    <xf numFmtId="0" fontId="5" fillId="6" borderId="35" xfId="0" applyFont="1" applyFill="1" applyBorder="1" applyAlignment="1">
      <alignment horizontal="center" shrinkToFit="1"/>
    </xf>
    <xf numFmtId="178" fontId="17" fillId="6" borderId="25" xfId="0" applyNumberFormat="1" applyFont="1" applyFill="1" applyBorder="1" applyAlignment="1">
      <alignment horizontal="center" vertical="center" shrinkToFit="1"/>
    </xf>
    <xf numFmtId="178" fontId="17" fillId="6" borderId="24" xfId="0" applyNumberFormat="1" applyFont="1" applyFill="1" applyBorder="1" applyAlignment="1">
      <alignment horizontal="center" vertical="center" shrinkToFit="1"/>
    </xf>
    <xf numFmtId="178" fontId="17" fillId="6" borderId="22" xfId="0" applyNumberFormat="1" applyFont="1" applyFill="1" applyBorder="1" applyAlignment="1">
      <alignment horizontal="center" vertical="center" shrinkToFit="1"/>
    </xf>
    <xf numFmtId="178" fontId="17" fillId="6" borderId="23" xfId="0" applyNumberFormat="1" applyFont="1" applyFill="1" applyBorder="1" applyAlignment="1">
      <alignment horizontal="center" vertical="center" shrinkToFit="1"/>
    </xf>
    <xf numFmtId="0" fontId="0" fillId="0" borderId="5" xfId="0" applyBorder="1" applyAlignment="1">
      <alignment horizontal="center" shrinkToFit="1"/>
    </xf>
    <xf numFmtId="0" fontId="0" fillId="0" borderId="56" xfId="0" applyBorder="1" applyAlignment="1">
      <alignment horizontal="center" shrinkToFit="1"/>
    </xf>
    <xf numFmtId="0" fontId="0" fillId="0" borderId="49" xfId="0" applyBorder="1" applyAlignment="1">
      <alignment horizontal="center" shrinkToFit="1"/>
    </xf>
    <xf numFmtId="0" fontId="15" fillId="0" borderId="42" xfId="0" applyFont="1" applyBorder="1" applyAlignment="1">
      <alignment horizontal="left" shrinkToFit="1"/>
    </xf>
    <xf numFmtId="0" fontId="15" fillId="0" borderId="29" xfId="0" applyFont="1" applyBorder="1" applyAlignment="1">
      <alignment horizontal="left" shrinkToFit="1"/>
    </xf>
    <xf numFmtId="0" fontId="15" fillId="0" borderId="17" xfId="0" applyFont="1" applyBorder="1" applyAlignment="1">
      <alignment horizontal="left" shrinkToFit="1"/>
    </xf>
    <xf numFmtId="0" fontId="5" fillId="6" borderId="13" xfId="0" applyFont="1" applyFill="1" applyBorder="1" applyAlignment="1">
      <alignment horizontal="center" shrinkToFit="1"/>
    </xf>
    <xf numFmtId="0" fontId="5" fillId="6" borderId="14" xfId="0" applyFont="1" applyFill="1" applyBorder="1" applyAlignment="1">
      <alignment horizontal="center" shrinkToFit="1"/>
    </xf>
    <xf numFmtId="0" fontId="5" fillId="6" borderId="4" xfId="0" applyFont="1" applyFill="1" applyBorder="1" applyAlignment="1">
      <alignment horizontal="center" shrinkToFit="1"/>
    </xf>
    <xf numFmtId="0" fontId="15" fillId="0" borderId="43" xfId="0" applyFont="1" applyBorder="1" applyAlignment="1">
      <alignment horizontal="left" shrinkToFit="1"/>
    </xf>
    <xf numFmtId="0" fontId="15" fillId="0" borderId="49" xfId="0" applyFont="1" applyBorder="1" applyAlignment="1">
      <alignment horizontal="left" shrinkToFit="1"/>
    </xf>
    <xf numFmtId="0" fontId="5" fillId="6" borderId="9" xfId="0" applyFont="1" applyFill="1" applyBorder="1" applyAlignment="1">
      <alignment horizontal="center" shrinkToFit="1"/>
    </xf>
    <xf numFmtId="0" fontId="5" fillId="6" borderId="1" xfId="0" applyFont="1" applyFill="1" applyBorder="1" applyAlignment="1">
      <alignment horizontal="center" shrinkToFit="1"/>
    </xf>
    <xf numFmtId="0" fontId="15" fillId="0" borderId="51" xfId="0" applyFont="1" applyBorder="1" applyAlignment="1">
      <alignment horizontal="left" shrinkToFit="1"/>
    </xf>
    <xf numFmtId="0" fontId="15" fillId="0" borderId="37" xfId="0" applyFont="1" applyBorder="1" applyAlignment="1">
      <alignment horizontal="left" shrinkToFit="1"/>
    </xf>
    <xf numFmtId="0" fontId="15" fillId="0" borderId="47" xfId="0" applyFont="1" applyBorder="1" applyAlignment="1">
      <alignment horizontal="left" shrinkToFit="1"/>
    </xf>
    <xf numFmtId="0" fontId="5" fillId="6" borderId="10" xfId="0" applyFont="1" applyFill="1" applyBorder="1" applyAlignment="1">
      <alignment horizontal="center" shrinkToFit="1"/>
    </xf>
    <xf numFmtId="0" fontId="5" fillId="6" borderId="3" xfId="0" applyFont="1" applyFill="1" applyBorder="1" applyAlignment="1">
      <alignment horizontal="center" shrinkToFit="1"/>
    </xf>
    <xf numFmtId="179" fontId="5" fillId="6" borderId="3" xfId="0" applyNumberFormat="1" applyFont="1" applyFill="1" applyBorder="1" applyAlignment="1">
      <alignment horizontal="center" shrinkToFit="1"/>
    </xf>
    <xf numFmtId="9" fontId="5" fillId="6" borderId="3" xfId="0" applyNumberFormat="1" applyFont="1" applyFill="1" applyBorder="1" applyAlignment="1">
      <alignment horizontal="center" shrinkToFit="1"/>
    </xf>
    <xf numFmtId="0" fontId="18" fillId="6" borderId="34" xfId="0" applyFont="1" applyFill="1" applyBorder="1" applyAlignment="1">
      <alignment horizontal="center" shrinkToFit="1"/>
    </xf>
    <xf numFmtId="0" fontId="18" fillId="6" borderId="35" xfId="0" applyFont="1" applyFill="1" applyBorder="1" applyAlignment="1">
      <alignment horizontal="center" shrinkToFit="1"/>
    </xf>
    <xf numFmtId="0" fontId="18" fillId="6" borderId="18" xfId="0" applyFont="1" applyFill="1" applyBorder="1" applyAlignment="1">
      <alignment horizontal="center" shrinkToFit="1"/>
    </xf>
    <xf numFmtId="176" fontId="14" fillId="0" borderId="0" xfId="0" applyNumberFormat="1" applyFont="1" applyFill="1" applyBorder="1" applyAlignment="1">
      <alignment horizontal="center" shrinkToFit="1"/>
    </xf>
    <xf numFmtId="26" fontId="14" fillId="0" borderId="0" xfId="0" applyNumberFormat="1" applyFont="1" applyFill="1" applyBorder="1" applyAlignment="1">
      <alignment horizontal="center" shrinkToFit="1"/>
    </xf>
    <xf numFmtId="0" fontId="24" fillId="2" borderId="2" xfId="4" applyFill="1" applyBorder="1" applyAlignment="1">
      <alignment horizontal="center" shrinkToFit="1"/>
    </xf>
    <xf numFmtId="0" fontId="24" fillId="2" borderId="29" xfId="4" applyFill="1" applyBorder="1" applyAlignment="1">
      <alignment horizontal="center" shrinkToFit="1"/>
    </xf>
    <xf numFmtId="179" fontId="5" fillId="6" borderId="53" xfId="0" applyNumberFormat="1" applyFont="1" applyFill="1" applyBorder="1" applyAlignment="1">
      <alignment horizontal="center" vertical="center" shrinkToFit="1"/>
    </xf>
    <xf numFmtId="179" fontId="5" fillId="6" borderId="55" xfId="0" applyNumberFormat="1" applyFont="1" applyFill="1" applyBorder="1" applyAlignment="1">
      <alignment horizontal="center" vertical="center" shrinkToFit="1"/>
    </xf>
    <xf numFmtId="0" fontId="0" fillId="0" borderId="6" xfId="0" applyBorder="1" applyAlignment="1">
      <alignment horizontal="center" shrinkToFit="1"/>
    </xf>
    <xf numFmtId="0" fontId="0" fillId="0" borderId="37" xfId="0" applyBorder="1" applyAlignment="1">
      <alignment horizontal="center" shrinkToFit="1"/>
    </xf>
    <xf numFmtId="0" fontId="0" fillId="0" borderId="47" xfId="0" applyBorder="1" applyAlignment="1">
      <alignment horizontal="center" shrinkToFit="1"/>
    </xf>
    <xf numFmtId="0" fontId="24" fillId="14" borderId="2" xfId="4" applyBorder="1" applyAlignment="1">
      <alignment horizontal="center" shrinkToFit="1"/>
    </xf>
    <xf numFmtId="0" fontId="24" fillId="14" borderId="29" xfId="4" applyBorder="1" applyAlignment="1">
      <alignment horizontal="center" shrinkToFit="1"/>
    </xf>
    <xf numFmtId="0" fontId="24" fillId="14" borderId="17" xfId="4" applyBorder="1" applyAlignment="1">
      <alignment horizontal="center" shrinkToFit="1"/>
    </xf>
    <xf numFmtId="0" fontId="22" fillId="8" borderId="13" xfId="0" applyFont="1" applyFill="1" applyBorder="1" applyAlignment="1">
      <alignment horizontal="center" vertical="center" shrinkToFit="1"/>
    </xf>
    <xf numFmtId="0" fontId="22" fillId="8" borderId="14" xfId="0" applyFont="1" applyFill="1" applyBorder="1" applyAlignment="1">
      <alignment horizontal="center" vertical="center" shrinkToFit="1"/>
    </xf>
    <xf numFmtId="0" fontId="22" fillId="8" borderId="9" xfId="0" applyFont="1" applyFill="1" applyBorder="1" applyAlignment="1">
      <alignment horizontal="center" vertical="center" shrinkToFit="1"/>
    </xf>
    <xf numFmtId="0" fontId="22" fillId="8" borderId="1" xfId="0" applyFont="1" applyFill="1" applyBorder="1" applyAlignment="1">
      <alignment horizontal="center" vertical="center" shrinkToFit="1"/>
    </xf>
    <xf numFmtId="0" fontId="21" fillId="0" borderId="9" xfId="0" applyFont="1" applyBorder="1" applyAlignment="1">
      <alignment horizontal="center" vertical="center" shrinkToFit="1"/>
    </xf>
    <xf numFmtId="0" fontId="21" fillId="0" borderId="1" xfId="0" applyFont="1" applyBorder="1" applyAlignment="1">
      <alignment horizontal="center" vertical="center" shrinkToFit="1"/>
    </xf>
    <xf numFmtId="0" fontId="21" fillId="0" borderId="10" xfId="0" applyFont="1" applyBorder="1" applyAlignment="1">
      <alignment horizontal="center" vertical="center" shrinkToFit="1"/>
    </xf>
    <xf numFmtId="0" fontId="21" fillId="0" borderId="3" xfId="0" applyFont="1" applyBorder="1" applyAlignment="1">
      <alignment horizontal="center" vertical="center" shrinkToFit="1"/>
    </xf>
    <xf numFmtId="183" fontId="21" fillId="0" borderId="1" xfId="0" applyNumberFormat="1" applyFont="1" applyBorder="1" applyAlignment="1">
      <alignment horizontal="center" vertical="center" shrinkToFit="1"/>
    </xf>
    <xf numFmtId="183" fontId="21" fillId="12" borderId="1" xfId="0" applyNumberFormat="1" applyFont="1" applyFill="1" applyBorder="1" applyAlignment="1">
      <alignment horizontal="center" vertical="center" shrinkToFit="1"/>
    </xf>
    <xf numFmtId="0" fontId="5" fillId="12" borderId="26" xfId="0" applyFont="1" applyFill="1" applyBorder="1" applyAlignment="1">
      <alignment horizontal="center" vertical="center" shrinkToFit="1"/>
    </xf>
    <xf numFmtId="0" fontId="5" fillId="12" borderId="1" xfId="0" applyFont="1" applyFill="1" applyBorder="1" applyAlignment="1">
      <alignment horizontal="center" vertical="center" shrinkToFit="1"/>
    </xf>
    <xf numFmtId="0" fontId="22" fillId="8" borderId="28" xfId="0" applyFont="1" applyFill="1" applyBorder="1" applyAlignment="1">
      <alignment horizontal="center" vertical="center" shrinkToFit="1"/>
    </xf>
    <xf numFmtId="0" fontId="22" fillId="8" borderId="15" xfId="0" applyFont="1" applyFill="1" applyBorder="1" applyAlignment="1">
      <alignment horizontal="center" vertical="center" shrinkToFit="1"/>
    </xf>
    <xf numFmtId="0" fontId="5" fillId="12" borderId="5" xfId="0" applyFont="1" applyFill="1" applyBorder="1" applyAlignment="1">
      <alignment horizontal="center" vertical="center" shrinkToFit="1"/>
    </xf>
    <xf numFmtId="0" fontId="5" fillId="12" borderId="56" xfId="0" applyFont="1" applyFill="1" applyBorder="1" applyAlignment="1">
      <alignment horizontal="center" vertical="center" shrinkToFit="1"/>
    </xf>
    <xf numFmtId="0" fontId="5" fillId="12" borderId="64" xfId="0" applyFont="1" applyFill="1" applyBorder="1" applyAlignment="1">
      <alignment horizontal="center" vertical="center" shrinkToFit="1"/>
    </xf>
    <xf numFmtId="183" fontId="21" fillId="12" borderId="5" xfId="0" applyNumberFormat="1" applyFont="1" applyFill="1" applyBorder="1" applyAlignment="1">
      <alignment horizontal="center" vertical="center" shrinkToFit="1"/>
    </xf>
    <xf numFmtId="183" fontId="21" fillId="12" borderId="56" xfId="0" applyNumberFormat="1" applyFont="1" applyFill="1" applyBorder="1" applyAlignment="1">
      <alignment horizontal="center" vertical="center" shrinkToFit="1"/>
    </xf>
    <xf numFmtId="183" fontId="21" fillId="12" borderId="64" xfId="0" applyNumberFormat="1" applyFont="1" applyFill="1" applyBorder="1" applyAlignment="1">
      <alignment horizontal="center" vertical="center" shrinkToFit="1"/>
    </xf>
    <xf numFmtId="26" fontId="21" fillId="12" borderId="5" xfId="0" applyNumberFormat="1" applyFont="1" applyFill="1" applyBorder="1" applyAlignment="1">
      <alignment horizontal="center" vertical="center" shrinkToFit="1"/>
    </xf>
    <xf numFmtId="26" fontId="21" fillId="12" borderId="56" xfId="0" applyNumberFormat="1" applyFont="1" applyFill="1" applyBorder="1" applyAlignment="1">
      <alignment horizontal="center" vertical="center" shrinkToFit="1"/>
    </xf>
    <xf numFmtId="26" fontId="21" fillId="12" borderId="64" xfId="0" applyNumberFormat="1" applyFont="1" applyFill="1" applyBorder="1" applyAlignment="1">
      <alignment horizontal="center" vertical="center" shrinkToFit="1"/>
    </xf>
    <xf numFmtId="176" fontId="21" fillId="0" borderId="1" xfId="0" applyNumberFormat="1" applyFont="1" applyBorder="1" applyAlignment="1">
      <alignment horizontal="center" vertical="center" shrinkToFit="1"/>
    </xf>
    <xf numFmtId="176" fontId="21" fillId="0" borderId="3" xfId="0" applyNumberFormat="1" applyFont="1" applyBorder="1" applyAlignment="1">
      <alignment horizontal="center" vertical="center" shrinkToFit="1"/>
    </xf>
    <xf numFmtId="0" fontId="21" fillId="0" borderId="15" xfId="0" applyFont="1" applyBorder="1" applyAlignment="1">
      <alignment horizontal="center" vertical="center" shrinkToFit="1"/>
    </xf>
    <xf numFmtId="176" fontId="21" fillId="0" borderId="15" xfId="0" applyNumberFormat="1" applyFont="1" applyBorder="1" applyAlignment="1">
      <alignment horizontal="center" vertical="center" shrinkToFit="1"/>
    </xf>
    <xf numFmtId="176" fontId="21" fillId="0" borderId="16" xfId="0" applyNumberFormat="1" applyFont="1" applyBorder="1" applyAlignment="1">
      <alignment horizontal="center" vertical="center" shrinkToFit="1"/>
    </xf>
    <xf numFmtId="0" fontId="21" fillId="12" borderId="1" xfId="0" applyNumberFormat="1" applyFont="1" applyFill="1" applyBorder="1" applyAlignment="1">
      <alignment horizontal="center" vertical="center" shrinkToFit="1"/>
    </xf>
    <xf numFmtId="26" fontId="21" fillId="12" borderId="1" xfId="0" applyNumberFormat="1" applyFont="1" applyFill="1" applyBorder="1" applyAlignment="1">
      <alignment horizontal="center" vertical="center" shrinkToFit="1"/>
    </xf>
    <xf numFmtId="0" fontId="28" fillId="12" borderId="5" xfId="0" applyFont="1" applyFill="1" applyBorder="1" applyAlignment="1">
      <alignment horizontal="center" vertical="center" shrinkToFit="1"/>
    </xf>
    <xf numFmtId="0" fontId="28" fillId="12" borderId="56" xfId="0" applyFont="1" applyFill="1" applyBorder="1" applyAlignment="1">
      <alignment horizontal="center" vertical="center" shrinkToFit="1"/>
    </xf>
    <xf numFmtId="0" fontId="28" fillId="12" borderId="64" xfId="0" applyFont="1" applyFill="1" applyBorder="1" applyAlignment="1">
      <alignment horizontal="center" vertical="center" shrinkToFit="1"/>
    </xf>
    <xf numFmtId="0" fontId="20" fillId="12" borderId="5" xfId="0" applyFont="1" applyFill="1" applyBorder="1" applyAlignment="1">
      <alignment horizontal="center" vertical="center" shrinkToFit="1"/>
    </xf>
    <xf numFmtId="0" fontId="20" fillId="12" borderId="56" xfId="0" applyFont="1" applyFill="1" applyBorder="1" applyAlignment="1">
      <alignment horizontal="center" vertical="center" shrinkToFit="1"/>
    </xf>
    <xf numFmtId="0" fontId="20" fillId="12" borderId="64" xfId="0" applyFont="1" applyFill="1" applyBorder="1" applyAlignment="1">
      <alignment horizontal="center" vertical="center" shrinkToFit="1"/>
    </xf>
    <xf numFmtId="176" fontId="5" fillId="12" borderId="1" xfId="0" applyNumberFormat="1" applyFont="1" applyFill="1" applyBorder="1" applyAlignment="1">
      <alignment horizontal="center" vertical="center" shrinkToFit="1"/>
    </xf>
    <xf numFmtId="9" fontId="5" fillId="12" borderId="1" xfId="0" applyNumberFormat="1" applyFont="1" applyFill="1" applyBorder="1" applyAlignment="1">
      <alignment horizontal="center" vertical="center" shrinkToFit="1"/>
    </xf>
    <xf numFmtId="0" fontId="20" fillId="12" borderId="1" xfId="0" applyFont="1" applyFill="1" applyBorder="1" applyAlignment="1">
      <alignment horizontal="center" vertical="center" shrinkToFit="1"/>
    </xf>
    <xf numFmtId="0" fontId="5" fillId="7" borderId="26" xfId="0" applyFont="1" applyFill="1" applyBorder="1" applyAlignment="1">
      <alignment horizontal="center" vertical="center" shrinkToFit="1"/>
    </xf>
    <xf numFmtId="0" fontId="5" fillId="7" borderId="1" xfId="0" applyFont="1" applyFill="1" applyBorder="1" applyAlignment="1">
      <alignment horizontal="center" vertical="center" shrinkToFit="1"/>
    </xf>
    <xf numFmtId="0" fontId="28" fillId="10" borderId="2" xfId="0" applyFont="1" applyFill="1" applyBorder="1" applyAlignment="1">
      <alignment horizontal="center" vertical="center" shrinkToFit="1"/>
    </xf>
    <xf numFmtId="0" fontId="28" fillId="10" borderId="29" xfId="0" applyFont="1" applyFill="1" applyBorder="1" applyAlignment="1">
      <alignment horizontal="center" vertical="center" shrinkToFit="1"/>
    </xf>
    <xf numFmtId="0" fontId="28" fillId="10" borderId="26" xfId="0" applyFont="1" applyFill="1" applyBorder="1" applyAlignment="1">
      <alignment horizontal="center" vertical="center" shrinkToFit="1"/>
    </xf>
    <xf numFmtId="0" fontId="28" fillId="7" borderId="2" xfId="0" applyFont="1" applyFill="1" applyBorder="1" applyAlignment="1">
      <alignment horizontal="center" vertical="center" shrinkToFit="1"/>
    </xf>
    <xf numFmtId="0" fontId="28" fillId="7" borderId="29" xfId="0" applyFont="1" applyFill="1" applyBorder="1" applyAlignment="1">
      <alignment horizontal="center" vertical="center" shrinkToFit="1"/>
    </xf>
    <xf numFmtId="0" fontId="28" fillId="7" borderId="26" xfId="0" applyFont="1" applyFill="1" applyBorder="1" applyAlignment="1">
      <alignment horizontal="center" vertical="center" shrinkToFit="1"/>
    </xf>
    <xf numFmtId="26" fontId="21" fillId="7" borderId="30" xfId="0" applyNumberFormat="1" applyFont="1" applyFill="1" applyBorder="1" applyAlignment="1">
      <alignment horizontal="center" vertical="center" shrinkToFit="1"/>
    </xf>
    <xf numFmtId="26" fontId="21" fillId="7" borderId="43" xfId="0" applyNumberFormat="1" applyFont="1" applyFill="1" applyBorder="1" applyAlignment="1">
      <alignment horizontal="center" vertical="center" shrinkToFit="1"/>
    </xf>
    <xf numFmtId="26" fontId="21" fillId="7" borderId="44" xfId="0" applyNumberFormat="1" applyFont="1" applyFill="1" applyBorder="1" applyAlignment="1">
      <alignment horizontal="center" vertical="center" shrinkToFit="1"/>
    </xf>
    <xf numFmtId="26" fontId="21" fillId="7" borderId="45" xfId="0" applyNumberFormat="1" applyFont="1" applyFill="1" applyBorder="1" applyAlignment="1">
      <alignment horizontal="center" vertical="center" shrinkToFit="1"/>
    </xf>
    <xf numFmtId="26" fontId="21" fillId="7" borderId="0" xfId="0" applyNumberFormat="1" applyFont="1" applyFill="1" applyBorder="1" applyAlignment="1">
      <alignment horizontal="center" vertical="center" shrinkToFit="1"/>
    </xf>
    <xf numFmtId="26" fontId="21" fillId="7" borderId="46" xfId="0" applyNumberFormat="1" applyFont="1" applyFill="1" applyBorder="1" applyAlignment="1">
      <alignment horizontal="center" vertical="center" shrinkToFit="1"/>
    </xf>
    <xf numFmtId="26" fontId="21" fillId="7" borderId="6" xfId="0" applyNumberFormat="1" applyFont="1" applyFill="1" applyBorder="1" applyAlignment="1">
      <alignment horizontal="center" vertical="center" shrinkToFit="1"/>
    </xf>
    <xf numFmtId="26" fontId="21" fillId="7" borderId="37" xfId="0" applyNumberFormat="1" applyFont="1" applyFill="1" applyBorder="1" applyAlignment="1">
      <alignment horizontal="center" vertical="center" shrinkToFit="1"/>
    </xf>
    <xf numFmtId="26" fontId="21" fillId="7" borderId="39" xfId="0" applyNumberFormat="1" applyFont="1" applyFill="1" applyBorder="1" applyAlignment="1">
      <alignment horizontal="center" vertical="center" shrinkToFit="1"/>
    </xf>
    <xf numFmtId="26" fontId="21" fillId="11" borderId="30" xfId="0" applyNumberFormat="1" applyFont="1" applyFill="1" applyBorder="1" applyAlignment="1">
      <alignment horizontal="center" vertical="center" shrinkToFit="1"/>
    </xf>
    <xf numFmtId="26" fontId="21" fillId="11" borderId="43" xfId="0" applyNumberFormat="1" applyFont="1" applyFill="1" applyBorder="1" applyAlignment="1">
      <alignment horizontal="center" vertical="center" shrinkToFit="1"/>
    </xf>
    <xf numFmtId="26" fontId="21" fillId="11" borderId="44" xfId="0" applyNumberFormat="1" applyFont="1" applyFill="1" applyBorder="1" applyAlignment="1">
      <alignment horizontal="center" vertical="center" shrinkToFit="1"/>
    </xf>
    <xf numFmtId="26" fontId="21" fillId="11" borderId="45" xfId="0" applyNumberFormat="1" applyFont="1" applyFill="1" applyBorder="1" applyAlignment="1">
      <alignment horizontal="center" vertical="center" shrinkToFit="1"/>
    </xf>
    <xf numFmtId="26" fontId="21" fillId="11" borderId="0" xfId="0" applyNumberFormat="1" applyFont="1" applyFill="1" applyBorder="1" applyAlignment="1">
      <alignment horizontal="center" vertical="center" shrinkToFit="1"/>
    </xf>
    <xf numFmtId="26" fontId="21" fillId="11" borderId="46" xfId="0" applyNumberFormat="1" applyFont="1" applyFill="1" applyBorder="1" applyAlignment="1">
      <alignment horizontal="center" vertical="center" shrinkToFit="1"/>
    </xf>
    <xf numFmtId="26" fontId="21" fillId="11" borderId="6" xfId="0" applyNumberFormat="1" applyFont="1" applyFill="1" applyBorder="1" applyAlignment="1">
      <alignment horizontal="center" vertical="center" shrinkToFit="1"/>
    </xf>
    <xf numFmtId="26" fontId="21" fillId="11" borderId="37" xfId="0" applyNumberFormat="1" applyFont="1" applyFill="1" applyBorder="1" applyAlignment="1">
      <alignment horizontal="center" vertical="center" shrinkToFit="1"/>
    </xf>
    <xf numFmtId="26" fontId="21" fillId="11" borderId="39" xfId="0" applyNumberFormat="1" applyFont="1" applyFill="1" applyBorder="1" applyAlignment="1">
      <alignment horizontal="center" vertical="center" shrinkToFit="1"/>
    </xf>
    <xf numFmtId="183" fontId="21" fillId="11" borderId="30" xfId="0" applyNumberFormat="1" applyFont="1" applyFill="1" applyBorder="1" applyAlignment="1">
      <alignment horizontal="center" vertical="center" shrinkToFit="1"/>
    </xf>
    <xf numFmtId="183" fontId="21" fillId="11" borderId="43" xfId="0" applyNumberFormat="1" applyFont="1" applyFill="1" applyBorder="1" applyAlignment="1">
      <alignment horizontal="center" vertical="center" shrinkToFit="1"/>
    </xf>
    <xf numFmtId="183" fontId="21" fillId="11" borderId="44" xfId="0" applyNumberFormat="1" applyFont="1" applyFill="1" applyBorder="1" applyAlignment="1">
      <alignment horizontal="center" vertical="center" shrinkToFit="1"/>
    </xf>
    <xf numFmtId="183" fontId="21" fillId="11" borderId="45" xfId="0" applyNumberFormat="1" applyFont="1" applyFill="1" applyBorder="1" applyAlignment="1">
      <alignment horizontal="center" vertical="center" shrinkToFit="1"/>
    </xf>
    <xf numFmtId="183" fontId="21" fillId="11" borderId="0" xfId="0" applyNumberFormat="1" applyFont="1" applyFill="1" applyBorder="1" applyAlignment="1">
      <alignment horizontal="center" vertical="center" shrinkToFit="1"/>
    </xf>
    <xf numFmtId="183" fontId="21" fillId="11" borderId="46" xfId="0" applyNumberFormat="1" applyFont="1" applyFill="1" applyBorder="1" applyAlignment="1">
      <alignment horizontal="center" vertical="center" shrinkToFit="1"/>
    </xf>
    <xf numFmtId="183" fontId="21" fillId="11" borderId="6" xfId="0" applyNumberFormat="1" applyFont="1" applyFill="1" applyBorder="1" applyAlignment="1">
      <alignment horizontal="center" vertical="center" shrinkToFit="1"/>
    </xf>
    <xf numFmtId="183" fontId="21" fillId="11" borderId="37" xfId="0" applyNumberFormat="1" applyFont="1" applyFill="1" applyBorder="1" applyAlignment="1">
      <alignment horizontal="center" vertical="center" shrinkToFit="1"/>
    </xf>
    <xf numFmtId="183" fontId="21" fillId="11" borderId="39" xfId="0" applyNumberFormat="1" applyFont="1" applyFill="1" applyBorder="1" applyAlignment="1">
      <alignment horizontal="center" vertical="center" shrinkToFit="1"/>
    </xf>
    <xf numFmtId="0" fontId="5" fillId="11" borderId="1" xfId="0" applyFont="1" applyFill="1" applyBorder="1" applyAlignment="1">
      <alignment horizontal="center" vertical="center" shrinkToFit="1"/>
    </xf>
    <xf numFmtId="176" fontId="5" fillId="11" borderId="1" xfId="0" applyNumberFormat="1" applyFont="1" applyFill="1" applyBorder="1" applyAlignment="1">
      <alignment horizontal="center" vertical="center" shrinkToFit="1"/>
    </xf>
    <xf numFmtId="176" fontId="5" fillId="10" borderId="2" xfId="0" applyNumberFormat="1" applyFont="1" applyFill="1" applyBorder="1" applyAlignment="1">
      <alignment horizontal="center" vertical="center" shrinkToFit="1"/>
    </xf>
    <xf numFmtId="176" fontId="5" fillId="10" borderId="29" xfId="0" applyNumberFormat="1" applyFont="1" applyFill="1" applyBorder="1" applyAlignment="1">
      <alignment horizontal="center" vertical="center" shrinkToFit="1"/>
    </xf>
    <xf numFmtId="176" fontId="5" fillId="10" borderId="26" xfId="0" applyNumberFormat="1" applyFont="1" applyFill="1" applyBorder="1" applyAlignment="1">
      <alignment horizontal="center" vertical="center" shrinkToFit="1"/>
    </xf>
    <xf numFmtId="176" fontId="5" fillId="7" borderId="2" xfId="0" applyNumberFormat="1" applyFont="1" applyFill="1" applyBorder="1" applyAlignment="1">
      <alignment horizontal="center" vertical="center" shrinkToFit="1"/>
    </xf>
    <xf numFmtId="176" fontId="5" fillId="7" borderId="29" xfId="0" applyNumberFormat="1" applyFont="1" applyFill="1" applyBorder="1" applyAlignment="1">
      <alignment horizontal="center" vertical="center" shrinkToFit="1"/>
    </xf>
    <xf numFmtId="176" fontId="5" fillId="7" borderId="26" xfId="0" applyNumberFormat="1" applyFont="1" applyFill="1" applyBorder="1" applyAlignment="1">
      <alignment horizontal="center" vertical="center" shrinkToFit="1"/>
    </xf>
    <xf numFmtId="0" fontId="5" fillId="10" borderId="2" xfId="0" applyFont="1" applyFill="1" applyBorder="1" applyAlignment="1">
      <alignment horizontal="center" vertical="center" shrinkToFit="1"/>
    </xf>
    <xf numFmtId="0" fontId="5" fillId="10" borderId="29" xfId="0" applyFont="1" applyFill="1" applyBorder="1" applyAlignment="1">
      <alignment horizontal="center" vertical="center" shrinkToFit="1"/>
    </xf>
    <xf numFmtId="0" fontId="5" fillId="10" borderId="26" xfId="0" applyFont="1" applyFill="1" applyBorder="1" applyAlignment="1">
      <alignment horizontal="center" vertical="center" shrinkToFit="1"/>
    </xf>
    <xf numFmtId="0" fontId="5" fillId="7" borderId="2" xfId="0" applyFont="1" applyFill="1" applyBorder="1" applyAlignment="1">
      <alignment horizontal="center" vertical="center" shrinkToFit="1"/>
    </xf>
    <xf numFmtId="0" fontId="5" fillId="7" borderId="29" xfId="0" applyFont="1" applyFill="1" applyBorder="1" applyAlignment="1">
      <alignment horizontal="center" vertical="center" shrinkToFit="1"/>
    </xf>
    <xf numFmtId="0" fontId="5" fillId="11" borderId="2" xfId="0" applyFont="1" applyFill="1" applyBorder="1" applyAlignment="1">
      <alignment horizontal="center" vertical="center" shrinkToFit="1"/>
    </xf>
    <xf numFmtId="0" fontId="5" fillId="11" borderId="29" xfId="0" applyFont="1" applyFill="1" applyBorder="1" applyAlignment="1">
      <alignment horizontal="center" vertical="center" shrinkToFit="1"/>
    </xf>
    <xf numFmtId="0" fontId="5" fillId="11" borderId="26" xfId="0" applyFont="1" applyFill="1" applyBorder="1" applyAlignment="1">
      <alignment horizontal="center" vertical="center" shrinkToFit="1"/>
    </xf>
    <xf numFmtId="9" fontId="5" fillId="11" borderId="1" xfId="0" applyNumberFormat="1" applyFont="1" applyFill="1" applyBorder="1" applyAlignment="1">
      <alignment horizontal="center" vertical="center" shrinkToFit="1"/>
    </xf>
    <xf numFmtId="9" fontId="5" fillId="7" borderId="2" xfId="0" applyNumberFormat="1" applyFont="1" applyFill="1" applyBorder="1" applyAlignment="1">
      <alignment horizontal="center" vertical="center" shrinkToFit="1"/>
    </xf>
    <xf numFmtId="9" fontId="5" fillId="7" borderId="29" xfId="0" applyNumberFormat="1" applyFont="1" applyFill="1" applyBorder="1" applyAlignment="1">
      <alignment horizontal="center" vertical="center" shrinkToFit="1"/>
    </xf>
    <xf numFmtId="9" fontId="5" fillId="7" borderId="26" xfId="0" applyNumberFormat="1" applyFont="1" applyFill="1" applyBorder="1" applyAlignment="1">
      <alignment horizontal="center" vertical="center" shrinkToFit="1"/>
    </xf>
    <xf numFmtId="0" fontId="20" fillId="7" borderId="30" xfId="0" applyFont="1" applyFill="1" applyBorder="1" applyAlignment="1">
      <alignment horizontal="center" vertical="center" shrinkToFit="1"/>
    </xf>
    <xf numFmtId="0" fontId="20" fillId="7" borderId="43" xfId="0" applyFont="1" applyFill="1" applyBorder="1" applyAlignment="1">
      <alignment horizontal="center" vertical="center" shrinkToFit="1"/>
    </xf>
    <xf numFmtId="0" fontId="20" fillId="7" borderId="44" xfId="0" applyFont="1" applyFill="1" applyBorder="1" applyAlignment="1">
      <alignment horizontal="center" vertical="center" shrinkToFit="1"/>
    </xf>
    <xf numFmtId="0" fontId="20" fillId="7" borderId="45" xfId="0" applyFont="1" applyFill="1" applyBorder="1" applyAlignment="1">
      <alignment horizontal="center" vertical="center" shrinkToFit="1"/>
    </xf>
    <xf numFmtId="0" fontId="20" fillId="7" borderId="0" xfId="0" applyFont="1" applyFill="1" applyBorder="1" applyAlignment="1">
      <alignment horizontal="center" vertical="center" shrinkToFit="1"/>
    </xf>
    <xf numFmtId="0" fontId="20" fillId="7" borderId="46" xfId="0" applyFont="1" applyFill="1" applyBorder="1" applyAlignment="1">
      <alignment horizontal="center" vertical="center" shrinkToFit="1"/>
    </xf>
    <xf numFmtId="0" fontId="20" fillId="7" borderId="6" xfId="0" applyFont="1" applyFill="1" applyBorder="1" applyAlignment="1">
      <alignment horizontal="center" vertical="center" shrinkToFit="1"/>
    </xf>
    <xf numFmtId="0" fontId="20" fillId="7" borderId="37" xfId="0" applyFont="1" applyFill="1" applyBorder="1" applyAlignment="1">
      <alignment horizontal="center" vertical="center" shrinkToFit="1"/>
    </xf>
    <xf numFmtId="0" fontId="20" fillId="7" borderId="39" xfId="0" applyFont="1" applyFill="1" applyBorder="1" applyAlignment="1">
      <alignment horizontal="center" vertical="center" shrinkToFit="1"/>
    </xf>
    <xf numFmtId="183" fontId="21" fillId="7" borderId="30" xfId="0" applyNumberFormat="1" applyFont="1" applyFill="1" applyBorder="1" applyAlignment="1">
      <alignment horizontal="center" vertical="center" shrinkToFit="1"/>
    </xf>
    <xf numFmtId="183" fontId="21" fillId="7" borderId="43" xfId="0" applyNumberFormat="1" applyFont="1" applyFill="1" applyBorder="1" applyAlignment="1">
      <alignment horizontal="center" vertical="center" shrinkToFit="1"/>
    </xf>
    <xf numFmtId="183" fontId="21" fillId="7" borderId="44" xfId="0" applyNumberFormat="1" applyFont="1" applyFill="1" applyBorder="1" applyAlignment="1">
      <alignment horizontal="center" vertical="center" shrinkToFit="1"/>
    </xf>
    <xf numFmtId="183" fontId="21" fillId="7" borderId="45" xfId="0" applyNumberFormat="1" applyFont="1" applyFill="1" applyBorder="1" applyAlignment="1">
      <alignment horizontal="center" vertical="center" shrinkToFit="1"/>
    </xf>
    <xf numFmtId="183" fontId="21" fillId="7" borderId="0" xfId="0" applyNumberFormat="1" applyFont="1" applyFill="1" applyBorder="1" applyAlignment="1">
      <alignment horizontal="center" vertical="center" shrinkToFit="1"/>
    </xf>
    <xf numFmtId="183" fontId="21" fillId="7" borderId="46" xfId="0" applyNumberFormat="1" applyFont="1" applyFill="1" applyBorder="1" applyAlignment="1">
      <alignment horizontal="center" vertical="center" shrinkToFit="1"/>
    </xf>
    <xf numFmtId="183" fontId="21" fillId="7" borderId="6" xfId="0" applyNumberFormat="1" applyFont="1" applyFill="1" applyBorder="1" applyAlignment="1">
      <alignment horizontal="center" vertical="center" shrinkToFit="1"/>
    </xf>
    <xf numFmtId="183" fontId="21" fillId="7" borderId="37" xfId="0" applyNumberFormat="1" applyFont="1" applyFill="1" applyBorder="1" applyAlignment="1">
      <alignment horizontal="center" vertical="center" shrinkToFit="1"/>
    </xf>
    <xf numFmtId="183" fontId="21" fillId="7" borderId="39" xfId="0" applyNumberFormat="1" applyFont="1" applyFill="1" applyBorder="1" applyAlignment="1">
      <alignment horizontal="center" vertical="center" shrinkToFit="1"/>
    </xf>
    <xf numFmtId="176" fontId="5" fillId="9" borderId="1" xfId="0" applyNumberFormat="1" applyFont="1" applyFill="1" applyBorder="1" applyAlignment="1">
      <alignment horizontal="center" vertical="center" shrinkToFit="1"/>
    </xf>
    <xf numFmtId="9" fontId="5" fillId="9" borderId="1" xfId="0" applyNumberFormat="1" applyFont="1" applyFill="1" applyBorder="1" applyAlignment="1">
      <alignment horizontal="center" vertical="center" shrinkToFit="1"/>
    </xf>
    <xf numFmtId="176" fontId="5" fillId="5" borderId="1" xfId="0" applyNumberFormat="1" applyFont="1" applyFill="1" applyBorder="1" applyAlignment="1">
      <alignment horizontal="center" vertical="center" shrinkToFit="1"/>
    </xf>
    <xf numFmtId="176" fontId="5" fillId="7" borderId="1" xfId="0" applyNumberFormat="1" applyFont="1" applyFill="1" applyBorder="1" applyAlignment="1">
      <alignment horizontal="center" vertical="center" shrinkToFit="1"/>
    </xf>
    <xf numFmtId="9" fontId="5" fillId="7" borderId="1" xfId="0" applyNumberFormat="1" applyFont="1" applyFill="1" applyBorder="1" applyAlignment="1">
      <alignment horizontal="center" vertical="center" shrinkToFit="1"/>
    </xf>
    <xf numFmtId="0" fontId="5" fillId="9" borderId="2" xfId="0" applyFont="1" applyFill="1" applyBorder="1" applyAlignment="1">
      <alignment horizontal="center" vertical="center" shrinkToFit="1"/>
    </xf>
    <xf numFmtId="0" fontId="5" fillId="9" borderId="29" xfId="0" applyFont="1" applyFill="1" applyBorder="1" applyAlignment="1">
      <alignment horizontal="center" vertical="center" shrinkToFit="1"/>
    </xf>
    <xf numFmtId="0" fontId="5" fillId="9" borderId="26" xfId="0" applyFont="1" applyFill="1" applyBorder="1" applyAlignment="1">
      <alignment horizontal="center" vertical="center" shrinkToFit="1"/>
    </xf>
    <xf numFmtId="0" fontId="5" fillId="6" borderId="26" xfId="0" applyFont="1" applyFill="1" applyBorder="1" applyAlignment="1">
      <alignment horizontal="center" vertical="center" shrinkToFit="1"/>
    </xf>
    <xf numFmtId="176" fontId="5" fillId="6" borderId="2" xfId="0" applyNumberFormat="1" applyFont="1" applyFill="1" applyBorder="1" applyAlignment="1">
      <alignment horizontal="center" vertical="center" shrinkToFit="1"/>
    </xf>
    <xf numFmtId="176" fontId="5" fillId="6" borderId="29" xfId="0" applyNumberFormat="1" applyFont="1" applyFill="1" applyBorder="1" applyAlignment="1">
      <alignment horizontal="center" vertical="center" shrinkToFit="1"/>
    </xf>
    <xf numFmtId="176" fontId="5" fillId="6" borderId="26" xfId="0" applyNumberFormat="1" applyFont="1" applyFill="1" applyBorder="1" applyAlignment="1">
      <alignment horizontal="center" vertical="center" shrinkToFit="1"/>
    </xf>
    <xf numFmtId="9" fontId="5" fillId="6" borderId="2" xfId="0" applyNumberFormat="1" applyFont="1" applyFill="1" applyBorder="1" applyAlignment="1">
      <alignment horizontal="center" vertical="center" shrinkToFit="1"/>
    </xf>
    <xf numFmtId="9" fontId="5" fillId="6" borderId="29" xfId="0" applyNumberFormat="1" applyFont="1" applyFill="1" applyBorder="1" applyAlignment="1">
      <alignment horizontal="center" vertical="center" shrinkToFit="1"/>
    </xf>
    <xf numFmtId="9" fontId="5" fillId="6" borderId="26" xfId="0" applyNumberFormat="1" applyFont="1" applyFill="1" applyBorder="1" applyAlignment="1">
      <alignment horizontal="center" vertical="center" shrinkToFit="1"/>
    </xf>
    <xf numFmtId="9" fontId="5" fillId="5" borderId="2" xfId="0" applyNumberFormat="1" applyFont="1" applyFill="1" applyBorder="1" applyAlignment="1">
      <alignment horizontal="center" vertical="center" shrinkToFit="1"/>
    </xf>
    <xf numFmtId="9" fontId="5" fillId="5" borderId="29" xfId="0" applyNumberFormat="1" applyFont="1" applyFill="1" applyBorder="1" applyAlignment="1">
      <alignment horizontal="center" vertical="center" shrinkToFit="1"/>
    </xf>
    <xf numFmtId="9" fontId="5" fillId="5" borderId="26" xfId="0" applyNumberFormat="1" applyFont="1" applyFill="1" applyBorder="1" applyAlignment="1">
      <alignment horizontal="center" vertical="center" shrinkToFit="1"/>
    </xf>
    <xf numFmtId="9" fontId="5" fillId="10" borderId="1" xfId="0" applyNumberFormat="1" applyFont="1" applyFill="1" applyBorder="1" applyAlignment="1">
      <alignment horizontal="center" vertical="center" shrinkToFit="1"/>
    </xf>
    <xf numFmtId="0" fontId="5" fillId="10" borderId="1" xfId="0" applyFont="1" applyFill="1" applyBorder="1" applyAlignment="1">
      <alignment horizontal="center" vertical="center" shrinkToFit="1"/>
    </xf>
    <xf numFmtId="9" fontId="5" fillId="10" borderId="2" xfId="0" applyNumberFormat="1" applyFont="1" applyFill="1" applyBorder="1" applyAlignment="1">
      <alignment horizontal="center" vertical="center" shrinkToFit="1"/>
    </xf>
    <xf numFmtId="9" fontId="5" fillId="10" borderId="29" xfId="0" applyNumberFormat="1" applyFont="1" applyFill="1" applyBorder="1" applyAlignment="1">
      <alignment horizontal="center" vertical="center" shrinkToFit="1"/>
    </xf>
    <xf numFmtId="9" fontId="5" fillId="10" borderId="26" xfId="0" applyNumberFormat="1" applyFont="1" applyFill="1" applyBorder="1" applyAlignment="1">
      <alignment horizontal="center" vertical="center" shrinkToFit="1"/>
    </xf>
    <xf numFmtId="0" fontId="5" fillId="5" borderId="26" xfId="0" applyFont="1" applyFill="1" applyBorder="1" applyAlignment="1">
      <alignment horizontal="center" vertical="center" shrinkToFit="1"/>
    </xf>
    <xf numFmtId="0" fontId="5" fillId="5" borderId="1" xfId="0" applyFont="1" applyFill="1" applyBorder="1" applyAlignment="1">
      <alignment horizontal="center" vertical="center" shrinkToFit="1"/>
    </xf>
    <xf numFmtId="0" fontId="5" fillId="6" borderId="2" xfId="0" applyFont="1" applyFill="1" applyBorder="1" applyAlignment="1">
      <alignment horizontal="center" vertical="center" shrinkToFit="1"/>
    </xf>
    <xf numFmtId="0" fontId="5" fillId="6" borderId="29" xfId="0" applyFont="1" applyFill="1" applyBorder="1" applyAlignment="1">
      <alignment horizontal="center" vertical="center" shrinkToFit="1"/>
    </xf>
    <xf numFmtId="176" fontId="5" fillId="10" borderId="1" xfId="0" applyNumberFormat="1" applyFont="1" applyFill="1" applyBorder="1" applyAlignment="1">
      <alignment horizontal="center" vertical="center" shrinkToFit="1"/>
    </xf>
    <xf numFmtId="0" fontId="28" fillId="6" borderId="2" xfId="0" applyFont="1" applyFill="1" applyBorder="1" applyAlignment="1">
      <alignment horizontal="center" vertical="center" shrinkToFit="1"/>
    </xf>
    <xf numFmtId="0" fontId="28" fillId="6" borderId="29" xfId="0" applyFont="1" applyFill="1" applyBorder="1" applyAlignment="1">
      <alignment horizontal="center" vertical="center" shrinkToFit="1"/>
    </xf>
    <xf numFmtId="0" fontId="28" fillId="6" borderId="26" xfId="0" applyFont="1" applyFill="1" applyBorder="1" applyAlignment="1">
      <alignment horizontal="center" vertical="center" shrinkToFit="1"/>
    </xf>
    <xf numFmtId="0" fontId="5" fillId="9" borderId="1" xfId="0" applyFont="1" applyFill="1" applyBorder="1" applyAlignment="1">
      <alignment horizontal="center" vertical="center" shrinkToFit="1"/>
    </xf>
    <xf numFmtId="176" fontId="5" fillId="5" borderId="2" xfId="0" applyNumberFormat="1" applyFont="1" applyFill="1" applyBorder="1" applyAlignment="1">
      <alignment horizontal="center" vertical="center" shrinkToFit="1"/>
    </xf>
    <xf numFmtId="176" fontId="5" fillId="5" borderId="29" xfId="0" applyNumberFormat="1" applyFont="1" applyFill="1" applyBorder="1" applyAlignment="1">
      <alignment horizontal="center" vertical="center" shrinkToFit="1"/>
    </xf>
    <xf numFmtId="176" fontId="5" fillId="5" borderId="26" xfId="0" applyNumberFormat="1" applyFont="1" applyFill="1" applyBorder="1" applyAlignment="1">
      <alignment horizontal="center" vertical="center" shrinkToFit="1"/>
    </xf>
    <xf numFmtId="26" fontId="21" fillId="10" borderId="30" xfId="0" applyNumberFormat="1" applyFont="1" applyFill="1" applyBorder="1" applyAlignment="1">
      <alignment horizontal="center" vertical="center" shrinkToFit="1"/>
    </xf>
    <xf numFmtId="26" fontId="21" fillId="10" borderId="43" xfId="0" applyNumberFormat="1" applyFont="1" applyFill="1" applyBorder="1" applyAlignment="1">
      <alignment horizontal="center" vertical="center" shrinkToFit="1"/>
    </xf>
    <xf numFmtId="26" fontId="21" fillId="10" borderId="44" xfId="0" applyNumberFormat="1" applyFont="1" applyFill="1" applyBorder="1" applyAlignment="1">
      <alignment horizontal="center" vertical="center" shrinkToFit="1"/>
    </xf>
    <xf numFmtId="26" fontId="21" fillId="10" borderId="45" xfId="0" applyNumberFormat="1" applyFont="1" applyFill="1" applyBorder="1" applyAlignment="1">
      <alignment horizontal="center" vertical="center" shrinkToFit="1"/>
    </xf>
    <xf numFmtId="26" fontId="21" fillId="10" borderId="0" xfId="0" applyNumberFormat="1" applyFont="1" applyFill="1" applyBorder="1" applyAlignment="1">
      <alignment horizontal="center" vertical="center" shrinkToFit="1"/>
    </xf>
    <xf numFmtId="26" fontId="21" fillId="10" borderId="46" xfId="0" applyNumberFormat="1" applyFont="1" applyFill="1" applyBorder="1" applyAlignment="1">
      <alignment horizontal="center" vertical="center" shrinkToFit="1"/>
    </xf>
    <xf numFmtId="26" fontId="21" fillId="10" borderId="6" xfId="0" applyNumberFormat="1" applyFont="1" applyFill="1" applyBorder="1" applyAlignment="1">
      <alignment horizontal="center" vertical="center" shrinkToFit="1"/>
    </xf>
    <xf numFmtId="26" fontId="21" fillId="10" borderId="37" xfId="0" applyNumberFormat="1" applyFont="1" applyFill="1" applyBorder="1" applyAlignment="1">
      <alignment horizontal="center" vertical="center" shrinkToFit="1"/>
    </xf>
    <xf numFmtId="26" fontId="21" fillId="10" borderId="39" xfId="0" applyNumberFormat="1" applyFont="1" applyFill="1" applyBorder="1" applyAlignment="1">
      <alignment horizontal="center" vertical="center" shrinkToFit="1"/>
    </xf>
    <xf numFmtId="183" fontId="21" fillId="10" borderId="30" xfId="0" applyNumberFormat="1" applyFont="1" applyFill="1" applyBorder="1" applyAlignment="1">
      <alignment horizontal="center" vertical="center" shrinkToFit="1"/>
    </xf>
    <xf numFmtId="183" fontId="21" fillId="10" borderId="43" xfId="0" applyNumberFormat="1" applyFont="1" applyFill="1" applyBorder="1" applyAlignment="1">
      <alignment horizontal="center" vertical="center" shrinkToFit="1"/>
    </xf>
    <xf numFmtId="183" fontId="21" fillId="10" borderId="44" xfId="0" applyNumberFormat="1" applyFont="1" applyFill="1" applyBorder="1" applyAlignment="1">
      <alignment horizontal="center" vertical="center" shrinkToFit="1"/>
    </xf>
    <xf numFmtId="183" fontId="21" fillId="10" borderId="45" xfId="0" applyNumberFormat="1" applyFont="1" applyFill="1" applyBorder="1" applyAlignment="1">
      <alignment horizontal="center" vertical="center" shrinkToFit="1"/>
    </xf>
    <xf numFmtId="183" fontId="21" fillId="10" borderId="0" xfId="0" applyNumberFormat="1" applyFont="1" applyFill="1" applyBorder="1" applyAlignment="1">
      <alignment horizontal="center" vertical="center" shrinkToFit="1"/>
    </xf>
    <xf numFmtId="183" fontId="21" fillId="10" borderId="46" xfId="0" applyNumberFormat="1" applyFont="1" applyFill="1" applyBorder="1" applyAlignment="1">
      <alignment horizontal="center" vertical="center" shrinkToFit="1"/>
    </xf>
    <xf numFmtId="183" fontId="21" fillId="10" borderId="6" xfId="0" applyNumberFormat="1" applyFont="1" applyFill="1" applyBorder="1" applyAlignment="1">
      <alignment horizontal="center" vertical="center" shrinkToFit="1"/>
    </xf>
    <xf numFmtId="183" fontId="21" fillId="10" borderId="37" xfId="0" applyNumberFormat="1" applyFont="1" applyFill="1" applyBorder="1" applyAlignment="1">
      <alignment horizontal="center" vertical="center" shrinkToFit="1"/>
    </xf>
    <xf numFmtId="183" fontId="21" fillId="10" borderId="39" xfId="0" applyNumberFormat="1" applyFont="1" applyFill="1" applyBorder="1" applyAlignment="1">
      <alignment horizontal="center" vertical="center" shrinkToFit="1"/>
    </xf>
    <xf numFmtId="176" fontId="5" fillId="9" borderId="2" xfId="0" applyNumberFormat="1" applyFont="1" applyFill="1" applyBorder="1" applyAlignment="1">
      <alignment horizontal="center" vertical="center" shrinkToFit="1"/>
    </xf>
    <xf numFmtId="176" fontId="5" fillId="9" borderId="29" xfId="0" applyNumberFormat="1" applyFont="1" applyFill="1" applyBorder="1" applyAlignment="1">
      <alignment horizontal="center" vertical="center" shrinkToFit="1"/>
    </xf>
    <xf numFmtId="176" fontId="5" fillId="9" borderId="26" xfId="0" applyNumberFormat="1" applyFont="1" applyFill="1" applyBorder="1" applyAlignment="1">
      <alignment horizontal="center" vertical="center" shrinkToFit="1"/>
    </xf>
    <xf numFmtId="9" fontId="5" fillId="9" borderId="2" xfId="0" applyNumberFormat="1" applyFont="1" applyFill="1" applyBorder="1" applyAlignment="1">
      <alignment horizontal="center" vertical="center" shrinkToFit="1"/>
    </xf>
    <xf numFmtId="9" fontId="5" fillId="9" borderId="29" xfId="0" applyNumberFormat="1" applyFont="1" applyFill="1" applyBorder="1" applyAlignment="1">
      <alignment horizontal="center" vertical="center" shrinkToFit="1"/>
    </xf>
    <xf numFmtId="9" fontId="5" fillId="9" borderId="26" xfId="0" applyNumberFormat="1" applyFont="1" applyFill="1" applyBorder="1" applyAlignment="1">
      <alignment horizontal="center" vertical="center" shrinkToFit="1"/>
    </xf>
    <xf numFmtId="0" fontId="5" fillId="5" borderId="2" xfId="0" applyFont="1" applyFill="1" applyBorder="1" applyAlignment="1">
      <alignment horizontal="center" vertical="center" shrinkToFit="1"/>
    </xf>
    <xf numFmtId="0" fontId="5" fillId="5" borderId="29" xfId="0" applyFont="1" applyFill="1" applyBorder="1" applyAlignment="1">
      <alignment horizontal="center" vertical="center" shrinkToFit="1"/>
    </xf>
    <xf numFmtId="0" fontId="20" fillId="9" borderId="30" xfId="0" applyFont="1" applyFill="1" applyBorder="1" applyAlignment="1">
      <alignment horizontal="center" vertical="center" shrinkToFit="1"/>
    </xf>
    <xf numFmtId="0" fontId="20" fillId="9" borderId="43" xfId="0" applyFont="1" applyFill="1" applyBorder="1" applyAlignment="1">
      <alignment horizontal="center" vertical="center" shrinkToFit="1"/>
    </xf>
    <xf numFmtId="0" fontId="20" fillId="9" borderId="44" xfId="0" applyFont="1" applyFill="1" applyBorder="1" applyAlignment="1">
      <alignment horizontal="center" vertical="center" shrinkToFit="1"/>
    </xf>
    <xf numFmtId="0" fontId="20" fillId="9" borderId="45" xfId="0" applyFont="1" applyFill="1" applyBorder="1" applyAlignment="1">
      <alignment horizontal="center" vertical="center" shrinkToFit="1"/>
    </xf>
    <xf numFmtId="0" fontId="20" fillId="9" borderId="0" xfId="0" applyFont="1" applyFill="1" applyBorder="1" applyAlignment="1">
      <alignment horizontal="center" vertical="center" shrinkToFit="1"/>
    </xf>
    <xf numFmtId="0" fontId="20" fillId="9" borderId="46" xfId="0" applyFont="1" applyFill="1" applyBorder="1" applyAlignment="1">
      <alignment horizontal="center" vertical="center" shrinkToFit="1"/>
    </xf>
    <xf numFmtId="0" fontId="20" fillId="9" borderId="6" xfId="0" applyFont="1" applyFill="1" applyBorder="1" applyAlignment="1">
      <alignment horizontal="center" vertical="center" shrinkToFit="1"/>
    </xf>
    <xf numFmtId="0" fontId="20" fillId="9" borderId="37" xfId="0" applyFont="1" applyFill="1" applyBorder="1" applyAlignment="1">
      <alignment horizontal="center" vertical="center" shrinkToFit="1"/>
    </xf>
    <xf numFmtId="0" fontId="20" fillId="9" borderId="39" xfId="0" applyFont="1" applyFill="1" applyBorder="1" applyAlignment="1">
      <alignment horizontal="center" vertical="center" shrinkToFit="1"/>
    </xf>
    <xf numFmtId="0" fontId="20" fillId="6" borderId="30" xfId="0" applyFont="1" applyFill="1" applyBorder="1" applyAlignment="1">
      <alignment horizontal="center" vertical="center" shrinkToFit="1"/>
    </xf>
    <xf numFmtId="0" fontId="20" fillId="6" borderId="43" xfId="0" applyFont="1" applyFill="1" applyBorder="1" applyAlignment="1">
      <alignment horizontal="center" vertical="center" shrinkToFit="1"/>
    </xf>
    <xf numFmtId="0" fontId="20" fillId="6" borderId="44" xfId="0" applyFont="1" applyFill="1" applyBorder="1" applyAlignment="1">
      <alignment horizontal="center" vertical="center" shrinkToFit="1"/>
    </xf>
    <xf numFmtId="0" fontId="20" fillId="6" borderId="45" xfId="0" applyFont="1" applyFill="1" applyBorder="1" applyAlignment="1">
      <alignment horizontal="center" vertical="center" shrinkToFit="1"/>
    </xf>
    <xf numFmtId="0" fontId="20" fillId="6" borderId="0" xfId="0" applyFont="1" applyFill="1" applyBorder="1" applyAlignment="1">
      <alignment horizontal="center" vertical="center" shrinkToFit="1"/>
    </xf>
    <xf numFmtId="0" fontId="20" fillId="6" borderId="46" xfId="0" applyFont="1" applyFill="1" applyBorder="1" applyAlignment="1">
      <alignment horizontal="center" vertical="center" shrinkToFit="1"/>
    </xf>
    <xf numFmtId="0" fontId="20" fillId="6" borderId="6" xfId="0" applyFont="1" applyFill="1" applyBorder="1" applyAlignment="1">
      <alignment horizontal="center" vertical="center" shrinkToFit="1"/>
    </xf>
    <xf numFmtId="0" fontId="20" fillId="6" borderId="37" xfId="0" applyFont="1" applyFill="1" applyBorder="1" applyAlignment="1">
      <alignment horizontal="center" vertical="center" shrinkToFit="1"/>
    </xf>
    <xf numFmtId="0" fontId="20" fillId="6" borderId="39" xfId="0" applyFont="1" applyFill="1" applyBorder="1" applyAlignment="1">
      <alignment horizontal="center" vertical="center" shrinkToFit="1"/>
    </xf>
    <xf numFmtId="0" fontId="20" fillId="11" borderId="30" xfId="0" applyFont="1" applyFill="1" applyBorder="1" applyAlignment="1">
      <alignment horizontal="center" vertical="center" shrinkToFit="1"/>
    </xf>
    <xf numFmtId="0" fontId="20" fillId="11" borderId="43" xfId="0" applyFont="1" applyFill="1" applyBorder="1" applyAlignment="1">
      <alignment horizontal="center" vertical="center" shrinkToFit="1"/>
    </xf>
    <xf numFmtId="0" fontId="20" fillId="11" borderId="44" xfId="0" applyFont="1" applyFill="1" applyBorder="1" applyAlignment="1">
      <alignment horizontal="center" vertical="center" shrinkToFit="1"/>
    </xf>
    <xf numFmtId="0" fontId="20" fillId="11" borderId="45" xfId="0" applyFont="1" applyFill="1" applyBorder="1" applyAlignment="1">
      <alignment horizontal="center" vertical="center" shrinkToFit="1"/>
    </xf>
    <xf numFmtId="0" fontId="20" fillId="11" borderId="0" xfId="0" applyFont="1" applyFill="1" applyBorder="1" applyAlignment="1">
      <alignment horizontal="center" vertical="center" shrinkToFit="1"/>
    </xf>
    <xf numFmtId="0" fontId="20" fillId="11" borderId="46" xfId="0" applyFont="1" applyFill="1" applyBorder="1" applyAlignment="1">
      <alignment horizontal="center" vertical="center" shrinkToFit="1"/>
    </xf>
    <xf numFmtId="0" fontId="20" fillId="11" borderId="6" xfId="0" applyFont="1" applyFill="1" applyBorder="1" applyAlignment="1">
      <alignment horizontal="center" vertical="center" shrinkToFit="1"/>
    </xf>
    <xf numFmtId="0" fontId="20" fillId="11" borderId="37" xfId="0" applyFont="1" applyFill="1" applyBorder="1" applyAlignment="1">
      <alignment horizontal="center" vertical="center" shrinkToFit="1"/>
    </xf>
    <xf numFmtId="0" fontId="20" fillId="11" borderId="39" xfId="0" applyFont="1" applyFill="1" applyBorder="1" applyAlignment="1">
      <alignment horizontal="center" vertical="center" shrinkToFit="1"/>
    </xf>
    <xf numFmtId="9" fontId="5" fillId="11" borderId="2" xfId="0" applyNumberFormat="1" applyFont="1" applyFill="1" applyBorder="1" applyAlignment="1">
      <alignment horizontal="center" vertical="center" shrinkToFit="1"/>
    </xf>
    <xf numFmtId="9" fontId="5" fillId="11" borderId="29" xfId="0" applyNumberFormat="1" applyFont="1" applyFill="1" applyBorder="1" applyAlignment="1">
      <alignment horizontal="center" vertical="center" shrinkToFit="1"/>
    </xf>
    <xf numFmtId="9" fontId="5" fillId="11" borderId="26" xfId="0" applyNumberFormat="1" applyFont="1" applyFill="1" applyBorder="1" applyAlignment="1">
      <alignment horizontal="center" vertical="center" shrinkToFit="1"/>
    </xf>
    <xf numFmtId="0" fontId="20" fillId="5" borderId="30" xfId="0" applyFont="1" applyFill="1" applyBorder="1" applyAlignment="1">
      <alignment horizontal="center" vertical="center" shrinkToFit="1"/>
    </xf>
    <xf numFmtId="0" fontId="20" fillId="5" borderId="43" xfId="0" applyFont="1" applyFill="1" applyBorder="1" applyAlignment="1">
      <alignment horizontal="center" vertical="center" shrinkToFit="1"/>
    </xf>
    <xf numFmtId="0" fontId="20" fillId="5" borderId="44" xfId="0" applyFont="1" applyFill="1" applyBorder="1" applyAlignment="1">
      <alignment horizontal="center" vertical="center" shrinkToFit="1"/>
    </xf>
    <xf numFmtId="0" fontId="20" fillId="5" borderId="45" xfId="0" applyFont="1" applyFill="1" applyBorder="1" applyAlignment="1">
      <alignment horizontal="center" vertical="center" shrinkToFit="1"/>
    </xf>
    <xf numFmtId="0" fontId="20" fillId="5" borderId="0" xfId="0" applyFont="1" applyFill="1" applyBorder="1" applyAlignment="1">
      <alignment horizontal="center" vertical="center" shrinkToFit="1"/>
    </xf>
    <xf numFmtId="0" fontId="20" fillId="5" borderId="46" xfId="0" applyFont="1" applyFill="1" applyBorder="1" applyAlignment="1">
      <alignment horizontal="center" vertical="center" shrinkToFit="1"/>
    </xf>
    <xf numFmtId="0" fontId="20" fillId="5" borderId="6" xfId="0" applyFont="1" applyFill="1" applyBorder="1" applyAlignment="1">
      <alignment horizontal="center" vertical="center" shrinkToFit="1"/>
    </xf>
    <xf numFmtId="0" fontId="20" fillId="5" borderId="37" xfId="0" applyFont="1" applyFill="1" applyBorder="1" applyAlignment="1">
      <alignment horizontal="center" vertical="center" shrinkToFit="1"/>
    </xf>
    <xf numFmtId="0" fontId="20" fillId="5" borderId="39" xfId="0" applyFont="1" applyFill="1" applyBorder="1" applyAlignment="1">
      <alignment horizontal="center" vertical="center" shrinkToFit="1"/>
    </xf>
    <xf numFmtId="0" fontId="20" fillId="10" borderId="30" xfId="0" applyFont="1" applyFill="1" applyBorder="1" applyAlignment="1">
      <alignment horizontal="center" vertical="center" shrinkToFit="1"/>
    </xf>
    <xf numFmtId="0" fontId="20" fillId="10" borderId="43" xfId="0" applyFont="1" applyFill="1" applyBorder="1" applyAlignment="1">
      <alignment horizontal="center" vertical="center" shrinkToFit="1"/>
    </xf>
    <xf numFmtId="0" fontId="20" fillId="10" borderId="44" xfId="0" applyFont="1" applyFill="1" applyBorder="1" applyAlignment="1">
      <alignment horizontal="center" vertical="center" shrinkToFit="1"/>
    </xf>
    <xf numFmtId="0" fontId="20" fillId="10" borderId="45" xfId="0" applyFont="1" applyFill="1" applyBorder="1" applyAlignment="1">
      <alignment horizontal="center" vertical="center" shrinkToFit="1"/>
    </xf>
    <xf numFmtId="0" fontId="20" fillId="10" borderId="0" xfId="0" applyFont="1" applyFill="1" applyBorder="1" applyAlignment="1">
      <alignment horizontal="center" vertical="center" shrinkToFit="1"/>
    </xf>
    <xf numFmtId="0" fontId="20" fillId="10" borderId="46" xfId="0" applyFont="1" applyFill="1" applyBorder="1" applyAlignment="1">
      <alignment horizontal="center" vertical="center" shrinkToFit="1"/>
    </xf>
    <xf numFmtId="0" fontId="20" fillId="10" borderId="6" xfId="0" applyFont="1" applyFill="1" applyBorder="1" applyAlignment="1">
      <alignment horizontal="center" vertical="center" shrinkToFit="1"/>
    </xf>
    <xf numFmtId="0" fontId="20" fillId="10" borderId="37" xfId="0" applyFont="1" applyFill="1" applyBorder="1" applyAlignment="1">
      <alignment horizontal="center" vertical="center" shrinkToFit="1"/>
    </xf>
    <xf numFmtId="0" fontId="20" fillId="10" borderId="39" xfId="0" applyFont="1" applyFill="1" applyBorder="1" applyAlignment="1">
      <alignment horizontal="center" vertical="center" shrinkToFit="1"/>
    </xf>
    <xf numFmtId="0" fontId="28" fillId="9" borderId="2" xfId="0" applyFont="1" applyFill="1" applyBorder="1" applyAlignment="1">
      <alignment horizontal="center" vertical="center" shrinkToFit="1"/>
    </xf>
    <xf numFmtId="0" fontId="28" fillId="9" borderId="29" xfId="0" applyFont="1" applyFill="1" applyBorder="1" applyAlignment="1">
      <alignment horizontal="center" vertical="center" shrinkToFit="1"/>
    </xf>
    <xf numFmtId="0" fontId="28" fillId="9" borderId="26" xfId="0" applyFont="1" applyFill="1" applyBorder="1" applyAlignment="1">
      <alignment horizontal="center" vertical="center" shrinkToFit="1"/>
    </xf>
    <xf numFmtId="0" fontId="20" fillId="9" borderId="2" xfId="0" applyFont="1" applyFill="1" applyBorder="1" applyAlignment="1">
      <alignment horizontal="center" vertical="center" shrinkToFit="1"/>
    </xf>
    <xf numFmtId="0" fontId="20" fillId="9" borderId="29" xfId="0" applyFont="1" applyFill="1" applyBorder="1" applyAlignment="1">
      <alignment horizontal="center" vertical="center" shrinkToFit="1"/>
    </xf>
    <xf numFmtId="0" fontId="20" fillId="9" borderId="26" xfId="0" applyFont="1" applyFill="1" applyBorder="1" applyAlignment="1">
      <alignment horizontal="center" vertical="center" shrinkToFit="1"/>
    </xf>
    <xf numFmtId="0" fontId="10" fillId="8" borderId="1" xfId="0" applyFont="1" applyFill="1" applyBorder="1" applyAlignment="1">
      <alignment horizontal="center" vertical="center" shrinkToFit="1"/>
    </xf>
    <xf numFmtId="0" fontId="19" fillId="8" borderId="1" xfId="0" applyFont="1" applyFill="1" applyBorder="1" applyAlignment="1">
      <alignment horizontal="center" shrinkToFit="1"/>
    </xf>
    <xf numFmtId="183" fontId="21" fillId="5" borderId="30" xfId="0" applyNumberFormat="1" applyFont="1" applyFill="1" applyBorder="1" applyAlignment="1">
      <alignment horizontal="center" vertical="center" shrinkToFit="1"/>
    </xf>
    <xf numFmtId="183" fontId="21" fillId="5" borderId="43" xfId="0" applyNumberFormat="1" applyFont="1" applyFill="1" applyBorder="1" applyAlignment="1">
      <alignment horizontal="center" vertical="center" shrinkToFit="1"/>
    </xf>
    <xf numFmtId="183" fontId="21" fillId="5" borderId="44" xfId="0" applyNumberFormat="1" applyFont="1" applyFill="1" applyBorder="1" applyAlignment="1">
      <alignment horizontal="center" vertical="center" shrinkToFit="1"/>
    </xf>
    <xf numFmtId="183" fontId="21" fillId="5" borderId="45" xfId="0" applyNumberFormat="1" applyFont="1" applyFill="1" applyBorder="1" applyAlignment="1">
      <alignment horizontal="center" vertical="center" shrinkToFit="1"/>
    </xf>
    <xf numFmtId="183" fontId="21" fillId="5" borderId="0" xfId="0" applyNumberFormat="1" applyFont="1" applyFill="1" applyBorder="1" applyAlignment="1">
      <alignment horizontal="center" vertical="center" shrinkToFit="1"/>
    </xf>
    <xf numFmtId="183" fontId="21" fillId="5" borderId="46" xfId="0" applyNumberFormat="1" applyFont="1" applyFill="1" applyBorder="1" applyAlignment="1">
      <alignment horizontal="center" vertical="center" shrinkToFit="1"/>
    </xf>
    <xf numFmtId="183" fontId="21" fillId="5" borderId="6" xfId="0" applyNumberFormat="1" applyFont="1" applyFill="1" applyBorder="1" applyAlignment="1">
      <alignment horizontal="center" vertical="center" shrinkToFit="1"/>
    </xf>
    <xf numFmtId="183" fontId="21" fillId="5" borderId="37" xfId="0" applyNumberFormat="1" applyFont="1" applyFill="1" applyBorder="1" applyAlignment="1">
      <alignment horizontal="center" vertical="center" shrinkToFit="1"/>
    </xf>
    <xf numFmtId="183" fontId="21" fillId="5" borderId="39" xfId="0" applyNumberFormat="1" applyFont="1" applyFill="1" applyBorder="1" applyAlignment="1">
      <alignment horizontal="center" vertical="center" shrinkToFit="1"/>
    </xf>
    <xf numFmtId="183" fontId="21" fillId="9" borderId="30" xfId="0" applyNumberFormat="1" applyFont="1" applyFill="1" applyBorder="1" applyAlignment="1">
      <alignment horizontal="center" vertical="center" shrinkToFit="1"/>
    </xf>
    <xf numFmtId="183" fontId="21" fillId="9" borderId="43" xfId="0" applyNumberFormat="1" applyFont="1" applyFill="1" applyBorder="1" applyAlignment="1">
      <alignment horizontal="center" vertical="center" shrinkToFit="1"/>
    </xf>
    <xf numFmtId="183" fontId="21" fillId="9" borderId="44" xfId="0" applyNumberFormat="1" applyFont="1" applyFill="1" applyBorder="1" applyAlignment="1">
      <alignment horizontal="center" vertical="center" shrinkToFit="1"/>
    </xf>
    <xf numFmtId="183" fontId="21" fillId="9" borderId="45" xfId="0" applyNumberFormat="1" applyFont="1" applyFill="1" applyBorder="1" applyAlignment="1">
      <alignment horizontal="center" vertical="center" shrinkToFit="1"/>
    </xf>
    <xf numFmtId="183" fontId="21" fillId="9" borderId="0" xfId="0" applyNumberFormat="1" applyFont="1" applyFill="1" applyBorder="1" applyAlignment="1">
      <alignment horizontal="center" vertical="center" shrinkToFit="1"/>
    </xf>
    <xf numFmtId="183" fontId="21" fillId="9" borderId="46" xfId="0" applyNumberFormat="1" applyFont="1" applyFill="1" applyBorder="1" applyAlignment="1">
      <alignment horizontal="center" vertical="center" shrinkToFit="1"/>
    </xf>
    <xf numFmtId="183" fontId="21" fillId="9" borderId="6" xfId="0" applyNumberFormat="1" applyFont="1" applyFill="1" applyBorder="1" applyAlignment="1">
      <alignment horizontal="center" vertical="center" shrinkToFit="1"/>
    </xf>
    <xf numFmtId="183" fontId="21" fillId="9" borderId="37" xfId="0" applyNumberFormat="1" applyFont="1" applyFill="1" applyBorder="1" applyAlignment="1">
      <alignment horizontal="center" vertical="center" shrinkToFit="1"/>
    </xf>
    <xf numFmtId="183" fontId="21" fillId="9" borderId="39" xfId="0" applyNumberFormat="1" applyFont="1" applyFill="1" applyBorder="1" applyAlignment="1">
      <alignment horizontal="center" vertical="center" shrinkToFit="1"/>
    </xf>
    <xf numFmtId="26" fontId="21" fillId="9" borderId="30" xfId="0" applyNumberFormat="1" applyFont="1" applyFill="1" applyBorder="1" applyAlignment="1">
      <alignment horizontal="center" vertical="center" shrinkToFit="1"/>
    </xf>
    <xf numFmtId="26" fontId="21" fillId="9" borderId="43" xfId="0" applyNumberFormat="1" applyFont="1" applyFill="1" applyBorder="1" applyAlignment="1">
      <alignment horizontal="center" vertical="center" shrinkToFit="1"/>
    </xf>
    <xf numFmtId="26" fontId="21" fillId="9" borderId="44" xfId="0" applyNumberFormat="1" applyFont="1" applyFill="1" applyBorder="1" applyAlignment="1">
      <alignment horizontal="center" vertical="center" shrinkToFit="1"/>
    </xf>
    <xf numFmtId="26" fontId="21" fillId="9" borderId="45" xfId="0" applyNumberFormat="1" applyFont="1" applyFill="1" applyBorder="1" applyAlignment="1">
      <alignment horizontal="center" vertical="center" shrinkToFit="1"/>
    </xf>
    <xf numFmtId="26" fontId="21" fillId="9" borderId="0" xfId="0" applyNumberFormat="1" applyFont="1" applyFill="1" applyBorder="1" applyAlignment="1">
      <alignment horizontal="center" vertical="center" shrinkToFit="1"/>
    </xf>
    <xf numFmtId="26" fontId="21" fillId="9" borderId="46" xfId="0" applyNumberFormat="1" applyFont="1" applyFill="1" applyBorder="1" applyAlignment="1">
      <alignment horizontal="center" vertical="center" shrinkToFit="1"/>
    </xf>
    <xf numFmtId="26" fontId="21" fillId="9" borderId="6" xfId="0" applyNumberFormat="1" applyFont="1" applyFill="1" applyBorder="1" applyAlignment="1">
      <alignment horizontal="center" vertical="center" shrinkToFit="1"/>
    </xf>
    <xf numFmtId="26" fontId="21" fillId="9" borderId="37" xfId="0" applyNumberFormat="1" applyFont="1" applyFill="1" applyBorder="1" applyAlignment="1">
      <alignment horizontal="center" vertical="center" shrinkToFit="1"/>
    </xf>
    <xf numFmtId="26" fontId="21" fillId="9" borderId="39" xfId="0" applyNumberFormat="1" applyFont="1" applyFill="1" applyBorder="1" applyAlignment="1">
      <alignment horizontal="center" vertical="center" shrinkToFit="1"/>
    </xf>
    <xf numFmtId="26" fontId="21" fillId="5" borderId="30" xfId="0" applyNumberFormat="1" applyFont="1" applyFill="1" applyBorder="1" applyAlignment="1">
      <alignment horizontal="center" vertical="center" shrinkToFit="1"/>
    </xf>
    <xf numFmtId="26" fontId="21" fillId="5" borderId="43" xfId="0" applyNumberFormat="1" applyFont="1" applyFill="1" applyBorder="1" applyAlignment="1">
      <alignment horizontal="center" vertical="center" shrinkToFit="1"/>
    </xf>
    <xf numFmtId="26" fontId="21" fillId="5" borderId="44" xfId="0" applyNumberFormat="1" applyFont="1" applyFill="1" applyBorder="1" applyAlignment="1">
      <alignment horizontal="center" vertical="center" shrinkToFit="1"/>
    </xf>
    <xf numFmtId="26" fontId="21" fillId="5" borderId="45" xfId="0" applyNumberFormat="1" applyFont="1" applyFill="1" applyBorder="1" applyAlignment="1">
      <alignment horizontal="center" vertical="center" shrinkToFit="1"/>
    </xf>
    <xf numFmtId="26" fontId="21" fillId="5" borderId="0" xfId="0" applyNumberFormat="1" applyFont="1" applyFill="1" applyBorder="1" applyAlignment="1">
      <alignment horizontal="center" vertical="center" shrinkToFit="1"/>
    </xf>
    <xf numFmtId="26" fontId="21" fillId="5" borderId="46" xfId="0" applyNumberFormat="1" applyFont="1" applyFill="1" applyBorder="1" applyAlignment="1">
      <alignment horizontal="center" vertical="center" shrinkToFit="1"/>
    </xf>
    <xf numFmtId="26" fontId="21" fillId="5" borderId="6" xfId="0" applyNumberFormat="1" applyFont="1" applyFill="1" applyBorder="1" applyAlignment="1">
      <alignment horizontal="center" vertical="center" shrinkToFit="1"/>
    </xf>
    <xf numFmtId="26" fontId="21" fillId="5" borderId="37" xfId="0" applyNumberFormat="1" applyFont="1" applyFill="1" applyBorder="1" applyAlignment="1">
      <alignment horizontal="center" vertical="center" shrinkToFit="1"/>
    </xf>
    <xf numFmtId="26" fontId="21" fillId="5" borderId="39" xfId="0" applyNumberFormat="1" applyFont="1" applyFill="1" applyBorder="1" applyAlignment="1">
      <alignment horizontal="center" vertical="center" shrinkToFit="1"/>
    </xf>
    <xf numFmtId="10" fontId="21" fillId="0" borderId="58" xfId="0" applyNumberFormat="1" applyFont="1" applyBorder="1" applyAlignment="1">
      <alignment horizontal="center" vertical="center" shrinkToFit="1"/>
    </xf>
    <xf numFmtId="10" fontId="21" fillId="0" borderId="43" xfId="0" applyNumberFormat="1" applyFont="1" applyBorder="1" applyAlignment="1">
      <alignment horizontal="center" vertical="center" shrinkToFit="1"/>
    </xf>
    <xf numFmtId="10" fontId="21" fillId="0" borderId="44" xfId="0" applyNumberFormat="1" applyFont="1" applyBorder="1" applyAlignment="1">
      <alignment horizontal="center" vertical="center" shrinkToFit="1"/>
    </xf>
    <xf numFmtId="10" fontId="21" fillId="0" borderId="31" xfId="0" applyNumberFormat="1" applyFont="1" applyBorder="1" applyAlignment="1">
      <alignment horizontal="center" vertical="center" shrinkToFit="1"/>
    </xf>
    <xf numFmtId="10" fontId="21" fillId="0" borderId="0" xfId="0" applyNumberFormat="1" applyFont="1" applyAlignment="1">
      <alignment horizontal="center" vertical="center" shrinkToFit="1"/>
    </xf>
    <xf numFmtId="10" fontId="21" fillId="0" borderId="46" xfId="0" applyNumberFormat="1" applyFont="1" applyBorder="1" applyAlignment="1">
      <alignment horizontal="center" vertical="center" shrinkToFit="1"/>
    </xf>
    <xf numFmtId="10" fontId="21" fillId="0" borderId="21" xfId="0" applyNumberFormat="1" applyFont="1" applyBorder="1" applyAlignment="1">
      <alignment horizontal="center" vertical="center" shrinkToFit="1"/>
    </xf>
    <xf numFmtId="10" fontId="21" fillId="0" borderId="22" xfId="0" applyNumberFormat="1" applyFont="1" applyBorder="1" applyAlignment="1">
      <alignment horizontal="center" vertical="center" shrinkToFit="1"/>
    </xf>
    <xf numFmtId="10" fontId="21" fillId="0" borderId="60" xfId="0" applyNumberFormat="1" applyFont="1" applyBorder="1" applyAlignment="1">
      <alignment horizontal="center" vertical="center" shrinkToFit="1"/>
    </xf>
    <xf numFmtId="180" fontId="21" fillId="0" borderId="58" xfId="0" applyNumberFormat="1" applyFont="1" applyBorder="1" applyAlignment="1">
      <alignment horizontal="center" vertical="center" shrinkToFit="1"/>
    </xf>
    <xf numFmtId="180" fontId="21" fillId="0" borderId="43" xfId="0" applyNumberFormat="1" applyFont="1" applyBorder="1" applyAlignment="1">
      <alignment horizontal="center" vertical="center" shrinkToFit="1"/>
    </xf>
    <xf numFmtId="180" fontId="21" fillId="0" borderId="59" xfId="0" applyNumberFormat="1" applyFont="1" applyBorder="1" applyAlignment="1">
      <alignment horizontal="center" vertical="center" shrinkToFit="1"/>
    </xf>
    <xf numFmtId="180" fontId="21" fillId="0" borderId="31" xfId="0" applyNumberFormat="1" applyFont="1" applyBorder="1" applyAlignment="1">
      <alignment horizontal="center" vertical="center" shrinkToFit="1"/>
    </xf>
    <xf numFmtId="180" fontId="21" fillId="0" borderId="0" xfId="0" applyNumberFormat="1" applyFont="1" applyAlignment="1">
      <alignment horizontal="center" vertical="center" shrinkToFit="1"/>
    </xf>
    <xf numFmtId="180" fontId="21" fillId="0" borderId="32" xfId="0" applyNumberFormat="1" applyFont="1" applyBorder="1" applyAlignment="1">
      <alignment horizontal="center" vertical="center" shrinkToFit="1"/>
    </xf>
    <xf numFmtId="180" fontId="21" fillId="0" borderId="21" xfId="0" applyNumberFormat="1" applyFont="1" applyBorder="1" applyAlignment="1">
      <alignment horizontal="center" vertical="center" shrinkToFit="1"/>
    </xf>
    <xf numFmtId="180" fontId="21" fillId="0" borderId="22" xfId="0" applyNumberFormat="1" applyFont="1" applyBorder="1" applyAlignment="1">
      <alignment horizontal="center" vertical="center" shrinkToFit="1"/>
    </xf>
    <xf numFmtId="180" fontId="21" fillId="0" borderId="23" xfId="0" applyNumberFormat="1" applyFont="1" applyBorder="1" applyAlignment="1">
      <alignment horizontal="center" vertical="center" shrinkToFit="1"/>
    </xf>
    <xf numFmtId="0" fontId="22" fillId="8" borderId="27" xfId="0" applyFont="1" applyFill="1" applyBorder="1" applyAlignment="1">
      <alignment horizontal="center" vertical="center" shrinkToFit="1"/>
    </xf>
    <xf numFmtId="0" fontId="22" fillId="8" borderId="25" xfId="0" applyFont="1" applyFill="1" applyBorder="1" applyAlignment="1">
      <alignment horizontal="center" vertical="center" shrinkToFit="1"/>
    </xf>
    <xf numFmtId="0" fontId="22" fillId="8" borderId="57" xfId="0" applyFont="1" applyFill="1" applyBorder="1" applyAlignment="1">
      <alignment horizontal="center" vertical="center" shrinkToFit="1"/>
    </xf>
    <xf numFmtId="0" fontId="22" fillId="8" borderId="51" xfId="0" applyFont="1" applyFill="1" applyBorder="1" applyAlignment="1">
      <alignment horizontal="center" vertical="center" shrinkToFit="1"/>
    </xf>
    <xf numFmtId="0" fontId="22" fillId="8" borderId="37" xfId="0" applyFont="1" applyFill="1" applyBorder="1" applyAlignment="1">
      <alignment horizontal="center" vertical="center" shrinkToFit="1"/>
    </xf>
    <xf numFmtId="0" fontId="22" fillId="8" borderId="39" xfId="0" applyFont="1" applyFill="1" applyBorder="1" applyAlignment="1">
      <alignment horizontal="center" vertical="center" shrinkToFit="1"/>
    </xf>
    <xf numFmtId="0" fontId="27" fillId="8" borderId="27" xfId="0" applyFont="1" applyFill="1" applyBorder="1" applyAlignment="1">
      <alignment horizontal="center" vertical="center" shrinkToFit="1"/>
    </xf>
    <xf numFmtId="0" fontId="27" fillId="8" borderId="25" xfId="0" applyFont="1" applyFill="1" applyBorder="1" applyAlignment="1">
      <alignment horizontal="center" vertical="center" shrinkToFit="1"/>
    </xf>
    <xf numFmtId="0" fontId="27" fillId="8" borderId="24" xfId="0" applyFont="1" applyFill="1" applyBorder="1" applyAlignment="1">
      <alignment horizontal="center" vertical="center" shrinkToFit="1"/>
    </xf>
    <xf numFmtId="0" fontId="27" fillId="8" borderId="51" xfId="0" applyFont="1" applyFill="1" applyBorder="1" applyAlignment="1">
      <alignment horizontal="center" vertical="center" shrinkToFit="1"/>
    </xf>
    <xf numFmtId="0" fontId="27" fillId="8" borderId="37" xfId="0" applyFont="1" applyFill="1" applyBorder="1" applyAlignment="1">
      <alignment horizontal="center" vertical="center" shrinkToFit="1"/>
    </xf>
    <xf numFmtId="0" fontId="27" fillId="8" borderId="47" xfId="0" applyFont="1" applyFill="1" applyBorder="1" applyAlignment="1">
      <alignment horizontal="center" vertical="center" shrinkToFit="1"/>
    </xf>
    <xf numFmtId="176" fontId="21" fillId="0" borderId="58" xfId="0" applyNumberFormat="1" applyFont="1" applyBorder="1" applyAlignment="1">
      <alignment horizontal="center" vertical="center" shrinkToFit="1"/>
    </xf>
    <xf numFmtId="0" fontId="21" fillId="0" borderId="43" xfId="0" applyFont="1" applyBorder="1" applyAlignment="1">
      <alignment horizontal="center" vertical="center" shrinkToFit="1"/>
    </xf>
    <xf numFmtId="0" fontId="21" fillId="0" borderId="44" xfId="0" applyFont="1" applyBorder="1" applyAlignment="1">
      <alignment horizontal="center" vertical="center" shrinkToFit="1"/>
    </xf>
    <xf numFmtId="0" fontId="21" fillId="0" borderId="31" xfId="0" applyFont="1" applyBorder="1" applyAlignment="1">
      <alignment horizontal="center" vertical="center" shrinkToFit="1"/>
    </xf>
    <xf numFmtId="0" fontId="21" fillId="0" borderId="0" xfId="0" applyFont="1" applyAlignment="1">
      <alignment horizontal="center" vertical="center" shrinkToFit="1"/>
    </xf>
    <xf numFmtId="0" fontId="21" fillId="0" borderId="46" xfId="0" applyFont="1" applyBorder="1" applyAlignment="1">
      <alignment horizontal="center" vertical="center" shrinkToFit="1"/>
    </xf>
    <xf numFmtId="0" fontId="21" fillId="0" borderId="21" xfId="0" applyFont="1" applyBorder="1" applyAlignment="1">
      <alignment horizontal="center" vertical="center" shrinkToFit="1"/>
    </xf>
    <xf numFmtId="0" fontId="21" fillId="0" borderId="22" xfId="0" applyFont="1" applyBorder="1" applyAlignment="1">
      <alignment horizontal="center" vertical="center" shrinkToFit="1"/>
    </xf>
    <xf numFmtId="0" fontId="21" fillId="0" borderId="60" xfId="0" applyFont="1" applyBorder="1" applyAlignment="1">
      <alignment horizontal="center" vertical="center" shrinkToFit="1"/>
    </xf>
    <xf numFmtId="0" fontId="21" fillId="0" borderId="58" xfId="0" applyFont="1" applyBorder="1" applyAlignment="1">
      <alignment horizontal="center" vertical="center" shrinkToFit="1"/>
    </xf>
    <xf numFmtId="0" fontId="21" fillId="0" borderId="59" xfId="0" applyFont="1" applyBorder="1" applyAlignment="1">
      <alignment horizontal="center" vertical="center" shrinkToFit="1"/>
    </xf>
    <xf numFmtId="0" fontId="21" fillId="0" borderId="32" xfId="0" applyFont="1" applyBorder="1" applyAlignment="1">
      <alignment horizontal="center" vertical="center" shrinkToFit="1"/>
    </xf>
    <xf numFmtId="0" fontId="21" fillId="0" borderId="23" xfId="0" applyFont="1" applyBorder="1" applyAlignment="1">
      <alignment horizontal="center" vertical="center" shrinkToFit="1"/>
    </xf>
    <xf numFmtId="0" fontId="5" fillId="9" borderId="11" xfId="0" applyFont="1" applyFill="1" applyBorder="1" applyAlignment="1">
      <alignment horizontal="center" vertical="center" wrapText="1" shrinkToFit="1"/>
    </xf>
    <xf numFmtId="0" fontId="5" fillId="9" borderId="40" xfId="0" applyFont="1" applyFill="1" applyBorder="1" applyAlignment="1">
      <alignment horizontal="center" vertical="center" wrapText="1" shrinkToFit="1"/>
    </xf>
    <xf numFmtId="0" fontId="5" fillId="9" borderId="4" xfId="0" applyFont="1" applyFill="1" applyBorder="1" applyAlignment="1">
      <alignment horizontal="center" vertical="center" wrapText="1" shrinkToFit="1"/>
    </xf>
    <xf numFmtId="0" fontId="5" fillId="5" borderId="11" xfId="0" applyFont="1" applyFill="1" applyBorder="1" applyAlignment="1">
      <alignment horizontal="center" vertical="center" wrapText="1" shrinkToFit="1"/>
    </xf>
    <xf numFmtId="0" fontId="5" fillId="5" borderId="40" xfId="0" applyFont="1" applyFill="1" applyBorder="1" applyAlignment="1">
      <alignment horizontal="center" vertical="center" wrapText="1" shrinkToFit="1"/>
    </xf>
    <xf numFmtId="0" fontId="5" fillId="5" borderId="4" xfId="0" applyFont="1" applyFill="1" applyBorder="1" applyAlignment="1">
      <alignment horizontal="center" vertical="center" wrapText="1" shrinkToFit="1"/>
    </xf>
    <xf numFmtId="0" fontId="5" fillId="6" borderId="11" xfId="0" applyFont="1" applyFill="1" applyBorder="1" applyAlignment="1">
      <alignment horizontal="center" vertical="center" wrapText="1" shrinkToFit="1"/>
    </xf>
    <xf numFmtId="0" fontId="5" fillId="6" borderId="40" xfId="0" applyFont="1" applyFill="1" applyBorder="1" applyAlignment="1">
      <alignment horizontal="center" vertical="center" wrapText="1" shrinkToFit="1"/>
    </xf>
    <xf numFmtId="0" fontId="5" fillId="6" borderId="4" xfId="0" applyFont="1" applyFill="1" applyBorder="1" applyAlignment="1">
      <alignment horizontal="center" vertical="center" wrapText="1" shrinkToFit="1"/>
    </xf>
    <xf numFmtId="0" fontId="5" fillId="10" borderId="11" xfId="0" applyFont="1" applyFill="1" applyBorder="1" applyAlignment="1">
      <alignment horizontal="center" vertical="center" wrapText="1" shrinkToFit="1"/>
    </xf>
    <xf numFmtId="0" fontId="5" fillId="10" borderId="40" xfId="0" applyFont="1" applyFill="1" applyBorder="1" applyAlignment="1">
      <alignment horizontal="center" vertical="center" wrapText="1" shrinkToFit="1"/>
    </xf>
    <xf numFmtId="0" fontId="5" fillId="10" borderId="4" xfId="0" applyFont="1" applyFill="1" applyBorder="1" applyAlignment="1">
      <alignment horizontal="center" vertical="center" wrapText="1" shrinkToFit="1"/>
    </xf>
    <xf numFmtId="0" fontId="5" fillId="7" borderId="11" xfId="0" applyFont="1" applyFill="1" applyBorder="1" applyAlignment="1">
      <alignment horizontal="center" vertical="center" wrapText="1" shrinkToFit="1"/>
    </xf>
    <xf numFmtId="0" fontId="5" fillId="7" borderId="40" xfId="0" applyFont="1" applyFill="1" applyBorder="1" applyAlignment="1">
      <alignment horizontal="center" vertical="center" wrapText="1" shrinkToFit="1"/>
    </xf>
    <xf numFmtId="0" fontId="5" fillId="7" borderId="4" xfId="0" applyFont="1" applyFill="1" applyBorder="1" applyAlignment="1">
      <alignment horizontal="center" vertical="center" wrapText="1" shrinkToFit="1"/>
    </xf>
    <xf numFmtId="0" fontId="5" fillId="11" borderId="11" xfId="0" applyFont="1" applyFill="1" applyBorder="1" applyAlignment="1">
      <alignment horizontal="center" vertical="center" wrapText="1" shrinkToFit="1"/>
    </xf>
    <xf numFmtId="0" fontId="5" fillId="11" borderId="40" xfId="0" applyFont="1" applyFill="1" applyBorder="1" applyAlignment="1">
      <alignment horizontal="center" vertical="center" wrapText="1" shrinkToFit="1"/>
    </xf>
    <xf numFmtId="0" fontId="5" fillId="11" borderId="4" xfId="0" applyFont="1" applyFill="1" applyBorder="1" applyAlignment="1">
      <alignment horizontal="center" vertical="center" wrapText="1" shrinkToFit="1"/>
    </xf>
    <xf numFmtId="0" fontId="5" fillId="12" borderId="44" xfId="0" applyFont="1" applyFill="1" applyBorder="1" applyAlignment="1">
      <alignment horizontal="center" vertical="center" wrapText="1" shrinkToFit="1"/>
    </xf>
    <xf numFmtId="0" fontId="5" fillId="12" borderId="46" xfId="0" applyFont="1" applyFill="1" applyBorder="1" applyAlignment="1">
      <alignment horizontal="center" vertical="center" wrapText="1" shrinkToFit="1"/>
    </xf>
    <xf numFmtId="0" fontId="5" fillId="12" borderId="39" xfId="0" applyFont="1" applyFill="1" applyBorder="1" applyAlignment="1">
      <alignment horizontal="center" vertical="center" wrapText="1" shrinkToFit="1"/>
    </xf>
    <xf numFmtId="183" fontId="21" fillId="9" borderId="2" xfId="0" applyNumberFormat="1" applyFont="1" applyFill="1" applyBorder="1" applyAlignment="1">
      <alignment horizontal="center" vertical="center" shrinkToFit="1"/>
    </xf>
    <xf numFmtId="183" fontId="21" fillId="9" borderId="29" xfId="0" applyNumberFormat="1" applyFont="1" applyFill="1" applyBorder="1" applyAlignment="1">
      <alignment horizontal="center" vertical="center" shrinkToFit="1"/>
    </xf>
    <xf numFmtId="183" fontId="21" fillId="9" borderId="26" xfId="0" applyNumberFormat="1" applyFont="1" applyFill="1" applyBorder="1" applyAlignment="1">
      <alignment horizontal="center" vertical="center" shrinkToFit="1"/>
    </xf>
    <xf numFmtId="26" fontId="21" fillId="9" borderId="2" xfId="0" applyNumberFormat="1" applyFont="1" applyFill="1" applyBorder="1" applyAlignment="1">
      <alignment horizontal="center" vertical="center" shrinkToFit="1"/>
    </xf>
    <xf numFmtId="26" fontId="21" fillId="9" borderId="29" xfId="0" applyNumberFormat="1" applyFont="1" applyFill="1" applyBorder="1" applyAlignment="1">
      <alignment horizontal="center" vertical="center" shrinkToFit="1"/>
    </xf>
    <xf numFmtId="26" fontId="21" fillId="9" borderId="26" xfId="0" applyNumberFormat="1" applyFont="1" applyFill="1" applyBorder="1" applyAlignment="1">
      <alignment horizontal="center" vertical="center" shrinkToFit="1"/>
    </xf>
    <xf numFmtId="0" fontId="28" fillId="5" borderId="2" xfId="0" applyFont="1" applyFill="1" applyBorder="1" applyAlignment="1">
      <alignment horizontal="center" vertical="center" shrinkToFit="1"/>
    </xf>
    <xf numFmtId="0" fontId="28" fillId="5" borderId="29" xfId="0" applyFont="1" applyFill="1" applyBorder="1" applyAlignment="1">
      <alignment horizontal="center" vertical="center" shrinkToFit="1"/>
    </xf>
    <xf numFmtId="0" fontId="28" fillId="5" borderId="26" xfId="0" applyFont="1" applyFill="1" applyBorder="1" applyAlignment="1">
      <alignment horizontal="center" vertical="center" shrinkToFit="1"/>
    </xf>
    <xf numFmtId="0" fontId="20" fillId="5" borderId="2" xfId="0" applyFont="1" applyFill="1" applyBorder="1" applyAlignment="1">
      <alignment horizontal="center" vertical="center" shrinkToFit="1"/>
    </xf>
    <xf numFmtId="0" fontId="20" fillId="5" borderId="29" xfId="0" applyFont="1" applyFill="1" applyBorder="1" applyAlignment="1">
      <alignment horizontal="center" vertical="center" shrinkToFit="1"/>
    </xf>
    <xf numFmtId="0" fontId="20" fillId="5" borderId="26" xfId="0" applyFont="1" applyFill="1" applyBorder="1" applyAlignment="1">
      <alignment horizontal="center" vertical="center" shrinkToFit="1"/>
    </xf>
    <xf numFmtId="183" fontId="21" fillId="5" borderId="2" xfId="0" applyNumberFormat="1" applyFont="1" applyFill="1" applyBorder="1" applyAlignment="1">
      <alignment horizontal="center" vertical="center" shrinkToFit="1"/>
    </xf>
    <xf numFmtId="183" fontId="21" fillId="5" borderId="29" xfId="0" applyNumberFormat="1" applyFont="1" applyFill="1" applyBorder="1" applyAlignment="1">
      <alignment horizontal="center" vertical="center" shrinkToFit="1"/>
    </xf>
    <xf numFmtId="183" fontId="21" fillId="5" borderId="26" xfId="0" applyNumberFormat="1" applyFont="1" applyFill="1" applyBorder="1" applyAlignment="1">
      <alignment horizontal="center" vertical="center" shrinkToFit="1"/>
    </xf>
    <xf numFmtId="26" fontId="21" fillId="5" borderId="2" xfId="0" applyNumberFormat="1" applyFont="1" applyFill="1" applyBorder="1" applyAlignment="1">
      <alignment horizontal="center" vertical="center" shrinkToFit="1"/>
    </xf>
    <xf numFmtId="26" fontId="21" fillId="5" borderId="29" xfId="0" applyNumberFormat="1" applyFont="1" applyFill="1" applyBorder="1" applyAlignment="1">
      <alignment horizontal="center" vertical="center" shrinkToFit="1"/>
    </xf>
    <xf numFmtId="26" fontId="21" fillId="5" borderId="26" xfId="0" applyNumberFormat="1" applyFont="1" applyFill="1" applyBorder="1" applyAlignment="1">
      <alignment horizontal="center" vertical="center" shrinkToFit="1"/>
    </xf>
    <xf numFmtId="26" fontId="21" fillId="6" borderId="30" xfId="0" applyNumberFormat="1" applyFont="1" applyFill="1" applyBorder="1" applyAlignment="1">
      <alignment horizontal="center" vertical="center" shrinkToFit="1"/>
    </xf>
    <xf numFmtId="26" fontId="21" fillId="6" borderId="43" xfId="0" applyNumberFormat="1" applyFont="1" applyFill="1" applyBorder="1" applyAlignment="1">
      <alignment horizontal="center" vertical="center" shrinkToFit="1"/>
    </xf>
    <xf numFmtId="26" fontId="21" fillId="6" borderId="44" xfId="0" applyNumberFormat="1" applyFont="1" applyFill="1" applyBorder="1" applyAlignment="1">
      <alignment horizontal="center" vertical="center" shrinkToFit="1"/>
    </xf>
    <xf numFmtId="26" fontId="21" fillId="6" borderId="45" xfId="0" applyNumberFormat="1" applyFont="1" applyFill="1" applyBorder="1" applyAlignment="1">
      <alignment horizontal="center" vertical="center" shrinkToFit="1"/>
    </xf>
    <xf numFmtId="26" fontId="21" fillId="6" borderId="0" xfId="0" applyNumberFormat="1" applyFont="1" applyFill="1" applyBorder="1" applyAlignment="1">
      <alignment horizontal="center" vertical="center" shrinkToFit="1"/>
    </xf>
    <xf numFmtId="26" fontId="21" fillId="6" borderId="46" xfId="0" applyNumberFormat="1" applyFont="1" applyFill="1" applyBorder="1" applyAlignment="1">
      <alignment horizontal="center" vertical="center" shrinkToFit="1"/>
    </xf>
    <xf numFmtId="26" fontId="21" fillId="6" borderId="6" xfId="0" applyNumberFormat="1" applyFont="1" applyFill="1" applyBorder="1" applyAlignment="1">
      <alignment horizontal="center" vertical="center" shrinkToFit="1"/>
    </xf>
    <xf numFmtId="26" fontId="21" fillId="6" borderId="37" xfId="0" applyNumberFormat="1" applyFont="1" applyFill="1" applyBorder="1" applyAlignment="1">
      <alignment horizontal="center" vertical="center" shrinkToFit="1"/>
    </xf>
    <xf numFmtId="26" fontId="21" fillId="6" borderId="39" xfId="0" applyNumberFormat="1" applyFont="1" applyFill="1" applyBorder="1" applyAlignment="1">
      <alignment horizontal="center" vertical="center" shrinkToFit="1"/>
    </xf>
    <xf numFmtId="183" fontId="21" fillId="6" borderId="30" xfId="0" applyNumberFormat="1" applyFont="1" applyFill="1" applyBorder="1" applyAlignment="1">
      <alignment horizontal="center" vertical="center" shrinkToFit="1"/>
    </xf>
    <xf numFmtId="183" fontId="21" fillId="6" borderId="43" xfId="0" applyNumberFormat="1" applyFont="1" applyFill="1" applyBorder="1" applyAlignment="1">
      <alignment horizontal="center" vertical="center" shrinkToFit="1"/>
    </xf>
    <xf numFmtId="183" fontId="21" fillId="6" borderId="44" xfId="0" applyNumberFormat="1" applyFont="1" applyFill="1" applyBorder="1" applyAlignment="1">
      <alignment horizontal="center" vertical="center" shrinkToFit="1"/>
    </xf>
    <xf numFmtId="183" fontId="21" fillId="6" borderId="45" xfId="0" applyNumberFormat="1" applyFont="1" applyFill="1" applyBorder="1" applyAlignment="1">
      <alignment horizontal="center" vertical="center" shrinkToFit="1"/>
    </xf>
    <xf numFmtId="183" fontId="21" fillId="6" borderId="0" xfId="0" applyNumberFormat="1" applyFont="1" applyFill="1" applyBorder="1" applyAlignment="1">
      <alignment horizontal="center" vertical="center" shrinkToFit="1"/>
    </xf>
    <xf numFmtId="183" fontId="21" fillId="6" borderId="46" xfId="0" applyNumberFormat="1" applyFont="1" applyFill="1" applyBorder="1" applyAlignment="1">
      <alignment horizontal="center" vertical="center" shrinkToFit="1"/>
    </xf>
    <xf numFmtId="183" fontId="21" fillId="6" borderId="6" xfId="0" applyNumberFormat="1" applyFont="1" applyFill="1" applyBorder="1" applyAlignment="1">
      <alignment horizontal="center" vertical="center" shrinkToFit="1"/>
    </xf>
    <xf numFmtId="183" fontId="21" fillId="6" borderId="37" xfId="0" applyNumberFormat="1" applyFont="1" applyFill="1" applyBorder="1" applyAlignment="1">
      <alignment horizontal="center" vertical="center" shrinkToFit="1"/>
    </xf>
    <xf numFmtId="183" fontId="21" fillId="6" borderId="39" xfId="0" applyNumberFormat="1" applyFont="1" applyFill="1" applyBorder="1" applyAlignment="1">
      <alignment horizontal="center" vertical="center" shrinkToFit="1"/>
    </xf>
    <xf numFmtId="0" fontId="28" fillId="11" borderId="2" xfId="0" applyFont="1" applyFill="1" applyBorder="1" applyAlignment="1">
      <alignment horizontal="center" vertical="center" shrinkToFit="1"/>
    </xf>
    <xf numFmtId="0" fontId="28" fillId="11" borderId="29" xfId="0" applyFont="1" applyFill="1" applyBorder="1" applyAlignment="1">
      <alignment horizontal="center" vertical="center" shrinkToFit="1"/>
    </xf>
    <xf numFmtId="0" fontId="28" fillId="11" borderId="26" xfId="0" applyFont="1" applyFill="1" applyBorder="1" applyAlignment="1">
      <alignment horizontal="center" vertical="center" shrinkToFit="1"/>
    </xf>
    <xf numFmtId="176" fontId="5" fillId="11" borderId="2" xfId="0" applyNumberFormat="1" applyFont="1" applyFill="1" applyBorder="1" applyAlignment="1">
      <alignment horizontal="center" vertical="center" shrinkToFit="1"/>
    </xf>
    <xf numFmtId="176" fontId="5" fillId="11" borderId="29" xfId="0" applyNumberFormat="1" applyFont="1" applyFill="1" applyBorder="1" applyAlignment="1">
      <alignment horizontal="center" vertical="center" shrinkToFit="1"/>
    </xf>
    <xf numFmtId="176" fontId="5" fillId="11" borderId="26" xfId="0" applyNumberFormat="1" applyFont="1" applyFill="1" applyBorder="1" applyAlignment="1">
      <alignment horizontal="center" vertical="center" shrinkToFit="1"/>
    </xf>
  </cellXfs>
  <cellStyles count="5">
    <cellStyle name="Check Cell" xfId="1" builtinId="23"/>
    <cellStyle name="Currency [0]" xfId="2" builtinId="7"/>
    <cellStyle name="Good" xfId="4" builtinId="26"/>
    <cellStyle name="Normal" xfId="0" builtinId="0"/>
    <cellStyle name="Output" xfId="3" builtinId="2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193791-DCA7-4F54-9AB9-4B372E7B38AF}">
  <sheetPr>
    <pageSetUpPr fitToPage="1"/>
  </sheetPr>
  <dimension ref="A1:AR96"/>
  <sheetViews>
    <sheetView zoomScale="110" zoomScaleNormal="110" zoomScaleSheetLayoutView="100" workbookViewId="0">
      <selection activeCell="R5" sqref="R5:S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22" t="s">
        <v>77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4"/>
    </row>
    <row r="2" spans="1:44" ht="17.25" thickBot="1" x14ac:dyDescent="0.35">
      <c r="A2" s="322" t="s">
        <v>97</v>
      </c>
      <c r="B2" s="323"/>
      <c r="C2" s="323"/>
      <c r="D2" s="323"/>
      <c r="E2" s="323"/>
      <c r="F2" s="323"/>
      <c r="G2" s="324"/>
      <c r="H2" s="325" t="s">
        <v>49</v>
      </c>
      <c r="I2" s="326"/>
      <c r="J2" s="322" t="s">
        <v>141</v>
      </c>
      <c r="K2" s="324"/>
      <c r="L2" s="326" t="s">
        <v>96</v>
      </c>
      <c r="M2" s="327"/>
      <c r="N2" s="325"/>
      <c r="O2" s="323" t="s">
        <v>140</v>
      </c>
      <c r="P2" s="323"/>
      <c r="Q2" s="324"/>
      <c r="R2" s="326" t="s">
        <v>51</v>
      </c>
      <c r="S2" s="325"/>
      <c r="T2" s="314">
        <v>4</v>
      </c>
      <c r="U2" s="314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15" t="s">
        <v>21</v>
      </c>
      <c r="C4" s="167" t="s">
        <v>7</v>
      </c>
      <c r="D4" s="194" t="s">
        <v>88</v>
      </c>
      <c r="E4" s="167" t="s">
        <v>89</v>
      </c>
      <c r="F4" s="215" t="s">
        <v>25</v>
      </c>
      <c r="G4" s="215" t="s">
        <v>1</v>
      </c>
      <c r="H4" s="215" t="s">
        <v>22</v>
      </c>
      <c r="I4" s="215" t="s">
        <v>20</v>
      </c>
      <c r="J4" s="215" t="s">
        <v>44</v>
      </c>
      <c r="K4" s="215" t="s">
        <v>45</v>
      </c>
      <c r="L4" s="215" t="s">
        <v>47</v>
      </c>
      <c r="M4" s="215" t="s">
        <v>46</v>
      </c>
      <c r="N4" s="215" t="s">
        <v>2</v>
      </c>
      <c r="O4" s="315" t="s">
        <v>8</v>
      </c>
      <c r="P4" s="315"/>
      <c r="Q4" s="315"/>
      <c r="R4" s="215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4311</v>
      </c>
      <c r="C5" s="68" t="s">
        <v>104</v>
      </c>
      <c r="D5" s="200" t="s">
        <v>105</v>
      </c>
      <c r="E5" s="181" t="s">
        <v>106</v>
      </c>
      <c r="F5" s="170">
        <v>930</v>
      </c>
      <c r="G5" s="118" t="s">
        <v>107</v>
      </c>
      <c r="H5" s="91"/>
      <c r="I5" s="124">
        <v>230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140</v>
      </c>
      <c r="O5" s="361"/>
      <c r="P5" s="362"/>
      <c r="Q5" s="363"/>
      <c r="R5" s="33" t="s">
        <v>121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4312</v>
      </c>
      <c r="C6" s="67" t="s">
        <v>112</v>
      </c>
      <c r="D6" s="200" t="s">
        <v>113</v>
      </c>
      <c r="E6" s="181" t="s">
        <v>106</v>
      </c>
      <c r="F6" s="171">
        <v>930</v>
      </c>
      <c r="G6" s="118" t="s">
        <v>44</v>
      </c>
      <c r="H6" s="91">
        <v>25</v>
      </c>
      <c r="I6" s="124"/>
      <c r="J6" s="130" t="str">
        <f t="shared" ref="J6:J29" si="1">IF(G6="RSL","55","0")</f>
        <v>55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140</v>
      </c>
      <c r="O6" s="316" t="s">
        <v>130</v>
      </c>
      <c r="P6" s="317"/>
      <c r="Q6" s="318"/>
      <c r="R6" s="132" t="s">
        <v>122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4313</v>
      </c>
      <c r="C7" s="67" t="s">
        <v>108</v>
      </c>
      <c r="D7" s="200" t="s">
        <v>109</v>
      </c>
      <c r="E7" s="181" t="s">
        <v>110</v>
      </c>
      <c r="F7" s="171">
        <v>1015</v>
      </c>
      <c r="G7" s="118" t="s">
        <v>111</v>
      </c>
      <c r="H7" s="91"/>
      <c r="I7" s="124">
        <v>140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140</v>
      </c>
      <c r="O7" s="289"/>
      <c r="P7" s="288"/>
      <c r="Q7" s="290"/>
      <c r="R7" s="134" t="s">
        <v>123</v>
      </c>
      <c r="S7" s="31">
        <v>0.41666666666666669</v>
      </c>
      <c r="T7" s="32">
        <v>0.66666666666666663</v>
      </c>
      <c r="U7" s="92">
        <f t="shared" si="0"/>
        <v>5.9999999999999982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4314</v>
      </c>
      <c r="C8" s="27" t="s">
        <v>114</v>
      </c>
      <c r="D8" s="200" t="s">
        <v>115</v>
      </c>
      <c r="E8" s="181" t="s">
        <v>91</v>
      </c>
      <c r="F8" s="171">
        <v>1050</v>
      </c>
      <c r="G8" s="118" t="s">
        <v>116</v>
      </c>
      <c r="H8" s="91"/>
      <c r="I8" s="275">
        <v>60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140</v>
      </c>
      <c r="O8" s="319"/>
      <c r="P8" s="320"/>
      <c r="Q8" s="321"/>
      <c r="R8" s="26" t="s">
        <v>124</v>
      </c>
      <c r="S8" s="31">
        <v>0.41666666666666669</v>
      </c>
      <c r="T8" s="32">
        <v>0.72916666666666663</v>
      </c>
      <c r="U8" s="92">
        <f t="shared" si="0"/>
        <v>7.4999999999999982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267">
        <v>4315</v>
      </c>
      <c r="C9" s="268" t="s">
        <v>117</v>
      </c>
      <c r="D9" s="269" t="s">
        <v>118</v>
      </c>
      <c r="E9" s="270" t="s">
        <v>106</v>
      </c>
      <c r="F9" s="271">
        <v>1200</v>
      </c>
      <c r="G9" s="272" t="s">
        <v>119</v>
      </c>
      <c r="H9" s="273"/>
      <c r="I9" s="273"/>
      <c r="J9" s="273" t="str">
        <f t="shared" si="1"/>
        <v>0</v>
      </c>
      <c r="K9" s="273">
        <v>79.099999999999994</v>
      </c>
      <c r="L9" s="274"/>
      <c r="M9" s="274">
        <v>475</v>
      </c>
      <c r="N9" s="268" t="s">
        <v>140</v>
      </c>
      <c r="O9" s="364" t="s">
        <v>120</v>
      </c>
      <c r="P9" s="365"/>
      <c r="Q9" s="366"/>
      <c r="R9" s="26" t="s">
        <v>131</v>
      </c>
      <c r="S9" s="31">
        <v>0.41666666666666669</v>
      </c>
      <c r="T9" s="32">
        <v>0.45833333333333331</v>
      </c>
      <c r="U9" s="92">
        <f t="shared" si="0"/>
        <v>0.99999999999999911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4316</v>
      </c>
      <c r="C10" s="28" t="s">
        <v>127</v>
      </c>
      <c r="D10" s="202" t="s">
        <v>128</v>
      </c>
      <c r="E10" s="181" t="s">
        <v>92</v>
      </c>
      <c r="F10" s="173">
        <v>1240</v>
      </c>
      <c r="G10" s="120" t="s">
        <v>44</v>
      </c>
      <c r="H10" s="123">
        <v>25</v>
      </c>
      <c r="I10" s="125"/>
      <c r="J10" s="130" t="str">
        <f t="shared" si="1"/>
        <v>55</v>
      </c>
      <c r="K10" s="130" t="str">
        <f t="shared" si="2"/>
        <v>0</v>
      </c>
      <c r="L10" s="131"/>
      <c r="M10" s="131"/>
      <c r="N10" s="134" t="s">
        <v>140</v>
      </c>
      <c r="O10" s="311" t="s">
        <v>129</v>
      </c>
      <c r="P10" s="312"/>
      <c r="Q10" s="313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4317</v>
      </c>
      <c r="C11" s="18" t="s">
        <v>125</v>
      </c>
      <c r="D11" s="203" t="s">
        <v>126</v>
      </c>
      <c r="E11" s="181" t="s">
        <v>92</v>
      </c>
      <c r="F11" s="66">
        <v>1245</v>
      </c>
      <c r="G11" s="121" t="s">
        <v>111</v>
      </c>
      <c r="H11" s="123"/>
      <c r="I11" s="124">
        <v>150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140</v>
      </c>
      <c r="O11" s="289"/>
      <c r="P11" s="288"/>
      <c r="Q11" s="290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4318</v>
      </c>
      <c r="C12" s="64" t="s">
        <v>132</v>
      </c>
      <c r="D12" s="204" t="s">
        <v>133</v>
      </c>
      <c r="E12" s="181" t="s">
        <v>92</v>
      </c>
      <c r="F12" s="173">
        <v>1250</v>
      </c>
      <c r="G12" s="119" t="s">
        <v>111</v>
      </c>
      <c r="H12" s="123"/>
      <c r="I12" s="125">
        <v>120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140</v>
      </c>
      <c r="O12" s="289"/>
      <c r="P12" s="288"/>
      <c r="Q12" s="29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4319</v>
      </c>
      <c r="C13" s="64" t="s">
        <v>134</v>
      </c>
      <c r="D13" s="204" t="s">
        <v>135</v>
      </c>
      <c r="E13" s="181" t="s">
        <v>91</v>
      </c>
      <c r="F13" s="173">
        <v>1425</v>
      </c>
      <c r="G13" s="119" t="s">
        <v>136</v>
      </c>
      <c r="H13" s="169">
        <v>75</v>
      </c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140</v>
      </c>
      <c r="O13" s="289"/>
      <c r="P13" s="288"/>
      <c r="Q13" s="29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4320</v>
      </c>
      <c r="C14" s="65" t="s">
        <v>137</v>
      </c>
      <c r="D14" s="205" t="s">
        <v>138</v>
      </c>
      <c r="E14" s="181" t="s">
        <v>91</v>
      </c>
      <c r="F14" s="174">
        <v>1435</v>
      </c>
      <c r="G14" s="122" t="s">
        <v>44</v>
      </c>
      <c r="H14" s="123"/>
      <c r="I14" s="125"/>
      <c r="J14" s="130">
        <v>110</v>
      </c>
      <c r="K14" s="130" t="str">
        <f t="shared" si="2"/>
        <v>0</v>
      </c>
      <c r="L14" s="131"/>
      <c r="M14" s="131"/>
      <c r="N14" s="134" t="s">
        <v>140</v>
      </c>
      <c r="O14" s="289" t="s">
        <v>139</v>
      </c>
      <c r="P14" s="288"/>
      <c r="Q14" s="29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4321</v>
      </c>
      <c r="C15" s="65" t="s">
        <v>142</v>
      </c>
      <c r="D15" s="205" t="s">
        <v>143</v>
      </c>
      <c r="E15" s="181" t="s">
        <v>92</v>
      </c>
      <c r="F15" s="174">
        <v>1636</v>
      </c>
      <c r="G15" s="122" t="s">
        <v>144</v>
      </c>
      <c r="H15" s="123"/>
      <c r="I15" s="124">
        <v>200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140</v>
      </c>
      <c r="O15" s="289"/>
      <c r="P15" s="288"/>
      <c r="Q15" s="29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289"/>
      <c r="P16" s="288"/>
      <c r="Q16" s="290"/>
      <c r="R16" s="82">
        <f>H32/U16</f>
        <v>0.32835820895522388</v>
      </c>
      <c r="S16" s="83">
        <f>H32/(U16-U5)</f>
        <v>0.45833333333333331</v>
      </c>
      <c r="T16" s="83">
        <f>C32/U16</f>
        <v>39.525373134328355</v>
      </c>
      <c r="U16" s="83">
        <f>SUM(U5:U15)</f>
        <v>33.5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289"/>
      <c r="P17" s="288"/>
      <c r="Q17" s="29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289"/>
      <c r="P18" s="288"/>
      <c r="Q18" s="29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289"/>
      <c r="P19" s="288"/>
      <c r="Q19" s="288"/>
      <c r="R19" s="93" t="s">
        <v>45</v>
      </c>
      <c r="S19" s="94">
        <f>COUNT(L5:M29,L37:M61,L69:M93)</f>
        <v>1</v>
      </c>
      <c r="T19" s="116">
        <f>SUM(L5:M29,L37:M61,L69:M93)</f>
        <v>475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57"/>
      <c r="P20" s="358"/>
      <c r="Q20" s="35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89"/>
      <c r="P21" s="288"/>
      <c r="Q21" s="28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14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89"/>
      <c r="P22" s="288"/>
      <c r="Q22" s="29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55"/>
      <c r="Y23" s="356"/>
      <c r="Z23" s="356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14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89"/>
      <c r="P24" s="288"/>
      <c r="Q24" s="29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14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89"/>
      <c r="P25" s="288"/>
      <c r="Q25" s="29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59">
        <f>((C32+(R26+S26+T26)*0.5))</f>
        <v>1324.1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89"/>
      <c r="P26" s="288"/>
      <c r="Q26" s="290"/>
      <c r="R26" s="112">
        <f>R25*37.5</f>
        <v>0</v>
      </c>
      <c r="S26" s="102">
        <f>S25*41.5</f>
        <v>0</v>
      </c>
      <c r="T26" s="102">
        <f>T25*50</f>
        <v>0</v>
      </c>
      <c r="U26" s="36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89"/>
      <c r="P27" s="288"/>
      <c r="Q27" s="290"/>
      <c r="R27" s="352" t="s">
        <v>56</v>
      </c>
      <c r="S27" s="353"/>
      <c r="T27" s="353"/>
      <c r="U27" s="35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89"/>
      <c r="P28" s="288"/>
      <c r="Q28" s="290"/>
      <c r="R28" s="345"/>
      <c r="S28" s="346"/>
      <c r="T28" s="34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2"/>
      <c r="P29" s="333"/>
      <c r="Q29" s="334"/>
      <c r="R29" s="335"/>
      <c r="S29" s="336"/>
      <c r="T29" s="33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38" t="s">
        <v>48</v>
      </c>
      <c r="B30" s="339"/>
      <c r="C30" s="339"/>
      <c r="D30" s="339"/>
      <c r="E30" s="340"/>
      <c r="F30" s="339"/>
      <c r="G30" s="339"/>
      <c r="H30" s="211">
        <f t="shared" ref="H30:M30" si="3">SUM(H5:H29)</f>
        <v>125</v>
      </c>
      <c r="I30" s="105">
        <f>SUM(I5:I29)</f>
        <v>900</v>
      </c>
      <c r="J30" s="105">
        <f>J5+J6+J7+J8+J9+J10+J11+J12+J13+J14+J15+J16+J18+J19+J17+J20+J22+J23+J21+J24+J25+J26+J27+J28+J29</f>
        <v>220</v>
      </c>
      <c r="K30" s="105">
        <f>K5+K6+K7+K8+K9+K10+K11+K12+K13+K14+K15+K16+K18+K19+K17+K20+K22+K23+K21+K24+K25+K26+K27+K28+K29</f>
        <v>79.099999999999994</v>
      </c>
      <c r="L30" s="106">
        <f t="shared" si="3"/>
        <v>0</v>
      </c>
      <c r="M30" s="106">
        <f t="shared" si="3"/>
        <v>475</v>
      </c>
      <c r="N30" s="216" t="s">
        <v>15</v>
      </c>
      <c r="O30" s="216" t="s">
        <v>20</v>
      </c>
      <c r="P30" s="216" t="s">
        <v>45</v>
      </c>
      <c r="Q30" s="96" t="s">
        <v>44</v>
      </c>
      <c r="R30" s="341"/>
      <c r="S30" s="341"/>
      <c r="T30" s="34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3" t="s">
        <v>16</v>
      </c>
      <c r="B31" s="344"/>
      <c r="C31" s="344"/>
      <c r="D31" s="344"/>
      <c r="E31" s="344"/>
      <c r="F31" s="344"/>
      <c r="G31" s="344"/>
      <c r="H31" s="212">
        <f t="shared" ref="H31:J31" si="4">H30+H62+H94</f>
        <v>125</v>
      </c>
      <c r="I31" s="103">
        <f t="shared" si="4"/>
        <v>900</v>
      </c>
      <c r="J31" s="103">
        <f t="shared" si="4"/>
        <v>220</v>
      </c>
      <c r="K31" s="103">
        <f>K30+K62+K94</f>
        <v>79.099999999999994</v>
      </c>
      <c r="L31" s="97">
        <f>L30+L62+L94</f>
        <v>0</v>
      </c>
      <c r="M31" s="97">
        <f>M30+M62+M94</f>
        <v>475</v>
      </c>
      <c r="N31" s="217">
        <f>COUNT(H5:H29,H37:H61,H69:H93)</f>
        <v>3</v>
      </c>
      <c r="O31" s="104">
        <f>COUNT(I5:I29,I37:I61,I69:I93)</f>
        <v>6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3</v>
      </c>
      <c r="R31" s="98" t="s">
        <v>83</v>
      </c>
      <c r="S31" s="111">
        <f>H31+L31-U28-U29-U30</f>
        <v>125</v>
      </c>
      <c r="T31" s="328">
        <f>H31+I31+L31+M31</f>
        <v>1500</v>
      </c>
      <c r="U31" s="32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48" t="s">
        <v>55</v>
      </c>
      <c r="B32" s="349"/>
      <c r="C32" s="107">
        <f>H31+I31+J31+K31</f>
        <v>1324.1</v>
      </c>
      <c r="D32" s="196"/>
      <c r="E32" s="107"/>
      <c r="F32" s="350" t="s">
        <v>53</v>
      </c>
      <c r="G32" s="350"/>
      <c r="H32" s="109">
        <f>COUNT(B5:B29,B37:B61,B69:B93)</f>
        <v>11</v>
      </c>
      <c r="I32" s="351" t="s">
        <v>54</v>
      </c>
      <c r="J32" s="351"/>
      <c r="K32" s="108">
        <f>C32/H32</f>
        <v>120.37272727272726</v>
      </c>
      <c r="L32" s="218"/>
      <c r="M32" s="218"/>
      <c r="N32" s="218">
        <f>H31/C32</f>
        <v>9.4403745940638925E-2</v>
      </c>
      <c r="O32" s="218">
        <f>I31/C32</f>
        <v>0.67970697077260034</v>
      </c>
      <c r="P32" s="218">
        <f>K31/C32</f>
        <v>5.9738690431236315E-2</v>
      </c>
      <c r="Q32" s="110">
        <f>J31/C32</f>
        <v>0.16615059285552453</v>
      </c>
      <c r="R32" s="99" t="s">
        <v>82</v>
      </c>
      <c r="S32" s="213">
        <f>I31+M31</f>
        <v>1375</v>
      </c>
      <c r="T32" s="330"/>
      <c r="U32" s="331"/>
      <c r="V32" s="55"/>
      <c r="W32" s="55"/>
      <c r="X32" s="56" t="s">
        <v>27</v>
      </c>
      <c r="Y32" s="56"/>
      <c r="Z32" s="54">
        <f>I31</f>
        <v>900</v>
      </c>
      <c r="AE32" s="37"/>
      <c r="AF32" s="37"/>
      <c r="AG32" s="37"/>
      <c r="AH32" s="37"/>
    </row>
    <row r="33" spans="1:34" ht="17.25" thickBot="1" x14ac:dyDescent="0.35">
      <c r="A33" s="282" t="s">
        <v>24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323"/>
      <c r="U33" s="324"/>
      <c r="X33" s="57" t="s">
        <v>29</v>
      </c>
      <c r="Y33" s="57"/>
      <c r="Z33" s="58">
        <f>SUM(Z31:Z32)</f>
        <v>-1845</v>
      </c>
      <c r="AE33" s="37"/>
      <c r="AF33" s="37"/>
      <c r="AG33" s="59"/>
      <c r="AH33" s="37"/>
    </row>
    <row r="34" spans="1:34" ht="17.25" thickBot="1" x14ac:dyDescent="0.35">
      <c r="A34" s="322" t="str">
        <f>A2</f>
        <v>28-02-2022</v>
      </c>
      <c r="B34" s="323"/>
      <c r="C34" s="323"/>
      <c r="D34" s="323"/>
      <c r="E34" s="323"/>
      <c r="F34" s="323"/>
      <c r="G34" s="324"/>
      <c r="H34" s="325" t="s">
        <v>49</v>
      </c>
      <c r="I34" s="326"/>
      <c r="J34" s="322" t="str">
        <f>J2</f>
        <v>MIX</v>
      </c>
      <c r="K34" s="324"/>
      <c r="L34" s="326" t="s">
        <v>50</v>
      </c>
      <c r="M34" s="327"/>
      <c r="N34" s="325"/>
      <c r="O34" s="323" t="str">
        <f>O2</f>
        <v>JOHN</v>
      </c>
      <c r="P34" s="323"/>
      <c r="Q34" s="324"/>
      <c r="R34" s="326" t="s">
        <v>51</v>
      </c>
      <c r="S34" s="325"/>
      <c r="T34" s="314">
        <f>T2</f>
        <v>4</v>
      </c>
      <c r="U34" s="314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15" t="s">
        <v>21</v>
      </c>
      <c r="C36" s="167" t="s">
        <v>7</v>
      </c>
      <c r="D36" s="194" t="s">
        <v>88</v>
      </c>
      <c r="E36" s="167" t="s">
        <v>89</v>
      </c>
      <c r="F36" s="215" t="s">
        <v>25</v>
      </c>
      <c r="G36" s="215" t="s">
        <v>1</v>
      </c>
      <c r="H36" s="215" t="s">
        <v>22</v>
      </c>
      <c r="I36" s="215" t="s">
        <v>20</v>
      </c>
      <c r="J36" s="215" t="s">
        <v>44</v>
      </c>
      <c r="K36" s="215" t="s">
        <v>45</v>
      </c>
      <c r="L36" s="215" t="s">
        <v>47</v>
      </c>
      <c r="M36" s="215" t="s">
        <v>46</v>
      </c>
      <c r="N36" s="215" t="s">
        <v>2</v>
      </c>
      <c r="O36" s="315" t="s">
        <v>8</v>
      </c>
      <c r="P36" s="315"/>
      <c r="Q36" s="315"/>
      <c r="R36" s="215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89"/>
      <c r="P37" s="288"/>
      <c r="Q37" s="290"/>
      <c r="R37" s="60"/>
      <c r="S37" s="61"/>
      <c r="T37" s="61"/>
      <c r="U37" s="70"/>
    </row>
    <row r="38" spans="1:34" x14ac:dyDescent="0.3">
      <c r="A38" s="128">
        <f>A37+1</f>
        <v>27</v>
      </c>
      <c r="B38" s="214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6"/>
      <c r="P38" s="317"/>
      <c r="Q38" s="318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89"/>
      <c r="P39" s="288"/>
      <c r="Q39" s="290"/>
      <c r="R39" s="79"/>
      <c r="S39" s="13"/>
      <c r="T39" s="12"/>
      <c r="U39" s="72"/>
    </row>
    <row r="40" spans="1:34" x14ac:dyDescent="0.3">
      <c r="A40" s="128">
        <f t="shared" si="7"/>
        <v>29</v>
      </c>
      <c r="B40" s="214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9"/>
      <c r="P40" s="320"/>
      <c r="Q40" s="321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9"/>
      <c r="P41" s="320"/>
      <c r="Q41" s="321"/>
      <c r="R41" s="80"/>
      <c r="S41" s="73"/>
      <c r="T41" s="73"/>
      <c r="U41" s="74"/>
    </row>
    <row r="42" spans="1:34" x14ac:dyDescent="0.3">
      <c r="A42" s="128">
        <f t="shared" si="7"/>
        <v>31</v>
      </c>
      <c r="B42" s="214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11"/>
      <c r="P42" s="312"/>
      <c r="Q42" s="313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89"/>
      <c r="P43" s="288"/>
      <c r="Q43" s="290"/>
      <c r="R43" s="78"/>
      <c r="S43" s="71"/>
      <c r="T43" s="71"/>
      <c r="U43" s="72"/>
    </row>
    <row r="44" spans="1:34" x14ac:dyDescent="0.3">
      <c r="A44" s="128">
        <f t="shared" si="7"/>
        <v>33</v>
      </c>
      <c r="B44" s="214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89"/>
      <c r="P44" s="288"/>
      <c r="Q44" s="290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89"/>
      <c r="P45" s="288"/>
      <c r="Q45" s="290"/>
      <c r="R45" s="5"/>
      <c r="S45" s="71"/>
      <c r="T45" s="71"/>
      <c r="U45" s="72"/>
    </row>
    <row r="46" spans="1:34" x14ac:dyDescent="0.3">
      <c r="A46" s="128">
        <f t="shared" si="7"/>
        <v>35</v>
      </c>
      <c r="B46" s="214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89"/>
      <c r="P46" s="288"/>
      <c r="Q46" s="290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89"/>
      <c r="P47" s="288"/>
      <c r="Q47" s="290"/>
      <c r="R47" s="5"/>
      <c r="S47" s="71"/>
      <c r="T47" s="71"/>
      <c r="U47" s="72"/>
    </row>
    <row r="48" spans="1:34" x14ac:dyDescent="0.3">
      <c r="A48" s="128">
        <f t="shared" si="7"/>
        <v>37</v>
      </c>
      <c r="B48" s="214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89"/>
      <c r="P48" s="288"/>
      <c r="Q48" s="290"/>
      <c r="R48" s="5"/>
      <c r="S48" s="71"/>
      <c r="T48" s="71"/>
      <c r="U48" s="72"/>
    </row>
    <row r="49" spans="1:21" x14ac:dyDescent="0.3">
      <c r="A49" s="128">
        <f t="shared" si="7"/>
        <v>38</v>
      </c>
      <c r="B49" s="214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89"/>
      <c r="P49" s="288"/>
      <c r="Q49" s="290"/>
      <c r="R49" s="5"/>
      <c r="S49" s="71"/>
      <c r="T49" s="75"/>
      <c r="U49" s="72"/>
    </row>
    <row r="50" spans="1:21" x14ac:dyDescent="0.3">
      <c r="A50" s="128">
        <f t="shared" si="7"/>
        <v>39</v>
      </c>
      <c r="B50" s="214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89"/>
      <c r="P50" s="288"/>
      <c r="Q50" s="290"/>
      <c r="R50" s="5"/>
      <c r="S50" s="71"/>
      <c r="T50" s="75"/>
      <c r="U50" s="72"/>
    </row>
    <row r="51" spans="1:21" x14ac:dyDescent="0.3">
      <c r="A51" s="128">
        <f t="shared" si="7"/>
        <v>40</v>
      </c>
      <c r="B51" s="214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89"/>
      <c r="P51" s="288"/>
      <c r="Q51" s="288"/>
      <c r="R51" s="5"/>
      <c r="S51" s="71"/>
      <c r="T51" s="75"/>
      <c r="U51" s="72"/>
    </row>
    <row r="52" spans="1:21" x14ac:dyDescent="0.3">
      <c r="A52" s="128">
        <f t="shared" si="7"/>
        <v>41</v>
      </c>
      <c r="B52" s="214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89"/>
      <c r="P52" s="288"/>
      <c r="Q52" s="288"/>
      <c r="R52" s="81"/>
      <c r="S52" s="68"/>
      <c r="T52" s="76"/>
      <c r="U52" s="77"/>
    </row>
    <row r="53" spans="1:21" x14ac:dyDescent="0.3">
      <c r="A53" s="128">
        <f t="shared" si="7"/>
        <v>42</v>
      </c>
      <c r="B53" s="214"/>
      <c r="C53" s="127"/>
      <c r="D53" s="188"/>
      <c r="E53" s="181"/>
      <c r="F53" s="175"/>
      <c r="G53" s="214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0"/>
      <c r="P53" s="289"/>
      <c r="Q53" s="289"/>
      <c r="R53" s="81"/>
      <c r="S53" s="68"/>
      <c r="T53" s="76"/>
      <c r="U53" s="77"/>
    </row>
    <row r="54" spans="1:21" x14ac:dyDescent="0.3">
      <c r="A54" s="128">
        <f t="shared" si="7"/>
        <v>43</v>
      </c>
      <c r="B54" s="214"/>
      <c r="C54" s="127"/>
      <c r="D54" s="188"/>
      <c r="E54" s="181"/>
      <c r="F54" s="175"/>
      <c r="G54" s="214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0"/>
      <c r="P54" s="289"/>
      <c r="Q54" s="289"/>
      <c r="R54" s="81"/>
      <c r="S54" s="68"/>
      <c r="T54" s="76"/>
      <c r="U54" s="77"/>
    </row>
    <row r="55" spans="1:21" x14ac:dyDescent="0.3">
      <c r="A55" s="128">
        <f t="shared" si="7"/>
        <v>44</v>
      </c>
      <c r="B55" s="214"/>
      <c r="C55" s="127"/>
      <c r="D55" s="188"/>
      <c r="E55" s="181"/>
      <c r="F55" s="175"/>
      <c r="G55" s="214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0"/>
      <c r="P55" s="289"/>
      <c r="Q55" s="289"/>
      <c r="R55" s="81"/>
      <c r="S55" s="68"/>
      <c r="T55" s="76"/>
      <c r="U55" s="77"/>
    </row>
    <row r="56" spans="1:21" x14ac:dyDescent="0.3">
      <c r="A56" s="128">
        <f t="shared" si="7"/>
        <v>45</v>
      </c>
      <c r="B56" s="214"/>
      <c r="C56" s="132"/>
      <c r="D56" s="189"/>
      <c r="E56" s="181"/>
      <c r="F56" s="175"/>
      <c r="G56" s="214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88"/>
      <c r="P56" s="288"/>
      <c r="Q56" s="288"/>
      <c r="R56" s="81"/>
      <c r="S56" s="68"/>
      <c r="T56" s="76"/>
      <c r="U56" s="77"/>
    </row>
    <row r="57" spans="1:21" x14ac:dyDescent="0.3">
      <c r="A57" s="128">
        <f t="shared" si="7"/>
        <v>46</v>
      </c>
      <c r="B57" s="214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89"/>
      <c r="P57" s="288"/>
      <c r="Q57" s="288"/>
      <c r="R57" s="81"/>
      <c r="S57" s="68"/>
      <c r="T57" s="68"/>
      <c r="U57" s="77"/>
    </row>
    <row r="58" spans="1:21" x14ac:dyDescent="0.3">
      <c r="A58" s="128">
        <f t="shared" si="7"/>
        <v>47</v>
      </c>
      <c r="B58" s="214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88"/>
      <c r="P58" s="288"/>
      <c r="Q58" s="288"/>
      <c r="R58" s="81"/>
      <c r="S58" s="68"/>
      <c r="T58" s="68"/>
      <c r="U58" s="77"/>
    </row>
    <row r="59" spans="1:21" x14ac:dyDescent="0.3">
      <c r="A59" s="128">
        <f t="shared" si="7"/>
        <v>48</v>
      </c>
      <c r="B59" s="214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88"/>
      <c r="P59" s="288"/>
      <c r="Q59" s="288"/>
      <c r="R59" s="81"/>
      <c r="S59" s="68"/>
      <c r="T59" s="68"/>
      <c r="U59" s="77"/>
    </row>
    <row r="60" spans="1:21" x14ac:dyDescent="0.3">
      <c r="A60" s="128">
        <f t="shared" si="7"/>
        <v>49</v>
      </c>
      <c r="B60" s="214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89"/>
      <c r="P60" s="288"/>
      <c r="Q60" s="290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14"/>
      <c r="C61" s="30"/>
      <c r="D61" s="198"/>
      <c r="F61" s="30"/>
      <c r="G61" s="214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291"/>
      <c r="P61" s="292"/>
      <c r="Q61" s="293"/>
      <c r="R61" s="81"/>
      <c r="S61" s="68"/>
      <c r="T61" s="68"/>
      <c r="U61" s="77"/>
    </row>
    <row r="62" spans="1:21" x14ac:dyDescent="0.3">
      <c r="A62" s="294" t="s">
        <v>48</v>
      </c>
      <c r="B62" s="295"/>
      <c r="C62" s="295"/>
      <c r="D62" s="295"/>
      <c r="E62" s="295"/>
      <c r="F62" s="295"/>
      <c r="G62" s="295"/>
      <c r="H62" s="295">
        <f t="shared" ref="H62:M62" si="8">SUM(H37:H61)</f>
        <v>0</v>
      </c>
      <c r="I62" s="301">
        <f t="shared" si="8"/>
        <v>0</v>
      </c>
      <c r="J62" s="301">
        <f>J61+J60+J59+J58+J57+J56+J55+J54+J53+J52+J51+J50+J49+J48+J47+J46+J45+J44+J43+J42+J41+J40+J39+J38+J37</f>
        <v>0</v>
      </c>
      <c r="K62" s="301">
        <f>K61+K60+K59+K58+K57+K56+K55+K54+K53+K52+K51+K50+K49+K48+K47+K46+K45+K44+K43+K42+K41+K40+K39+K38+K37</f>
        <v>0</v>
      </c>
      <c r="L62" s="304">
        <f t="shared" si="8"/>
        <v>0</v>
      </c>
      <c r="M62" s="307">
        <f t="shared" si="8"/>
        <v>0</v>
      </c>
      <c r="N62" s="276"/>
      <c r="O62" s="277"/>
      <c r="P62" s="277"/>
      <c r="Q62" s="278"/>
      <c r="R62" s="5"/>
      <c r="S62" s="6"/>
      <c r="T62" s="7"/>
      <c r="U62" s="8"/>
    </row>
    <row r="63" spans="1:21" ht="17.25" thickBot="1" x14ac:dyDescent="0.35">
      <c r="A63" s="297"/>
      <c r="B63" s="298"/>
      <c r="C63" s="298"/>
      <c r="D63" s="298"/>
      <c r="E63" s="298"/>
      <c r="F63" s="298"/>
      <c r="G63" s="298"/>
      <c r="H63" s="298"/>
      <c r="I63" s="302"/>
      <c r="J63" s="302"/>
      <c r="K63" s="302"/>
      <c r="L63" s="305"/>
      <c r="M63" s="308"/>
      <c r="N63" s="279"/>
      <c r="O63" s="280"/>
      <c r="P63" s="280"/>
      <c r="Q63" s="281"/>
      <c r="R63" s="1"/>
      <c r="S63" s="2"/>
      <c r="T63" s="3"/>
      <c r="U63" s="4"/>
    </row>
    <row r="64" spans="1:21" ht="17.25" thickBot="1" x14ac:dyDescent="0.35">
      <c r="A64" s="299"/>
      <c r="B64" s="300"/>
      <c r="C64" s="300"/>
      <c r="D64" s="300"/>
      <c r="E64" s="300"/>
      <c r="F64" s="300"/>
      <c r="G64" s="300"/>
      <c r="H64" s="300"/>
      <c r="I64" s="303"/>
      <c r="J64" s="303"/>
      <c r="K64" s="303"/>
      <c r="L64" s="306"/>
      <c r="M64" s="309"/>
      <c r="N64" s="282"/>
      <c r="O64" s="283"/>
      <c r="P64" s="283"/>
      <c r="Q64" s="284"/>
      <c r="R64" s="285" t="s">
        <v>17</v>
      </c>
      <c r="S64" s="286"/>
      <c r="T64" s="286"/>
      <c r="U64" s="287"/>
    </row>
    <row r="65" spans="1:21" ht="17.25" thickBot="1" x14ac:dyDescent="0.35">
      <c r="A65" s="322" t="s">
        <v>24</v>
      </c>
      <c r="B65" s="323"/>
      <c r="C65" s="323"/>
      <c r="D65" s="323"/>
      <c r="E65" s="323"/>
      <c r="F65" s="323"/>
      <c r="G65" s="323"/>
      <c r="H65" s="323"/>
      <c r="I65" s="323"/>
      <c r="J65" s="323"/>
      <c r="K65" s="323"/>
      <c r="L65" s="323"/>
      <c r="M65" s="323"/>
      <c r="N65" s="323"/>
      <c r="O65" s="323"/>
      <c r="P65" s="323"/>
      <c r="Q65" s="323"/>
      <c r="R65" s="323"/>
      <c r="S65" s="323"/>
      <c r="T65" s="323"/>
      <c r="U65" s="324"/>
    </row>
    <row r="66" spans="1:21" ht="17.25" thickBot="1" x14ac:dyDescent="0.35">
      <c r="A66" s="322" t="str">
        <f>A34</f>
        <v>28-02-2022</v>
      </c>
      <c r="B66" s="323"/>
      <c r="C66" s="323"/>
      <c r="D66" s="323"/>
      <c r="E66" s="323"/>
      <c r="F66" s="323"/>
      <c r="G66" s="324"/>
      <c r="H66" s="325" t="s">
        <v>49</v>
      </c>
      <c r="I66" s="326"/>
      <c r="J66" s="322" t="str">
        <f>J34</f>
        <v>MIX</v>
      </c>
      <c r="K66" s="324"/>
      <c r="L66" s="326" t="s">
        <v>50</v>
      </c>
      <c r="M66" s="327"/>
      <c r="N66" s="325"/>
      <c r="O66" s="323" t="str">
        <f>O34</f>
        <v>JOHN</v>
      </c>
      <c r="P66" s="323"/>
      <c r="Q66" s="324"/>
      <c r="R66" s="326" t="s">
        <v>51</v>
      </c>
      <c r="S66" s="325"/>
      <c r="T66" s="314">
        <f>T34</f>
        <v>4</v>
      </c>
      <c r="U66" s="314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15" t="s">
        <v>21</v>
      </c>
      <c r="C68" s="167" t="s">
        <v>7</v>
      </c>
      <c r="D68" s="194" t="s">
        <v>88</v>
      </c>
      <c r="E68" s="167" t="s">
        <v>89</v>
      </c>
      <c r="F68" s="215" t="s">
        <v>25</v>
      </c>
      <c r="G68" s="215" t="s">
        <v>1</v>
      </c>
      <c r="H68" s="215" t="s">
        <v>22</v>
      </c>
      <c r="I68" s="215" t="s">
        <v>20</v>
      </c>
      <c r="J68" s="215" t="s">
        <v>44</v>
      </c>
      <c r="K68" s="215" t="s">
        <v>45</v>
      </c>
      <c r="L68" s="215" t="s">
        <v>47</v>
      </c>
      <c r="M68" s="215" t="s">
        <v>46</v>
      </c>
      <c r="N68" s="215" t="s">
        <v>2</v>
      </c>
      <c r="O68" s="315" t="s">
        <v>8</v>
      </c>
      <c r="P68" s="315"/>
      <c r="Q68" s="315"/>
      <c r="R68" s="215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14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89"/>
      <c r="P69" s="288"/>
      <c r="Q69" s="290"/>
      <c r="R69" s="60"/>
      <c r="S69" s="61"/>
      <c r="T69" s="61"/>
      <c r="U69" s="70"/>
    </row>
    <row r="70" spans="1:21" x14ac:dyDescent="0.3">
      <c r="A70" s="128">
        <f>A69+1</f>
        <v>52</v>
      </c>
      <c r="B70" s="214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6"/>
      <c r="P70" s="317"/>
      <c r="Q70" s="318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14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89"/>
      <c r="P71" s="288"/>
      <c r="Q71" s="290"/>
      <c r="R71" s="79"/>
      <c r="S71" s="13"/>
      <c r="T71" s="12"/>
      <c r="U71" s="72"/>
    </row>
    <row r="72" spans="1:21" x14ac:dyDescent="0.3">
      <c r="A72" s="128">
        <f t="shared" si="11"/>
        <v>54</v>
      </c>
      <c r="B72" s="214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9"/>
      <c r="P72" s="320"/>
      <c r="Q72" s="321"/>
      <c r="R72" s="78"/>
      <c r="S72" s="71"/>
      <c r="T72" s="71"/>
      <c r="U72" s="72"/>
    </row>
    <row r="73" spans="1:21" x14ac:dyDescent="0.3">
      <c r="A73" s="128">
        <f t="shared" si="11"/>
        <v>55</v>
      </c>
      <c r="B73" s="214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9"/>
      <c r="P73" s="320"/>
      <c r="Q73" s="321"/>
      <c r="R73" s="80"/>
      <c r="S73" s="73"/>
      <c r="T73" s="73"/>
      <c r="U73" s="74"/>
    </row>
    <row r="74" spans="1:21" x14ac:dyDescent="0.3">
      <c r="A74" s="128">
        <f t="shared" si="11"/>
        <v>56</v>
      </c>
      <c r="B74" s="214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11"/>
      <c r="P74" s="312"/>
      <c r="Q74" s="313"/>
      <c r="R74" s="80"/>
      <c r="S74" s="73"/>
      <c r="T74" s="73"/>
      <c r="U74" s="74"/>
    </row>
    <row r="75" spans="1:21" x14ac:dyDescent="0.3">
      <c r="A75" s="128">
        <f t="shared" si="11"/>
        <v>57</v>
      </c>
      <c r="B75" s="214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89"/>
      <c r="P75" s="288"/>
      <c r="Q75" s="290"/>
      <c r="R75" s="78"/>
      <c r="S75" s="71"/>
      <c r="T75" s="71"/>
      <c r="U75" s="72"/>
    </row>
    <row r="76" spans="1:21" x14ac:dyDescent="0.3">
      <c r="A76" s="128">
        <f t="shared" si="11"/>
        <v>58</v>
      </c>
      <c r="B76" s="214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89"/>
      <c r="P76" s="288"/>
      <c r="Q76" s="290"/>
      <c r="R76" s="5"/>
      <c r="S76" s="71"/>
      <c r="T76" s="71"/>
      <c r="U76" s="72"/>
    </row>
    <row r="77" spans="1:21" x14ac:dyDescent="0.3">
      <c r="A77" s="128">
        <f t="shared" si="11"/>
        <v>59</v>
      </c>
      <c r="B77" s="214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89"/>
      <c r="P77" s="288"/>
      <c r="Q77" s="290"/>
      <c r="R77" s="5"/>
      <c r="S77" s="71"/>
      <c r="T77" s="71"/>
      <c r="U77" s="72"/>
    </row>
    <row r="78" spans="1:21" x14ac:dyDescent="0.3">
      <c r="A78" s="128">
        <f t="shared" si="11"/>
        <v>60</v>
      </c>
      <c r="B78" s="214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89"/>
      <c r="P78" s="288"/>
      <c r="Q78" s="290"/>
      <c r="R78" s="5"/>
      <c r="S78" s="71"/>
      <c r="T78" s="71"/>
      <c r="U78" s="72"/>
    </row>
    <row r="79" spans="1:21" x14ac:dyDescent="0.3">
      <c r="A79" s="128">
        <f t="shared" si="11"/>
        <v>61</v>
      </c>
      <c r="B79" s="214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89"/>
      <c r="P79" s="288"/>
      <c r="Q79" s="290"/>
      <c r="R79" s="5"/>
      <c r="S79" s="71"/>
      <c r="T79" s="71"/>
      <c r="U79" s="72"/>
    </row>
    <row r="80" spans="1:21" x14ac:dyDescent="0.3">
      <c r="A80" s="128">
        <f t="shared" si="11"/>
        <v>62</v>
      </c>
      <c r="B80" s="214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89"/>
      <c r="P80" s="288"/>
      <c r="Q80" s="290"/>
      <c r="R80" s="5"/>
      <c r="S80" s="71"/>
      <c r="T80" s="71"/>
      <c r="U80" s="72"/>
    </row>
    <row r="81" spans="1:21" x14ac:dyDescent="0.3">
      <c r="A81" s="128">
        <f t="shared" si="11"/>
        <v>63</v>
      </c>
      <c r="B81" s="214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89"/>
      <c r="P81" s="288"/>
      <c r="Q81" s="290"/>
      <c r="R81" s="5"/>
      <c r="S81" s="71"/>
      <c r="T81" s="75"/>
      <c r="U81" s="72"/>
    </row>
    <row r="82" spans="1:21" x14ac:dyDescent="0.3">
      <c r="A82" s="128">
        <f t="shared" si="11"/>
        <v>64</v>
      </c>
      <c r="B82" s="214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89"/>
      <c r="P82" s="288"/>
      <c r="Q82" s="290"/>
      <c r="R82" s="5"/>
      <c r="S82" s="71"/>
      <c r="T82" s="75"/>
      <c r="U82" s="72"/>
    </row>
    <row r="83" spans="1:21" x14ac:dyDescent="0.3">
      <c r="A83" s="128">
        <f t="shared" si="11"/>
        <v>65</v>
      </c>
      <c r="B83" s="214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89"/>
      <c r="P83" s="288"/>
      <c r="Q83" s="288"/>
      <c r="R83" s="5"/>
      <c r="S83" s="71"/>
      <c r="T83" s="75"/>
      <c r="U83" s="72"/>
    </row>
    <row r="84" spans="1:21" x14ac:dyDescent="0.3">
      <c r="A84" s="128">
        <f t="shared" si="11"/>
        <v>66</v>
      </c>
      <c r="B84" s="214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89"/>
      <c r="P84" s="288"/>
      <c r="Q84" s="288"/>
      <c r="R84" s="81"/>
      <c r="S84" s="68"/>
      <c r="T84" s="76"/>
      <c r="U84" s="77"/>
    </row>
    <row r="85" spans="1:21" x14ac:dyDescent="0.3">
      <c r="A85" s="128">
        <f t="shared" si="11"/>
        <v>67</v>
      </c>
      <c r="B85" s="214"/>
      <c r="C85" s="127"/>
      <c r="D85" s="188"/>
      <c r="E85" s="181"/>
      <c r="F85" s="175"/>
      <c r="G85" s="214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0"/>
      <c r="P85" s="289"/>
      <c r="Q85" s="289"/>
      <c r="R85" s="81"/>
      <c r="S85" s="68"/>
      <c r="T85" s="76"/>
      <c r="U85" s="77"/>
    </row>
    <row r="86" spans="1:21" x14ac:dyDescent="0.3">
      <c r="A86" s="128">
        <f t="shared" si="11"/>
        <v>68</v>
      </c>
      <c r="B86" s="214"/>
      <c r="C86" s="127"/>
      <c r="D86" s="188"/>
      <c r="E86" s="181"/>
      <c r="F86" s="175"/>
      <c r="G86" s="214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0"/>
      <c r="P86" s="289"/>
      <c r="Q86" s="289"/>
      <c r="R86" s="81"/>
      <c r="S86" s="68"/>
      <c r="T86" s="76"/>
      <c r="U86" s="77"/>
    </row>
    <row r="87" spans="1:21" x14ac:dyDescent="0.3">
      <c r="A87" s="128">
        <f t="shared" si="11"/>
        <v>69</v>
      </c>
      <c r="B87" s="214"/>
      <c r="C87" s="127"/>
      <c r="D87" s="188"/>
      <c r="E87" s="181"/>
      <c r="F87" s="175"/>
      <c r="G87" s="214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0"/>
      <c r="P87" s="289"/>
      <c r="Q87" s="289"/>
      <c r="R87" s="81"/>
      <c r="S87" s="68"/>
      <c r="T87" s="76"/>
      <c r="U87" s="77"/>
    </row>
    <row r="88" spans="1:21" x14ac:dyDescent="0.3">
      <c r="A88" s="128">
        <f t="shared" si="11"/>
        <v>70</v>
      </c>
      <c r="B88" s="214"/>
      <c r="C88" s="132"/>
      <c r="D88" s="189"/>
      <c r="E88" s="181"/>
      <c r="F88" s="175"/>
      <c r="G88" s="214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88"/>
      <c r="P88" s="288"/>
      <c r="Q88" s="288"/>
      <c r="R88" s="81"/>
      <c r="S88" s="68"/>
      <c r="T88" s="76"/>
      <c r="U88" s="77"/>
    </row>
    <row r="89" spans="1:21" x14ac:dyDescent="0.3">
      <c r="A89" s="128">
        <f t="shared" si="11"/>
        <v>71</v>
      </c>
      <c r="B89" s="214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89"/>
      <c r="P89" s="288"/>
      <c r="Q89" s="288"/>
      <c r="R89" s="81"/>
      <c r="S89" s="68"/>
      <c r="T89" s="68"/>
      <c r="U89" s="77"/>
    </row>
    <row r="90" spans="1:21" x14ac:dyDescent="0.3">
      <c r="A90" s="128">
        <f t="shared" si="11"/>
        <v>72</v>
      </c>
      <c r="B90" s="214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88"/>
      <c r="P90" s="288"/>
      <c r="Q90" s="288"/>
      <c r="R90" s="81"/>
      <c r="S90" s="68"/>
      <c r="T90" s="68"/>
      <c r="U90" s="77"/>
    </row>
    <row r="91" spans="1:21" x14ac:dyDescent="0.3">
      <c r="A91" s="128">
        <f t="shared" si="11"/>
        <v>73</v>
      </c>
      <c r="B91" s="214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88"/>
      <c r="P91" s="288"/>
      <c r="Q91" s="288"/>
      <c r="R91" s="81"/>
      <c r="S91" s="68"/>
      <c r="T91" s="68"/>
      <c r="U91" s="77"/>
    </row>
    <row r="92" spans="1:21" x14ac:dyDescent="0.3">
      <c r="A92" s="128">
        <f t="shared" si="11"/>
        <v>74</v>
      </c>
      <c r="B92" s="214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89"/>
      <c r="P92" s="288"/>
      <c r="Q92" s="290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14"/>
      <c r="C93" s="30"/>
      <c r="D93" s="199"/>
      <c r="E93" s="182"/>
      <c r="F93" s="178"/>
      <c r="G93" s="214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291"/>
      <c r="P93" s="292"/>
      <c r="Q93" s="293"/>
      <c r="R93" s="81"/>
      <c r="S93" s="68"/>
      <c r="T93" s="68"/>
      <c r="U93" s="77"/>
    </row>
    <row r="94" spans="1:21" x14ac:dyDescent="0.3">
      <c r="A94" s="294" t="s">
        <v>48</v>
      </c>
      <c r="B94" s="295"/>
      <c r="C94" s="295"/>
      <c r="D94" s="295"/>
      <c r="E94" s="296"/>
      <c r="F94" s="295"/>
      <c r="G94" s="295"/>
      <c r="H94" s="295">
        <f t="shared" ref="H94:M94" si="12">SUM(H69:H93)</f>
        <v>0</v>
      </c>
      <c r="I94" s="301">
        <f t="shared" si="12"/>
        <v>0</v>
      </c>
      <c r="J94" s="301">
        <f>J93+J92+J91+J90+J89+J88+J87+J86+J85+J84+J83+J82+J81+J80+J79+J78+J77+J76+J75+J74+J73+J72+J71+J70+J69</f>
        <v>0</v>
      </c>
      <c r="K94" s="301">
        <f>K93+K92+K91+K90+K89+K88+K87+K86+K85+K84+K83+K82+K81+K80+K79+K78+K77+K76+K75+K74+K73+K72+K71+K70+K69</f>
        <v>0</v>
      </c>
      <c r="L94" s="304">
        <f t="shared" si="12"/>
        <v>0</v>
      </c>
      <c r="M94" s="307">
        <f t="shared" si="12"/>
        <v>0</v>
      </c>
      <c r="N94" s="276"/>
      <c r="O94" s="277"/>
      <c r="P94" s="277"/>
      <c r="Q94" s="278"/>
      <c r="R94" s="5"/>
      <c r="S94" s="6"/>
      <c r="T94" s="7"/>
      <c r="U94" s="8"/>
    </row>
    <row r="95" spans="1:21" ht="17.25" thickBot="1" x14ac:dyDescent="0.35">
      <c r="A95" s="297"/>
      <c r="B95" s="298"/>
      <c r="C95" s="298"/>
      <c r="D95" s="298"/>
      <c r="E95" s="298"/>
      <c r="F95" s="298"/>
      <c r="G95" s="298"/>
      <c r="H95" s="298"/>
      <c r="I95" s="302"/>
      <c r="J95" s="302"/>
      <c r="K95" s="302"/>
      <c r="L95" s="305"/>
      <c r="M95" s="308"/>
      <c r="N95" s="279"/>
      <c r="O95" s="280"/>
      <c r="P95" s="280"/>
      <c r="Q95" s="281"/>
      <c r="R95" s="1"/>
      <c r="S95" s="2"/>
      <c r="T95" s="3"/>
      <c r="U95" s="4"/>
    </row>
    <row r="96" spans="1:21" ht="17.25" thickBot="1" x14ac:dyDescent="0.35">
      <c r="A96" s="299"/>
      <c r="B96" s="300"/>
      <c r="C96" s="300"/>
      <c r="D96" s="300"/>
      <c r="E96" s="300"/>
      <c r="F96" s="300"/>
      <c r="G96" s="300"/>
      <c r="H96" s="300"/>
      <c r="I96" s="303"/>
      <c r="J96" s="303"/>
      <c r="K96" s="303"/>
      <c r="L96" s="306"/>
      <c r="M96" s="309"/>
      <c r="N96" s="282"/>
      <c r="O96" s="283"/>
      <c r="P96" s="283"/>
      <c r="Q96" s="284"/>
      <c r="R96" s="285" t="s">
        <v>52</v>
      </c>
      <c r="S96" s="286"/>
      <c r="T96" s="286"/>
      <c r="U96" s="287"/>
    </row>
  </sheetData>
  <mergeCells count="131">
    <mergeCell ref="A1:U1"/>
    <mergeCell ref="A2:G2"/>
    <mergeCell ref="H2:I2"/>
    <mergeCell ref="J2:K2"/>
    <mergeCell ref="L2:N2"/>
    <mergeCell ref="O2:Q2"/>
    <mergeCell ref="R2:S2"/>
    <mergeCell ref="T2:U2"/>
    <mergeCell ref="O10:Q10"/>
    <mergeCell ref="O4:Q4"/>
    <mergeCell ref="O5:Q5"/>
    <mergeCell ref="O6:Q6"/>
    <mergeCell ref="O7:Q7"/>
    <mergeCell ref="O8:Q8"/>
    <mergeCell ref="O9:Q9"/>
    <mergeCell ref="X23:Z23"/>
    <mergeCell ref="O24:Q24"/>
    <mergeCell ref="O25:Q25"/>
    <mergeCell ref="O15:Q15"/>
    <mergeCell ref="O16:Q16"/>
    <mergeCell ref="O17:Q17"/>
    <mergeCell ref="O18:Q18"/>
    <mergeCell ref="O19:Q19"/>
    <mergeCell ref="O20:Q20"/>
    <mergeCell ref="O21:Q21"/>
    <mergeCell ref="U25:U26"/>
    <mergeCell ref="O22:Q22"/>
    <mergeCell ref="O26:Q26"/>
    <mergeCell ref="O27:Q27"/>
    <mergeCell ref="O28:Q28"/>
    <mergeCell ref="R28:T28"/>
    <mergeCell ref="A32:B32"/>
    <mergeCell ref="F32:G32"/>
    <mergeCell ref="I32:J32"/>
    <mergeCell ref="R27:U27"/>
    <mergeCell ref="O11:Q11"/>
    <mergeCell ref="O12:Q12"/>
    <mergeCell ref="O13:Q13"/>
    <mergeCell ref="O14:Q14"/>
    <mergeCell ref="A33:U33"/>
    <mergeCell ref="A34:G34"/>
    <mergeCell ref="H34:I34"/>
    <mergeCell ref="J34:K34"/>
    <mergeCell ref="L34:N34"/>
    <mergeCell ref="O34:Q34"/>
    <mergeCell ref="T31:U32"/>
    <mergeCell ref="O29:Q29"/>
    <mergeCell ref="R29:T29"/>
    <mergeCell ref="A30:G30"/>
    <mergeCell ref="R30:T30"/>
    <mergeCell ref="A31:G31"/>
    <mergeCell ref="O40:Q40"/>
    <mergeCell ref="O41:Q41"/>
    <mergeCell ref="O42:Q42"/>
    <mergeCell ref="O43:Q43"/>
    <mergeCell ref="O44:Q44"/>
    <mergeCell ref="O45:Q45"/>
    <mergeCell ref="R34:S34"/>
    <mergeCell ref="T34:U34"/>
    <mergeCell ref="O36:Q36"/>
    <mergeCell ref="O37:Q37"/>
    <mergeCell ref="O38:Q38"/>
    <mergeCell ref="O39:Q39"/>
    <mergeCell ref="O52:Q52"/>
    <mergeCell ref="O53:Q53"/>
    <mergeCell ref="O54:Q54"/>
    <mergeCell ref="O55:Q55"/>
    <mergeCell ref="O56:Q56"/>
    <mergeCell ref="O57:Q57"/>
    <mergeCell ref="O46:Q46"/>
    <mergeCell ref="O47:Q47"/>
    <mergeCell ref="O48:Q48"/>
    <mergeCell ref="O49:Q49"/>
    <mergeCell ref="O50:Q50"/>
    <mergeCell ref="O51:Q51"/>
    <mergeCell ref="O58:Q58"/>
    <mergeCell ref="O59:Q59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O73:Q73"/>
    <mergeCell ref="O74:Q74"/>
    <mergeCell ref="O75:Q75"/>
    <mergeCell ref="O76:Q76"/>
    <mergeCell ref="O77:Q77"/>
    <mergeCell ref="O78:Q78"/>
    <mergeCell ref="T66:U66"/>
    <mergeCell ref="O68:Q68"/>
    <mergeCell ref="O69:Q69"/>
    <mergeCell ref="O70:Q70"/>
    <mergeCell ref="O71:Q71"/>
    <mergeCell ref="O72:Q72"/>
    <mergeCell ref="O85:Q85"/>
    <mergeCell ref="O86:Q86"/>
    <mergeCell ref="O87:Q87"/>
    <mergeCell ref="O88:Q88"/>
    <mergeCell ref="O89:Q89"/>
    <mergeCell ref="O90:Q90"/>
    <mergeCell ref="O79:Q79"/>
    <mergeCell ref="O80:Q80"/>
    <mergeCell ref="O81:Q81"/>
    <mergeCell ref="O82:Q82"/>
    <mergeCell ref="O83:Q83"/>
    <mergeCell ref="O84:Q84"/>
    <mergeCell ref="N94:Q96"/>
    <mergeCell ref="R96:U96"/>
    <mergeCell ref="O91:Q91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</mergeCells>
  <phoneticPr fontId="4" type="noConversion"/>
  <dataValidations count="1">
    <dataValidation type="list" allowBlank="1" showInputMessage="1" showErrorMessage="1" sqref="X7 W5 E69:E93 E37:E61 E5:E29" xr:uid="{EBE257AC-77D5-4DA5-A244-6E1D9D03E745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  <colBreaks count="2" manualBreakCount="2">
    <brk id="7" max="1048575" man="1"/>
    <brk id="8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303563-794A-4119-8744-C0C0479D0F86}">
  <sheetPr>
    <pageSetUpPr fitToPage="1"/>
  </sheetPr>
  <dimension ref="A1:AR96"/>
  <sheetViews>
    <sheetView zoomScale="110" zoomScaleNormal="110" zoomScaleSheetLayoutView="77" workbookViewId="0">
      <selection activeCell="R7" sqref="R7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22" t="s">
        <v>77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4"/>
    </row>
    <row r="2" spans="1:44" ht="17.25" thickBot="1" x14ac:dyDescent="0.35">
      <c r="A2" s="322" t="s">
        <v>98</v>
      </c>
      <c r="B2" s="323"/>
      <c r="C2" s="323"/>
      <c r="D2" s="323"/>
      <c r="E2" s="323"/>
      <c r="F2" s="323"/>
      <c r="G2" s="324"/>
      <c r="H2" s="325" t="s">
        <v>49</v>
      </c>
      <c r="I2" s="326"/>
      <c r="J2" s="322" t="s">
        <v>158</v>
      </c>
      <c r="K2" s="324"/>
      <c r="L2" s="326" t="s">
        <v>96</v>
      </c>
      <c r="M2" s="327"/>
      <c r="N2" s="325"/>
      <c r="O2" s="323" t="s">
        <v>140</v>
      </c>
      <c r="P2" s="323"/>
      <c r="Q2" s="324"/>
      <c r="R2" s="326" t="s">
        <v>51</v>
      </c>
      <c r="S2" s="325"/>
      <c r="T2" s="314">
        <v>3</v>
      </c>
      <c r="U2" s="314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15" t="s">
        <v>8</v>
      </c>
      <c r="P4" s="315"/>
      <c r="Q4" s="31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4322</v>
      </c>
      <c r="C5" s="68" t="s">
        <v>146</v>
      </c>
      <c r="D5" s="200" t="s">
        <v>147</v>
      </c>
      <c r="E5" s="181" t="s">
        <v>110</v>
      </c>
      <c r="F5" s="170">
        <v>940</v>
      </c>
      <c r="G5" s="118" t="s">
        <v>148</v>
      </c>
      <c r="H5" s="91"/>
      <c r="I5" s="124">
        <v>75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140</v>
      </c>
      <c r="O5" s="361"/>
      <c r="P5" s="362"/>
      <c r="Q5" s="363"/>
      <c r="R5" s="33" t="s">
        <v>121</v>
      </c>
      <c r="S5" s="31">
        <v>0.35416666666666669</v>
      </c>
      <c r="T5" s="32">
        <v>0.70833333333333337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4323</v>
      </c>
      <c r="C6" s="67" t="s">
        <v>149</v>
      </c>
      <c r="D6" s="200" t="s">
        <v>150</v>
      </c>
      <c r="E6" s="181" t="s">
        <v>106</v>
      </c>
      <c r="F6" s="171">
        <v>1235</v>
      </c>
      <c r="G6" s="118" t="s">
        <v>151</v>
      </c>
      <c r="H6" s="91"/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140</v>
      </c>
      <c r="O6" s="316" t="s">
        <v>152</v>
      </c>
      <c r="P6" s="317"/>
      <c r="Q6" s="318"/>
      <c r="R6" s="132" t="s">
        <v>122</v>
      </c>
      <c r="S6" s="31">
        <v>0.33333333333333331</v>
      </c>
      <c r="T6" s="32">
        <v>0.66666666666666663</v>
      </c>
      <c r="U6" s="92">
        <f t="shared" si="0"/>
        <v>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4324</v>
      </c>
      <c r="C7" s="67" t="s">
        <v>153</v>
      </c>
      <c r="D7" s="200" t="s">
        <v>154</v>
      </c>
      <c r="E7" s="181" t="s">
        <v>92</v>
      </c>
      <c r="F7" s="171">
        <v>1325</v>
      </c>
      <c r="G7" s="118" t="s">
        <v>136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140</v>
      </c>
      <c r="O7" s="289"/>
      <c r="P7" s="288"/>
      <c r="Q7" s="290"/>
      <c r="R7" s="26" t="s">
        <v>145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4325</v>
      </c>
      <c r="C8" s="27" t="s">
        <v>155</v>
      </c>
      <c r="D8" s="200" t="s">
        <v>156</v>
      </c>
      <c r="E8" s="181" t="s">
        <v>92</v>
      </c>
      <c r="F8" s="171">
        <v>1425</v>
      </c>
      <c r="G8" s="118" t="s">
        <v>157</v>
      </c>
      <c r="H8" s="91"/>
      <c r="I8" s="124">
        <v>280</v>
      </c>
      <c r="J8" s="130" t="str">
        <f t="shared" si="1"/>
        <v>0</v>
      </c>
      <c r="K8" s="130" t="str">
        <f t="shared" si="2"/>
        <v>0</v>
      </c>
      <c r="L8" s="131"/>
      <c r="M8" s="131"/>
      <c r="N8" s="134" t="s">
        <v>140</v>
      </c>
      <c r="O8" s="319"/>
      <c r="P8" s="320"/>
      <c r="Q8" s="321"/>
      <c r="R8" s="26"/>
      <c r="S8" s="31"/>
      <c r="T8" s="32"/>
      <c r="U8" s="92">
        <f t="shared" si="0"/>
        <v>0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/>
      <c r="C9" s="63"/>
      <c r="D9" s="201"/>
      <c r="E9" s="181"/>
      <c r="F9" s="172"/>
      <c r="G9" s="119"/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319"/>
      <c r="P9" s="320"/>
      <c r="Q9" s="321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/>
      <c r="C10" s="28"/>
      <c r="D10" s="202"/>
      <c r="E10" s="181"/>
      <c r="F10" s="173"/>
      <c r="G10" s="120"/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311"/>
      <c r="P10" s="312"/>
      <c r="Q10" s="313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289"/>
      <c r="P11" s="288"/>
      <c r="Q11" s="290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289"/>
      <c r="P12" s="288"/>
      <c r="Q12" s="29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289"/>
      <c r="P13" s="288"/>
      <c r="Q13" s="29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289"/>
      <c r="P14" s="288"/>
      <c r="Q14" s="29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289"/>
      <c r="P15" s="288"/>
      <c r="Q15" s="29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289"/>
      <c r="P16" s="288"/>
      <c r="Q16" s="290"/>
      <c r="R16" s="82">
        <f>H32/U16</f>
        <v>0.15686274509803921</v>
      </c>
      <c r="S16" s="83">
        <f>H32/(U16-U5)</f>
        <v>0.23529411764705882</v>
      </c>
      <c r="T16" s="83">
        <f>C32/U16</f>
        <v>17.647058823529413</v>
      </c>
      <c r="U16" s="83">
        <f>SUM(U5:U15)</f>
        <v>25.5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289"/>
      <c r="P17" s="288"/>
      <c r="Q17" s="29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289"/>
      <c r="P18" s="288"/>
      <c r="Q18" s="29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289"/>
      <c r="P19" s="288"/>
      <c r="Q19" s="288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57"/>
      <c r="P20" s="358"/>
      <c r="Q20" s="35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89"/>
      <c r="P21" s="288"/>
      <c r="Q21" s="28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89"/>
      <c r="P22" s="288"/>
      <c r="Q22" s="29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55"/>
      <c r="Y23" s="356"/>
      <c r="Z23" s="356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89"/>
      <c r="P24" s="288"/>
      <c r="Q24" s="29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89"/>
      <c r="P25" s="288"/>
      <c r="Q25" s="29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1</v>
      </c>
      <c r="U25" s="359">
        <f>((C32+(R26+S26+T26)*0.5))</f>
        <v>475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89"/>
      <c r="P26" s="288"/>
      <c r="Q26" s="290"/>
      <c r="R26" s="112">
        <f>R25*37.5</f>
        <v>0</v>
      </c>
      <c r="S26" s="102">
        <f>S25*41.5</f>
        <v>0</v>
      </c>
      <c r="T26" s="102">
        <f>T25*50</f>
        <v>50</v>
      </c>
      <c r="U26" s="36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89"/>
      <c r="P27" s="288"/>
      <c r="Q27" s="290"/>
      <c r="R27" s="352" t="s">
        <v>56</v>
      </c>
      <c r="S27" s="353"/>
      <c r="T27" s="353"/>
      <c r="U27" s="35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89"/>
      <c r="P28" s="288"/>
      <c r="Q28" s="290"/>
      <c r="R28" s="345"/>
      <c r="S28" s="346"/>
      <c r="T28" s="34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2"/>
      <c r="P29" s="333"/>
      <c r="Q29" s="334"/>
      <c r="R29" s="335"/>
      <c r="S29" s="336"/>
      <c r="T29" s="33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38" t="s">
        <v>48</v>
      </c>
      <c r="B30" s="339"/>
      <c r="C30" s="339"/>
      <c r="D30" s="339"/>
      <c r="E30" s="340"/>
      <c r="F30" s="339"/>
      <c r="G30" s="339"/>
      <c r="H30" s="264">
        <f t="shared" ref="H30:M30" si="3">SUM(H5:H29)</f>
        <v>0</v>
      </c>
      <c r="I30" s="105">
        <f>SUM(I5:I29)</f>
        <v>450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1"/>
      <c r="S30" s="341"/>
      <c r="T30" s="34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3" t="s">
        <v>16</v>
      </c>
      <c r="B31" s="344"/>
      <c r="C31" s="344"/>
      <c r="D31" s="344"/>
      <c r="E31" s="344"/>
      <c r="F31" s="344"/>
      <c r="G31" s="344"/>
      <c r="H31" s="265">
        <f t="shared" ref="H31:J31" si="4">H30+H62+H94</f>
        <v>0</v>
      </c>
      <c r="I31" s="103">
        <f t="shared" si="4"/>
        <v>450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0</v>
      </c>
      <c r="O31" s="104">
        <f>COUNT(I5:I29,I37:I61,I69:I93)</f>
        <v>3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0</v>
      </c>
      <c r="T31" s="328">
        <f>H31+I31+L31+M31</f>
        <v>450</v>
      </c>
      <c r="U31" s="32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48" t="s">
        <v>55</v>
      </c>
      <c r="B32" s="349"/>
      <c r="C32" s="107">
        <f>H31+I31+J31+K31</f>
        <v>450</v>
      </c>
      <c r="D32" s="196"/>
      <c r="E32" s="107"/>
      <c r="F32" s="350" t="s">
        <v>53</v>
      </c>
      <c r="G32" s="350"/>
      <c r="H32" s="109">
        <f>COUNT(B5:B29,B37:B61,B69:B93)</f>
        <v>4</v>
      </c>
      <c r="I32" s="351" t="s">
        <v>54</v>
      </c>
      <c r="J32" s="351"/>
      <c r="K32" s="108">
        <f>C32/H32</f>
        <v>112.5</v>
      </c>
      <c r="L32" s="260"/>
      <c r="M32" s="260"/>
      <c r="N32" s="260">
        <f>H31/C32</f>
        <v>0</v>
      </c>
      <c r="O32" s="260">
        <f>I31/C32</f>
        <v>1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450</v>
      </c>
      <c r="T32" s="330"/>
      <c r="U32" s="331"/>
      <c r="V32" s="55"/>
      <c r="W32" s="55"/>
      <c r="X32" s="56" t="s">
        <v>27</v>
      </c>
      <c r="Y32" s="56"/>
      <c r="Z32" s="54">
        <f>I31</f>
        <v>450</v>
      </c>
      <c r="AE32" s="37"/>
      <c r="AF32" s="37"/>
      <c r="AG32" s="37"/>
      <c r="AH32" s="37"/>
    </row>
    <row r="33" spans="1:34" ht="17.25" thickBot="1" x14ac:dyDescent="0.35">
      <c r="A33" s="282" t="s">
        <v>24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323"/>
      <c r="U33" s="324"/>
      <c r="X33" s="57" t="s">
        <v>29</v>
      </c>
      <c r="Y33" s="57"/>
      <c r="Z33" s="58">
        <f>SUM(Z31:Z32)</f>
        <v>-2295</v>
      </c>
      <c r="AE33" s="37"/>
      <c r="AF33" s="37"/>
      <c r="AG33" s="59"/>
      <c r="AH33" s="37"/>
    </row>
    <row r="34" spans="1:34" ht="17.25" thickBot="1" x14ac:dyDescent="0.35">
      <c r="A34" s="322" t="str">
        <f>A2</f>
        <v>01-03-2022</v>
      </c>
      <c r="B34" s="323"/>
      <c r="C34" s="323"/>
      <c r="D34" s="323"/>
      <c r="E34" s="323"/>
      <c r="F34" s="323"/>
      <c r="G34" s="324"/>
      <c r="H34" s="325" t="s">
        <v>49</v>
      </c>
      <c r="I34" s="326"/>
      <c r="J34" s="322" t="str">
        <f>J2</f>
        <v>RAIN</v>
      </c>
      <c r="K34" s="324"/>
      <c r="L34" s="326" t="s">
        <v>50</v>
      </c>
      <c r="M34" s="327"/>
      <c r="N34" s="325"/>
      <c r="O34" s="323" t="str">
        <f>O2</f>
        <v>JOHN</v>
      </c>
      <c r="P34" s="323"/>
      <c r="Q34" s="324"/>
      <c r="R34" s="326" t="s">
        <v>51</v>
      </c>
      <c r="S34" s="325"/>
      <c r="T34" s="314">
        <f>T2</f>
        <v>3</v>
      </c>
      <c r="U34" s="314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15" t="s">
        <v>8</v>
      </c>
      <c r="P36" s="315"/>
      <c r="Q36" s="31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89"/>
      <c r="P37" s="288"/>
      <c r="Q37" s="290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6"/>
      <c r="P38" s="317"/>
      <c r="Q38" s="318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89"/>
      <c r="P39" s="288"/>
      <c r="Q39" s="290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9"/>
      <c r="P40" s="320"/>
      <c r="Q40" s="321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9"/>
      <c r="P41" s="320"/>
      <c r="Q41" s="321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11"/>
      <c r="P42" s="312"/>
      <c r="Q42" s="313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89"/>
      <c r="P43" s="288"/>
      <c r="Q43" s="290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89"/>
      <c r="P44" s="288"/>
      <c r="Q44" s="290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89"/>
      <c r="P45" s="288"/>
      <c r="Q45" s="290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89"/>
      <c r="P46" s="288"/>
      <c r="Q46" s="290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89"/>
      <c r="P47" s="288"/>
      <c r="Q47" s="290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89"/>
      <c r="P48" s="288"/>
      <c r="Q48" s="290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89"/>
      <c r="P49" s="288"/>
      <c r="Q49" s="290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89"/>
      <c r="P50" s="288"/>
      <c r="Q50" s="290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89"/>
      <c r="P51" s="288"/>
      <c r="Q51" s="288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89"/>
      <c r="P52" s="288"/>
      <c r="Q52" s="288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0"/>
      <c r="P53" s="289"/>
      <c r="Q53" s="289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0"/>
      <c r="P54" s="289"/>
      <c r="Q54" s="289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0"/>
      <c r="P55" s="289"/>
      <c r="Q55" s="289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88"/>
      <c r="P56" s="288"/>
      <c r="Q56" s="288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89"/>
      <c r="P57" s="288"/>
      <c r="Q57" s="288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88"/>
      <c r="P58" s="288"/>
      <c r="Q58" s="288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88"/>
      <c r="P59" s="288"/>
      <c r="Q59" s="288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89"/>
      <c r="P60" s="288"/>
      <c r="Q60" s="290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291"/>
      <c r="P61" s="292"/>
      <c r="Q61" s="293"/>
      <c r="R61" s="81"/>
      <c r="S61" s="68"/>
      <c r="T61" s="68"/>
      <c r="U61" s="77"/>
    </row>
    <row r="62" spans="1:21" x14ac:dyDescent="0.3">
      <c r="A62" s="294" t="s">
        <v>48</v>
      </c>
      <c r="B62" s="295"/>
      <c r="C62" s="295"/>
      <c r="D62" s="295"/>
      <c r="E62" s="295"/>
      <c r="F62" s="295"/>
      <c r="G62" s="295"/>
      <c r="H62" s="295">
        <f t="shared" ref="H62:M62" si="8">SUM(H37:H61)</f>
        <v>0</v>
      </c>
      <c r="I62" s="301">
        <f t="shared" si="8"/>
        <v>0</v>
      </c>
      <c r="J62" s="301">
        <f>J61+J60+J59+J58+J57+J56+J55+J54+J53+J52+J51+J50+J49+J48+J47+J46+J45+J44+J43+J42+J41+J40+J39+J38+J37</f>
        <v>0</v>
      </c>
      <c r="K62" s="301">
        <f>K61+K60+K59+K58+K57+K56+K55+K54+K53+K52+K51+K50+K49+K48+K47+K46+K45+K44+K43+K42+K41+K40+K39+K38+K37</f>
        <v>0</v>
      </c>
      <c r="L62" s="304">
        <f t="shared" si="8"/>
        <v>0</v>
      </c>
      <c r="M62" s="307">
        <f t="shared" si="8"/>
        <v>0</v>
      </c>
      <c r="N62" s="276"/>
      <c r="O62" s="277"/>
      <c r="P62" s="277"/>
      <c r="Q62" s="278"/>
      <c r="R62" s="5"/>
      <c r="S62" s="6"/>
      <c r="T62" s="7"/>
      <c r="U62" s="8"/>
    </row>
    <row r="63" spans="1:21" ht="17.25" thickBot="1" x14ac:dyDescent="0.35">
      <c r="A63" s="297"/>
      <c r="B63" s="298"/>
      <c r="C63" s="298"/>
      <c r="D63" s="298"/>
      <c r="E63" s="298"/>
      <c r="F63" s="298"/>
      <c r="G63" s="298"/>
      <c r="H63" s="298"/>
      <c r="I63" s="302"/>
      <c r="J63" s="302"/>
      <c r="K63" s="302"/>
      <c r="L63" s="305"/>
      <c r="M63" s="308"/>
      <c r="N63" s="279"/>
      <c r="O63" s="280"/>
      <c r="P63" s="280"/>
      <c r="Q63" s="281"/>
      <c r="R63" s="1"/>
      <c r="S63" s="2"/>
      <c r="T63" s="3"/>
      <c r="U63" s="4"/>
    </row>
    <row r="64" spans="1:21" ht="17.25" thickBot="1" x14ac:dyDescent="0.35">
      <c r="A64" s="299"/>
      <c r="B64" s="300"/>
      <c r="C64" s="300"/>
      <c r="D64" s="300"/>
      <c r="E64" s="300"/>
      <c r="F64" s="300"/>
      <c r="G64" s="300"/>
      <c r="H64" s="300"/>
      <c r="I64" s="303"/>
      <c r="J64" s="303"/>
      <c r="K64" s="303"/>
      <c r="L64" s="306"/>
      <c r="M64" s="309"/>
      <c r="N64" s="282"/>
      <c r="O64" s="283"/>
      <c r="P64" s="283"/>
      <c r="Q64" s="284"/>
      <c r="R64" s="285" t="s">
        <v>17</v>
      </c>
      <c r="S64" s="286"/>
      <c r="T64" s="286"/>
      <c r="U64" s="287"/>
    </row>
    <row r="65" spans="1:21" ht="17.25" thickBot="1" x14ac:dyDescent="0.35">
      <c r="A65" s="322" t="s">
        <v>24</v>
      </c>
      <c r="B65" s="323"/>
      <c r="C65" s="323"/>
      <c r="D65" s="323"/>
      <c r="E65" s="323"/>
      <c r="F65" s="323"/>
      <c r="G65" s="323"/>
      <c r="H65" s="323"/>
      <c r="I65" s="323"/>
      <c r="J65" s="323"/>
      <c r="K65" s="323"/>
      <c r="L65" s="323"/>
      <c r="M65" s="323"/>
      <c r="N65" s="323"/>
      <c r="O65" s="323"/>
      <c r="P65" s="323"/>
      <c r="Q65" s="323"/>
      <c r="R65" s="323"/>
      <c r="S65" s="323"/>
      <c r="T65" s="323"/>
      <c r="U65" s="324"/>
    </row>
    <row r="66" spans="1:21" ht="17.25" thickBot="1" x14ac:dyDescent="0.35">
      <c r="A66" s="322" t="str">
        <f>A34</f>
        <v>01-03-2022</v>
      </c>
      <c r="B66" s="323"/>
      <c r="C66" s="323"/>
      <c r="D66" s="323"/>
      <c r="E66" s="323"/>
      <c r="F66" s="323"/>
      <c r="G66" s="324"/>
      <c r="H66" s="325" t="s">
        <v>49</v>
      </c>
      <c r="I66" s="326"/>
      <c r="J66" s="322" t="str">
        <f>J34</f>
        <v>RAIN</v>
      </c>
      <c r="K66" s="324"/>
      <c r="L66" s="326" t="s">
        <v>50</v>
      </c>
      <c r="M66" s="327"/>
      <c r="N66" s="325"/>
      <c r="O66" s="323" t="str">
        <f>O34</f>
        <v>JOHN</v>
      </c>
      <c r="P66" s="323"/>
      <c r="Q66" s="324"/>
      <c r="R66" s="326" t="s">
        <v>51</v>
      </c>
      <c r="S66" s="325"/>
      <c r="T66" s="314">
        <f>T34</f>
        <v>3</v>
      </c>
      <c r="U66" s="314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15" t="s">
        <v>8</v>
      </c>
      <c r="P68" s="315"/>
      <c r="Q68" s="31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89"/>
      <c r="P69" s="288"/>
      <c r="Q69" s="290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6"/>
      <c r="P70" s="317"/>
      <c r="Q70" s="318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89"/>
      <c r="P71" s="288"/>
      <c r="Q71" s="290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9"/>
      <c r="P72" s="320"/>
      <c r="Q72" s="321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9"/>
      <c r="P73" s="320"/>
      <c r="Q73" s="321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11"/>
      <c r="P74" s="312"/>
      <c r="Q74" s="313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89"/>
      <c r="P75" s="288"/>
      <c r="Q75" s="290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89"/>
      <c r="P76" s="288"/>
      <c r="Q76" s="290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89"/>
      <c r="P77" s="288"/>
      <c r="Q77" s="290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89"/>
      <c r="P78" s="288"/>
      <c r="Q78" s="290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89"/>
      <c r="P79" s="288"/>
      <c r="Q79" s="290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89"/>
      <c r="P80" s="288"/>
      <c r="Q80" s="290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89"/>
      <c r="P81" s="288"/>
      <c r="Q81" s="290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89"/>
      <c r="P82" s="288"/>
      <c r="Q82" s="290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89"/>
      <c r="P83" s="288"/>
      <c r="Q83" s="288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89"/>
      <c r="P84" s="288"/>
      <c r="Q84" s="288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0"/>
      <c r="P85" s="289"/>
      <c r="Q85" s="289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0"/>
      <c r="P86" s="289"/>
      <c r="Q86" s="289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0"/>
      <c r="P87" s="289"/>
      <c r="Q87" s="289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88"/>
      <c r="P88" s="288"/>
      <c r="Q88" s="288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89"/>
      <c r="P89" s="288"/>
      <c r="Q89" s="288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88"/>
      <c r="P90" s="288"/>
      <c r="Q90" s="288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88"/>
      <c r="P91" s="288"/>
      <c r="Q91" s="288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89"/>
      <c r="P92" s="288"/>
      <c r="Q92" s="290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291"/>
      <c r="P93" s="292"/>
      <c r="Q93" s="293"/>
      <c r="R93" s="81"/>
      <c r="S93" s="68"/>
      <c r="T93" s="68"/>
      <c r="U93" s="77"/>
    </row>
    <row r="94" spans="1:21" x14ac:dyDescent="0.3">
      <c r="A94" s="294" t="s">
        <v>48</v>
      </c>
      <c r="B94" s="295"/>
      <c r="C94" s="295"/>
      <c r="D94" s="295"/>
      <c r="E94" s="296"/>
      <c r="F94" s="295"/>
      <c r="G94" s="295"/>
      <c r="H94" s="295">
        <f t="shared" ref="H94:M94" si="12">SUM(H69:H93)</f>
        <v>0</v>
      </c>
      <c r="I94" s="301">
        <f t="shared" si="12"/>
        <v>0</v>
      </c>
      <c r="J94" s="301">
        <f>J93+J92+J91+J90+J89+J88+J87+J86+J85+J84+J83+J82+J81+J80+J79+J78+J77+J76+J75+J74+J73+J72+J71+J70+J69</f>
        <v>0</v>
      </c>
      <c r="K94" s="301">
        <f>K93+K92+K91+K90+K89+K88+K87+K86+K85+K84+K83+K82+K81+K80+K79+K78+K77+K76+K75+K74+K73+K72+K71+K70+K69</f>
        <v>0</v>
      </c>
      <c r="L94" s="304">
        <f t="shared" si="12"/>
        <v>0</v>
      </c>
      <c r="M94" s="307">
        <f t="shared" si="12"/>
        <v>0</v>
      </c>
      <c r="N94" s="276"/>
      <c r="O94" s="277"/>
      <c r="P94" s="277"/>
      <c r="Q94" s="278"/>
      <c r="R94" s="5"/>
      <c r="S94" s="6"/>
      <c r="T94" s="7"/>
      <c r="U94" s="8"/>
    </row>
    <row r="95" spans="1:21" ht="17.25" thickBot="1" x14ac:dyDescent="0.35">
      <c r="A95" s="297"/>
      <c r="B95" s="298"/>
      <c r="C95" s="298"/>
      <c r="D95" s="298"/>
      <c r="E95" s="298"/>
      <c r="F95" s="298"/>
      <c r="G95" s="298"/>
      <c r="H95" s="298"/>
      <c r="I95" s="302"/>
      <c r="J95" s="302"/>
      <c r="K95" s="302"/>
      <c r="L95" s="305"/>
      <c r="M95" s="308"/>
      <c r="N95" s="279"/>
      <c r="O95" s="280"/>
      <c r="P95" s="280"/>
      <c r="Q95" s="281"/>
      <c r="R95" s="1"/>
      <c r="S95" s="2"/>
      <c r="T95" s="3"/>
      <c r="U95" s="4"/>
    </row>
    <row r="96" spans="1:21" ht="17.25" thickBot="1" x14ac:dyDescent="0.35">
      <c r="A96" s="299"/>
      <c r="B96" s="300"/>
      <c r="C96" s="300"/>
      <c r="D96" s="300"/>
      <c r="E96" s="300"/>
      <c r="F96" s="300"/>
      <c r="G96" s="300"/>
      <c r="H96" s="300"/>
      <c r="I96" s="303"/>
      <c r="J96" s="303"/>
      <c r="K96" s="303"/>
      <c r="L96" s="306"/>
      <c r="M96" s="309"/>
      <c r="N96" s="282"/>
      <c r="O96" s="283"/>
      <c r="P96" s="283"/>
      <c r="Q96" s="284"/>
      <c r="R96" s="285" t="s">
        <v>52</v>
      </c>
      <c r="S96" s="286"/>
      <c r="T96" s="286"/>
      <c r="U96" s="287"/>
    </row>
  </sheetData>
  <mergeCells count="131">
    <mergeCell ref="X23:Z23"/>
    <mergeCell ref="O24:Q24"/>
    <mergeCell ref="O25:Q25"/>
    <mergeCell ref="U25:U26"/>
    <mergeCell ref="O26:Q26"/>
    <mergeCell ref="O27:Q27"/>
    <mergeCell ref="R27:U27"/>
    <mergeCell ref="A30:G30"/>
    <mergeCell ref="R30:T30"/>
    <mergeCell ref="R28:T28"/>
    <mergeCell ref="R29:T29"/>
    <mergeCell ref="O39:Q39"/>
    <mergeCell ref="O40:Q40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A32:B32"/>
    <mergeCell ref="O14:Q14"/>
    <mergeCell ref="O15:Q15"/>
    <mergeCell ref="O16:Q16"/>
    <mergeCell ref="O17:Q17"/>
    <mergeCell ref="O18:Q18"/>
    <mergeCell ref="O19:Q19"/>
    <mergeCell ref="O36:Q36"/>
    <mergeCell ref="O37:Q37"/>
    <mergeCell ref="O38:Q38"/>
    <mergeCell ref="O28:Q28"/>
    <mergeCell ref="O20:Q20"/>
    <mergeCell ref="O21:Q21"/>
    <mergeCell ref="O22:Q22"/>
    <mergeCell ref="O29:Q29"/>
    <mergeCell ref="O68:Q68"/>
    <mergeCell ref="H94:H96"/>
    <mergeCell ref="I94:I96"/>
    <mergeCell ref="J94:J96"/>
    <mergeCell ref="K94:K96"/>
    <mergeCell ref="O89:Q89"/>
    <mergeCell ref="O90:Q90"/>
    <mergeCell ref="O91:Q91"/>
    <mergeCell ref="O92:Q92"/>
    <mergeCell ref="O93:Q93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H62:H64"/>
    <mergeCell ref="I62:I64"/>
    <mergeCell ref="J62:J64"/>
    <mergeCell ref="K62:K64"/>
    <mergeCell ref="A94:G96"/>
    <mergeCell ref="M94:M96"/>
    <mergeCell ref="N94:Q96"/>
    <mergeCell ref="O71:Q71"/>
    <mergeCell ref="O72:Q72"/>
    <mergeCell ref="O73:Q73"/>
    <mergeCell ref="O74:Q74"/>
    <mergeCell ref="O75:Q75"/>
    <mergeCell ref="O76:Q76"/>
    <mergeCell ref="O77:Q77"/>
    <mergeCell ref="O78:Q78"/>
    <mergeCell ref="O79:Q79"/>
    <mergeCell ref="O87:Q87"/>
    <mergeCell ref="O88:Q88"/>
    <mergeCell ref="L94:L96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41:Q41"/>
    <mergeCell ref="O42:Q42"/>
    <mergeCell ref="O43:Q43"/>
    <mergeCell ref="O44:Q44"/>
    <mergeCell ref="O45:Q45"/>
    <mergeCell ref="O54:Q54"/>
    <mergeCell ref="L62:L64"/>
    <mergeCell ref="O55:Q55"/>
    <mergeCell ref="O56:Q56"/>
    <mergeCell ref="O57:Q57"/>
    <mergeCell ref="O58:Q58"/>
    <mergeCell ref="O59:Q59"/>
    <mergeCell ref="O60:Q60"/>
    <mergeCell ref="O61:Q61"/>
    <mergeCell ref="O52:Q52"/>
    <mergeCell ref="O53:Q53"/>
    <mergeCell ref="O46:Q46"/>
    <mergeCell ref="O47:Q47"/>
    <mergeCell ref="O48:Q48"/>
    <mergeCell ref="O49:Q49"/>
    <mergeCell ref="O50:Q50"/>
    <mergeCell ref="O51:Q51"/>
    <mergeCell ref="R96:U96"/>
    <mergeCell ref="O69:Q69"/>
    <mergeCell ref="O70:Q70"/>
    <mergeCell ref="O80:Q80"/>
    <mergeCell ref="O81:Q81"/>
    <mergeCell ref="O82:Q82"/>
    <mergeCell ref="O83:Q83"/>
    <mergeCell ref="O84:Q84"/>
    <mergeCell ref="O85:Q85"/>
    <mergeCell ref="O86:Q86"/>
  </mergeCells>
  <phoneticPr fontId="4" type="noConversion"/>
  <dataValidations count="1">
    <dataValidation type="list" allowBlank="1" showInputMessage="1" showErrorMessage="1" sqref="X7 W5 E69:E93 E37:E61 E5:E29" xr:uid="{7DE241FF-8063-4C9B-AE4D-985BF0337AF7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FA1311-9FF9-4E9F-B6D4-CC63B115B9B8}">
  <sheetPr>
    <pageSetUpPr fitToPage="1"/>
  </sheetPr>
  <dimension ref="A1:AR96"/>
  <sheetViews>
    <sheetView zoomScaleNormal="100" zoomScaleSheetLayoutView="77" workbookViewId="0">
      <selection activeCell="F17" sqref="F17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22" t="s">
        <v>77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4"/>
    </row>
    <row r="2" spans="1:44" ht="17.25" thickBot="1" x14ac:dyDescent="0.35">
      <c r="A2" s="322" t="s">
        <v>99</v>
      </c>
      <c r="B2" s="323"/>
      <c r="C2" s="323"/>
      <c r="D2" s="323"/>
      <c r="E2" s="323"/>
      <c r="F2" s="323"/>
      <c r="G2" s="324"/>
      <c r="H2" s="325" t="s">
        <v>49</v>
      </c>
      <c r="I2" s="326"/>
      <c r="J2" s="322" t="s">
        <v>158</v>
      </c>
      <c r="K2" s="324"/>
      <c r="L2" s="326" t="s">
        <v>96</v>
      </c>
      <c r="M2" s="327"/>
      <c r="N2" s="325"/>
      <c r="O2" s="323" t="s">
        <v>140</v>
      </c>
      <c r="P2" s="323"/>
      <c r="Q2" s="324"/>
      <c r="R2" s="326" t="s">
        <v>51</v>
      </c>
      <c r="S2" s="325"/>
      <c r="T2" s="314">
        <v>3</v>
      </c>
      <c r="U2" s="314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15" t="s">
        <v>8</v>
      </c>
      <c r="P4" s="315"/>
      <c r="Q4" s="31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4953</v>
      </c>
      <c r="C5" s="68" t="s">
        <v>159</v>
      </c>
      <c r="D5" s="200" t="s">
        <v>160</v>
      </c>
      <c r="E5" s="181" t="s">
        <v>106</v>
      </c>
      <c r="F5" s="170">
        <v>954</v>
      </c>
      <c r="G5" s="118" t="s">
        <v>111</v>
      </c>
      <c r="H5" s="91"/>
      <c r="I5" s="124">
        <v>120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/>
      <c r="O5" s="361" t="s">
        <v>140</v>
      </c>
      <c r="P5" s="362"/>
      <c r="Q5" s="363"/>
      <c r="R5" s="33" t="s">
        <v>140</v>
      </c>
      <c r="S5" s="31">
        <v>0.375</v>
      </c>
      <c r="T5" s="32">
        <v>0.70833333333333337</v>
      </c>
      <c r="U5" s="92">
        <f t="shared" ref="U5:U15" si="0">(T5-S5)*24</f>
        <v>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4954</v>
      </c>
      <c r="C6" s="67" t="s">
        <v>161</v>
      </c>
      <c r="D6" s="200" t="s">
        <v>162</v>
      </c>
      <c r="E6" s="181" t="s">
        <v>92</v>
      </c>
      <c r="F6" s="171">
        <v>1030</v>
      </c>
      <c r="G6" s="118" t="s">
        <v>136</v>
      </c>
      <c r="H6" s="91">
        <v>70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/>
      <c r="O6" s="361" t="s">
        <v>140</v>
      </c>
      <c r="P6" s="362"/>
      <c r="Q6" s="363"/>
      <c r="R6" s="132" t="s">
        <v>122</v>
      </c>
      <c r="S6" s="31">
        <v>0.4375</v>
      </c>
      <c r="T6" s="32">
        <v>0.66666666666666663</v>
      </c>
      <c r="U6" s="92">
        <f t="shared" si="0"/>
        <v>5.4999999999999991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4955</v>
      </c>
      <c r="C7" s="67" t="s">
        <v>163</v>
      </c>
      <c r="D7" s="200" t="s">
        <v>164</v>
      </c>
      <c r="E7" s="181" t="s">
        <v>92</v>
      </c>
      <c r="F7" s="171">
        <v>1030</v>
      </c>
      <c r="G7" s="118" t="s">
        <v>136</v>
      </c>
      <c r="H7" s="91"/>
      <c r="I7" s="124">
        <v>95</v>
      </c>
      <c r="J7" s="130" t="str">
        <f t="shared" si="1"/>
        <v>0</v>
      </c>
      <c r="K7" s="130" t="str">
        <f t="shared" si="2"/>
        <v>0</v>
      </c>
      <c r="L7" s="131"/>
      <c r="M7" s="131"/>
      <c r="N7" s="134"/>
      <c r="O7" s="361" t="s">
        <v>140</v>
      </c>
      <c r="P7" s="362"/>
      <c r="Q7" s="363"/>
      <c r="R7" s="26" t="s">
        <v>124</v>
      </c>
      <c r="S7" s="31">
        <v>0.45833333333333331</v>
      </c>
      <c r="T7" s="32">
        <v>0.625</v>
      </c>
      <c r="U7" s="92">
        <f t="shared" si="0"/>
        <v>4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/>
      <c r="C8" s="27"/>
      <c r="D8" s="200"/>
      <c r="E8" s="181"/>
      <c r="F8" s="171"/>
      <c r="G8" s="118"/>
      <c r="H8" s="91"/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4"/>
      <c r="O8" s="319"/>
      <c r="P8" s="320"/>
      <c r="Q8" s="321"/>
      <c r="R8" s="26"/>
      <c r="S8" s="31"/>
      <c r="T8" s="32"/>
      <c r="U8" s="92">
        <f t="shared" si="0"/>
        <v>0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/>
      <c r="C9" s="63"/>
      <c r="D9" s="201"/>
      <c r="E9" s="181"/>
      <c r="F9" s="172"/>
      <c r="G9" s="119"/>
      <c r="H9" s="91"/>
      <c r="I9" s="91"/>
      <c r="J9" s="130" t="str">
        <f t="shared" si="1"/>
        <v>0</v>
      </c>
      <c r="K9" s="130" t="str">
        <f t="shared" si="2"/>
        <v>0</v>
      </c>
      <c r="L9" s="131"/>
      <c r="M9" s="131"/>
      <c r="N9" s="134"/>
      <c r="O9" s="319"/>
      <c r="P9" s="320"/>
      <c r="Q9" s="321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/>
      <c r="C10" s="28"/>
      <c r="D10" s="202"/>
      <c r="E10" s="181"/>
      <c r="F10" s="173"/>
      <c r="G10" s="120"/>
      <c r="H10" s="123"/>
      <c r="I10" s="125"/>
      <c r="J10" s="130" t="str">
        <f t="shared" si="1"/>
        <v>0</v>
      </c>
      <c r="K10" s="130" t="str">
        <f t="shared" si="2"/>
        <v>0</v>
      </c>
      <c r="L10" s="131"/>
      <c r="M10" s="131"/>
      <c r="N10" s="134"/>
      <c r="O10" s="311"/>
      <c r="P10" s="312"/>
      <c r="Q10" s="313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/>
      <c r="C11" s="18"/>
      <c r="D11" s="203"/>
      <c r="E11" s="181"/>
      <c r="F11" s="66"/>
      <c r="G11" s="121"/>
      <c r="H11" s="123"/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/>
      <c r="O11" s="289"/>
      <c r="P11" s="288"/>
      <c r="Q11" s="290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289"/>
      <c r="P12" s="288"/>
      <c r="Q12" s="29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289"/>
      <c r="P13" s="288"/>
      <c r="Q13" s="29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289"/>
      <c r="P14" s="288"/>
      <c r="Q14" s="29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289"/>
      <c r="P15" s="288"/>
      <c r="Q15" s="29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289"/>
      <c r="P16" s="288"/>
      <c r="Q16" s="290"/>
      <c r="R16" s="82">
        <f>H32/U16</f>
        <v>0.17142857142857143</v>
      </c>
      <c r="S16" s="83">
        <f>H32/(U16-U5)</f>
        <v>0.31578947368421051</v>
      </c>
      <c r="T16" s="83">
        <f>C32/U16</f>
        <v>16.285714285714285</v>
      </c>
      <c r="U16" s="83">
        <f>SUM(U5:U15)</f>
        <v>17.5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289"/>
      <c r="P17" s="288"/>
      <c r="Q17" s="29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289"/>
      <c r="P18" s="288"/>
      <c r="Q18" s="29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289"/>
      <c r="P19" s="288"/>
      <c r="Q19" s="288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57"/>
      <c r="P20" s="358"/>
      <c r="Q20" s="35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89"/>
      <c r="P21" s="288"/>
      <c r="Q21" s="28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89"/>
      <c r="P22" s="288"/>
      <c r="Q22" s="29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55"/>
      <c r="Y23" s="356"/>
      <c r="Z23" s="356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89"/>
      <c r="P24" s="288"/>
      <c r="Q24" s="29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89"/>
      <c r="P25" s="288"/>
      <c r="Q25" s="29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59">
        <f>((C32+(R26+S26+T26)*0.5))</f>
        <v>285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89"/>
      <c r="P26" s="288"/>
      <c r="Q26" s="290"/>
      <c r="R26" s="112">
        <f>R25*37.5</f>
        <v>0</v>
      </c>
      <c r="S26" s="102">
        <f>S25*41.5</f>
        <v>0</v>
      </c>
      <c r="T26" s="102">
        <f>T25*50</f>
        <v>0</v>
      </c>
      <c r="U26" s="36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89"/>
      <c r="P27" s="288"/>
      <c r="Q27" s="290"/>
      <c r="R27" s="352" t="s">
        <v>56</v>
      </c>
      <c r="S27" s="353"/>
      <c r="T27" s="353"/>
      <c r="U27" s="35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89"/>
      <c r="P28" s="288"/>
      <c r="Q28" s="290"/>
      <c r="R28" s="345"/>
      <c r="S28" s="346"/>
      <c r="T28" s="34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2"/>
      <c r="P29" s="333"/>
      <c r="Q29" s="334"/>
      <c r="R29" s="335"/>
      <c r="S29" s="336"/>
      <c r="T29" s="33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38" t="s">
        <v>48</v>
      </c>
      <c r="B30" s="339"/>
      <c r="C30" s="339"/>
      <c r="D30" s="339"/>
      <c r="E30" s="340"/>
      <c r="F30" s="339"/>
      <c r="G30" s="339"/>
      <c r="H30" s="264">
        <f t="shared" ref="H30:M30" si="3">SUM(H5:H29)</f>
        <v>70</v>
      </c>
      <c r="I30" s="105">
        <f>SUM(I5:I29)</f>
        <v>215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1"/>
      <c r="S30" s="341"/>
      <c r="T30" s="34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3" t="s">
        <v>16</v>
      </c>
      <c r="B31" s="344"/>
      <c r="C31" s="344"/>
      <c r="D31" s="344"/>
      <c r="E31" s="344"/>
      <c r="F31" s="344"/>
      <c r="G31" s="344"/>
      <c r="H31" s="265">
        <f t="shared" ref="H31:J31" si="4">H30+H62+H94</f>
        <v>70</v>
      </c>
      <c r="I31" s="103">
        <f t="shared" si="4"/>
        <v>215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1</v>
      </c>
      <c r="O31" s="104">
        <f>COUNT(I5:I29,I37:I61,I69:I93)</f>
        <v>2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70</v>
      </c>
      <c r="T31" s="328">
        <f>H31+I31+L31+M31</f>
        <v>285</v>
      </c>
      <c r="U31" s="32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48" t="s">
        <v>55</v>
      </c>
      <c r="B32" s="349"/>
      <c r="C32" s="107">
        <f>H31+I31+J31+K31</f>
        <v>285</v>
      </c>
      <c r="D32" s="196"/>
      <c r="E32" s="107"/>
      <c r="F32" s="350" t="s">
        <v>53</v>
      </c>
      <c r="G32" s="350"/>
      <c r="H32" s="109">
        <f>COUNT(B5:B29,B37:B61,B69:B93)</f>
        <v>3</v>
      </c>
      <c r="I32" s="351" t="s">
        <v>54</v>
      </c>
      <c r="J32" s="351"/>
      <c r="K32" s="108">
        <f>C32/H32</f>
        <v>95</v>
      </c>
      <c r="L32" s="260"/>
      <c r="M32" s="260"/>
      <c r="N32" s="260">
        <f>H31/C32</f>
        <v>0.24561403508771928</v>
      </c>
      <c r="O32" s="260">
        <f>I31/C32</f>
        <v>0.75438596491228072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215</v>
      </c>
      <c r="T32" s="330"/>
      <c r="U32" s="331"/>
      <c r="V32" s="55"/>
      <c r="W32" s="55"/>
      <c r="X32" s="56" t="s">
        <v>27</v>
      </c>
      <c r="Y32" s="56"/>
      <c r="Z32" s="54">
        <f>I31</f>
        <v>215</v>
      </c>
      <c r="AE32" s="37"/>
      <c r="AF32" s="37"/>
      <c r="AG32" s="37"/>
      <c r="AH32" s="37"/>
    </row>
    <row r="33" spans="1:34" ht="17.25" thickBot="1" x14ac:dyDescent="0.35">
      <c r="A33" s="282" t="s">
        <v>24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323"/>
      <c r="U33" s="324"/>
      <c r="X33" s="57" t="s">
        <v>29</v>
      </c>
      <c r="Y33" s="57"/>
      <c r="Z33" s="58">
        <f>SUM(Z31:Z32)</f>
        <v>-2530</v>
      </c>
      <c r="AE33" s="37"/>
      <c r="AF33" s="37"/>
      <c r="AG33" s="59"/>
      <c r="AH33" s="37"/>
    </row>
    <row r="34" spans="1:34" ht="17.25" thickBot="1" x14ac:dyDescent="0.35">
      <c r="A34" s="322" t="str">
        <f>A2</f>
        <v>02-03-2022</v>
      </c>
      <c r="B34" s="323"/>
      <c r="C34" s="323"/>
      <c r="D34" s="323"/>
      <c r="E34" s="323"/>
      <c r="F34" s="323"/>
      <c r="G34" s="324"/>
      <c r="H34" s="325" t="s">
        <v>49</v>
      </c>
      <c r="I34" s="326"/>
      <c r="J34" s="322" t="str">
        <f>J2</f>
        <v>RAIN</v>
      </c>
      <c r="K34" s="324"/>
      <c r="L34" s="326" t="s">
        <v>50</v>
      </c>
      <c r="M34" s="327"/>
      <c r="N34" s="325"/>
      <c r="O34" s="323" t="str">
        <f>O2</f>
        <v>JOHN</v>
      </c>
      <c r="P34" s="323"/>
      <c r="Q34" s="324"/>
      <c r="R34" s="326" t="s">
        <v>51</v>
      </c>
      <c r="S34" s="325"/>
      <c r="T34" s="314">
        <f>T2</f>
        <v>3</v>
      </c>
      <c r="U34" s="314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15" t="s">
        <v>8</v>
      </c>
      <c r="P36" s="315"/>
      <c r="Q36" s="31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89"/>
      <c r="P37" s="288"/>
      <c r="Q37" s="290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6"/>
      <c r="P38" s="317"/>
      <c r="Q38" s="318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89"/>
      <c r="P39" s="288"/>
      <c r="Q39" s="290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9"/>
      <c r="P40" s="320"/>
      <c r="Q40" s="321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9"/>
      <c r="P41" s="320"/>
      <c r="Q41" s="321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11"/>
      <c r="P42" s="312"/>
      <c r="Q42" s="313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89"/>
      <c r="P43" s="288"/>
      <c r="Q43" s="290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89"/>
      <c r="P44" s="288"/>
      <c r="Q44" s="290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89"/>
      <c r="P45" s="288"/>
      <c r="Q45" s="290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89"/>
      <c r="P46" s="288"/>
      <c r="Q46" s="290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89"/>
      <c r="P47" s="288"/>
      <c r="Q47" s="290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89"/>
      <c r="P48" s="288"/>
      <c r="Q48" s="290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89"/>
      <c r="P49" s="288"/>
      <c r="Q49" s="290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89"/>
      <c r="P50" s="288"/>
      <c r="Q50" s="290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89"/>
      <c r="P51" s="288"/>
      <c r="Q51" s="288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89"/>
      <c r="P52" s="288"/>
      <c r="Q52" s="288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0"/>
      <c r="P53" s="289"/>
      <c r="Q53" s="289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0"/>
      <c r="P54" s="289"/>
      <c r="Q54" s="289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0"/>
      <c r="P55" s="289"/>
      <c r="Q55" s="289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88"/>
      <c r="P56" s="288"/>
      <c r="Q56" s="288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89"/>
      <c r="P57" s="288"/>
      <c r="Q57" s="288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88"/>
      <c r="P58" s="288"/>
      <c r="Q58" s="288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88"/>
      <c r="P59" s="288"/>
      <c r="Q59" s="288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89"/>
      <c r="P60" s="288"/>
      <c r="Q60" s="290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291"/>
      <c r="P61" s="292"/>
      <c r="Q61" s="293"/>
      <c r="R61" s="81"/>
      <c r="S61" s="68"/>
      <c r="T61" s="68"/>
      <c r="U61" s="77"/>
    </row>
    <row r="62" spans="1:21" x14ac:dyDescent="0.3">
      <c r="A62" s="294" t="s">
        <v>48</v>
      </c>
      <c r="B62" s="295"/>
      <c r="C62" s="295"/>
      <c r="D62" s="295"/>
      <c r="E62" s="295"/>
      <c r="F62" s="295"/>
      <c r="G62" s="295"/>
      <c r="H62" s="295">
        <f t="shared" ref="H62:M62" si="8">SUM(H37:H61)</f>
        <v>0</v>
      </c>
      <c r="I62" s="301">
        <f t="shared" si="8"/>
        <v>0</v>
      </c>
      <c r="J62" s="301">
        <f>J61+J60+J59+J58+J57+J56+J55+J54+J53+J52+J51+J50+J49+J48+J47+J46+J45+J44+J43+J42+J41+J40+J39+J38+J37</f>
        <v>0</v>
      </c>
      <c r="K62" s="301">
        <f>K61+K60+K59+K58+K57+K56+K55+K54+K53+K52+K51+K50+K49+K48+K47+K46+K45+K44+K43+K42+K41+K40+K39+K38+K37</f>
        <v>0</v>
      </c>
      <c r="L62" s="304">
        <f t="shared" si="8"/>
        <v>0</v>
      </c>
      <c r="M62" s="307">
        <f t="shared" si="8"/>
        <v>0</v>
      </c>
      <c r="N62" s="276"/>
      <c r="O62" s="277"/>
      <c r="P62" s="277"/>
      <c r="Q62" s="278"/>
      <c r="R62" s="5"/>
      <c r="S62" s="6"/>
      <c r="T62" s="7"/>
      <c r="U62" s="8"/>
    </row>
    <row r="63" spans="1:21" ht="17.25" thickBot="1" x14ac:dyDescent="0.35">
      <c r="A63" s="297"/>
      <c r="B63" s="298"/>
      <c r="C63" s="298"/>
      <c r="D63" s="298"/>
      <c r="E63" s="298"/>
      <c r="F63" s="298"/>
      <c r="G63" s="298"/>
      <c r="H63" s="298"/>
      <c r="I63" s="302"/>
      <c r="J63" s="302"/>
      <c r="K63" s="302"/>
      <c r="L63" s="305"/>
      <c r="M63" s="308"/>
      <c r="N63" s="279"/>
      <c r="O63" s="280"/>
      <c r="P63" s="280"/>
      <c r="Q63" s="281"/>
      <c r="R63" s="1"/>
      <c r="S63" s="2"/>
      <c r="T63" s="3"/>
      <c r="U63" s="4"/>
    </row>
    <row r="64" spans="1:21" ht="17.25" thickBot="1" x14ac:dyDescent="0.35">
      <c r="A64" s="299"/>
      <c r="B64" s="300"/>
      <c r="C64" s="300"/>
      <c r="D64" s="300"/>
      <c r="E64" s="300"/>
      <c r="F64" s="300"/>
      <c r="G64" s="300"/>
      <c r="H64" s="300"/>
      <c r="I64" s="303"/>
      <c r="J64" s="303"/>
      <c r="K64" s="303"/>
      <c r="L64" s="306"/>
      <c r="M64" s="309"/>
      <c r="N64" s="282"/>
      <c r="O64" s="283"/>
      <c r="P64" s="283"/>
      <c r="Q64" s="284"/>
      <c r="R64" s="285" t="s">
        <v>17</v>
      </c>
      <c r="S64" s="286"/>
      <c r="T64" s="286"/>
      <c r="U64" s="287"/>
    </row>
    <row r="65" spans="1:21" ht="17.25" thickBot="1" x14ac:dyDescent="0.35">
      <c r="A65" s="322" t="s">
        <v>24</v>
      </c>
      <c r="B65" s="323"/>
      <c r="C65" s="323"/>
      <c r="D65" s="323"/>
      <c r="E65" s="323"/>
      <c r="F65" s="323"/>
      <c r="G65" s="323"/>
      <c r="H65" s="323"/>
      <c r="I65" s="323"/>
      <c r="J65" s="323"/>
      <c r="K65" s="323"/>
      <c r="L65" s="323"/>
      <c r="M65" s="323"/>
      <c r="N65" s="323"/>
      <c r="O65" s="323"/>
      <c r="P65" s="323"/>
      <c r="Q65" s="323"/>
      <c r="R65" s="323"/>
      <c r="S65" s="323"/>
      <c r="T65" s="323"/>
      <c r="U65" s="324"/>
    </row>
    <row r="66" spans="1:21" ht="17.25" thickBot="1" x14ac:dyDescent="0.35">
      <c r="A66" s="322" t="str">
        <f>A34</f>
        <v>02-03-2022</v>
      </c>
      <c r="B66" s="323"/>
      <c r="C66" s="323"/>
      <c r="D66" s="323"/>
      <c r="E66" s="323"/>
      <c r="F66" s="323"/>
      <c r="G66" s="324"/>
      <c r="H66" s="325" t="s">
        <v>49</v>
      </c>
      <c r="I66" s="326"/>
      <c r="J66" s="322" t="str">
        <f>J34</f>
        <v>RAIN</v>
      </c>
      <c r="K66" s="324"/>
      <c r="L66" s="326" t="s">
        <v>50</v>
      </c>
      <c r="M66" s="327"/>
      <c r="N66" s="325"/>
      <c r="O66" s="323" t="str">
        <f>O34</f>
        <v>JOHN</v>
      </c>
      <c r="P66" s="323"/>
      <c r="Q66" s="324"/>
      <c r="R66" s="326" t="s">
        <v>51</v>
      </c>
      <c r="S66" s="325"/>
      <c r="T66" s="314">
        <f>T34</f>
        <v>3</v>
      </c>
      <c r="U66" s="314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15" t="s">
        <v>8</v>
      </c>
      <c r="P68" s="315"/>
      <c r="Q68" s="31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89"/>
      <c r="P69" s="288"/>
      <c r="Q69" s="290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6"/>
      <c r="P70" s="317"/>
      <c r="Q70" s="318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89"/>
      <c r="P71" s="288"/>
      <c r="Q71" s="290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9"/>
      <c r="P72" s="320"/>
      <c r="Q72" s="321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9"/>
      <c r="P73" s="320"/>
      <c r="Q73" s="321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11"/>
      <c r="P74" s="312"/>
      <c r="Q74" s="313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89"/>
      <c r="P75" s="288"/>
      <c r="Q75" s="290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89"/>
      <c r="P76" s="288"/>
      <c r="Q76" s="290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89"/>
      <c r="P77" s="288"/>
      <c r="Q77" s="290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89"/>
      <c r="P78" s="288"/>
      <c r="Q78" s="290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89"/>
      <c r="P79" s="288"/>
      <c r="Q79" s="290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89"/>
      <c r="P80" s="288"/>
      <c r="Q80" s="290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89"/>
      <c r="P81" s="288"/>
      <c r="Q81" s="290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89"/>
      <c r="P82" s="288"/>
      <c r="Q82" s="290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89"/>
      <c r="P83" s="288"/>
      <c r="Q83" s="288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89"/>
      <c r="P84" s="288"/>
      <c r="Q84" s="288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0"/>
      <c r="P85" s="289"/>
      <c r="Q85" s="289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0"/>
      <c r="P86" s="289"/>
      <c r="Q86" s="289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0"/>
      <c r="P87" s="289"/>
      <c r="Q87" s="289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88"/>
      <c r="P88" s="288"/>
      <c r="Q88" s="288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89"/>
      <c r="P89" s="288"/>
      <c r="Q89" s="288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88"/>
      <c r="P90" s="288"/>
      <c r="Q90" s="288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88"/>
      <c r="P91" s="288"/>
      <c r="Q91" s="288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89"/>
      <c r="P92" s="288"/>
      <c r="Q92" s="290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291"/>
      <c r="P93" s="292"/>
      <c r="Q93" s="293"/>
      <c r="R93" s="81"/>
      <c r="S93" s="68"/>
      <c r="T93" s="68"/>
      <c r="U93" s="77"/>
    </row>
    <row r="94" spans="1:21" x14ac:dyDescent="0.3">
      <c r="A94" s="294" t="s">
        <v>48</v>
      </c>
      <c r="B94" s="295"/>
      <c r="C94" s="295"/>
      <c r="D94" s="295"/>
      <c r="E94" s="296"/>
      <c r="F94" s="295"/>
      <c r="G94" s="295"/>
      <c r="H94" s="295">
        <f t="shared" ref="H94:M94" si="12">SUM(H69:H93)</f>
        <v>0</v>
      </c>
      <c r="I94" s="301">
        <f t="shared" si="12"/>
        <v>0</v>
      </c>
      <c r="J94" s="301">
        <f>J93+J92+J91+J90+J89+J88+J87+J86+J85+J84+J83+J82+J81+J80+J79+J78+J77+J76+J75+J74+J73+J72+J71+J70+J69</f>
        <v>0</v>
      </c>
      <c r="K94" s="301">
        <f>K93+K92+K91+K90+K89+K88+K87+K86+K85+K84+K83+K82+K81+K80+K79+K78+K77+K76+K75+K74+K73+K72+K71+K70+K69</f>
        <v>0</v>
      </c>
      <c r="L94" s="304">
        <f t="shared" si="12"/>
        <v>0</v>
      </c>
      <c r="M94" s="307">
        <f t="shared" si="12"/>
        <v>0</v>
      </c>
      <c r="N94" s="276"/>
      <c r="O94" s="277"/>
      <c r="P94" s="277"/>
      <c r="Q94" s="278"/>
      <c r="R94" s="5"/>
      <c r="S94" s="6"/>
      <c r="T94" s="7"/>
      <c r="U94" s="8"/>
    </row>
    <row r="95" spans="1:21" ht="17.25" thickBot="1" x14ac:dyDescent="0.35">
      <c r="A95" s="297"/>
      <c r="B95" s="298"/>
      <c r="C95" s="298"/>
      <c r="D95" s="298"/>
      <c r="E95" s="298"/>
      <c r="F95" s="298"/>
      <c r="G95" s="298"/>
      <c r="H95" s="298"/>
      <c r="I95" s="302"/>
      <c r="J95" s="302"/>
      <c r="K95" s="302"/>
      <c r="L95" s="305"/>
      <c r="M95" s="308"/>
      <c r="N95" s="279"/>
      <c r="O95" s="280"/>
      <c r="P95" s="280"/>
      <c r="Q95" s="281"/>
      <c r="R95" s="1"/>
      <c r="S95" s="2"/>
      <c r="T95" s="3"/>
      <c r="U95" s="4"/>
    </row>
    <row r="96" spans="1:21" ht="17.25" thickBot="1" x14ac:dyDescent="0.35">
      <c r="A96" s="299"/>
      <c r="B96" s="300"/>
      <c r="C96" s="300"/>
      <c r="D96" s="300"/>
      <c r="E96" s="300"/>
      <c r="F96" s="300"/>
      <c r="G96" s="300"/>
      <c r="H96" s="300"/>
      <c r="I96" s="303"/>
      <c r="J96" s="303"/>
      <c r="K96" s="303"/>
      <c r="L96" s="306"/>
      <c r="M96" s="309"/>
      <c r="N96" s="282"/>
      <c r="O96" s="283"/>
      <c r="P96" s="283"/>
      <c r="Q96" s="284"/>
      <c r="R96" s="285" t="s">
        <v>52</v>
      </c>
      <c r="S96" s="286"/>
      <c r="T96" s="286"/>
      <c r="U96" s="287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count="1">
    <dataValidation type="list" allowBlank="1" showInputMessage="1" showErrorMessage="1" sqref="X7 W5 E69:E93 E37:E61 E5:E29" xr:uid="{610315D9-B37B-4F30-B898-4F0F851EEADE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BECD3-9F3C-499C-9C3E-8DC2348AFB43}">
  <sheetPr>
    <pageSetUpPr fitToPage="1"/>
  </sheetPr>
  <dimension ref="A1:AR96"/>
  <sheetViews>
    <sheetView zoomScaleNormal="100" zoomScaleSheetLayoutView="77" workbookViewId="0">
      <selection activeCell="E11" sqref="E11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22" t="s">
        <v>77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4"/>
    </row>
    <row r="2" spans="1:44" ht="17.25" thickBot="1" x14ac:dyDescent="0.35">
      <c r="A2" s="322" t="s">
        <v>100</v>
      </c>
      <c r="B2" s="323"/>
      <c r="C2" s="323"/>
      <c r="D2" s="323"/>
      <c r="E2" s="323"/>
      <c r="F2" s="323"/>
      <c r="G2" s="324"/>
      <c r="H2" s="325" t="s">
        <v>49</v>
      </c>
      <c r="I2" s="326"/>
      <c r="J2" s="322" t="s">
        <v>158</v>
      </c>
      <c r="K2" s="324"/>
      <c r="L2" s="326" t="s">
        <v>96</v>
      </c>
      <c r="M2" s="327"/>
      <c r="N2" s="325"/>
      <c r="O2" s="323" t="s">
        <v>122</v>
      </c>
      <c r="P2" s="323"/>
      <c r="Q2" s="324"/>
      <c r="R2" s="326" t="s">
        <v>51</v>
      </c>
      <c r="S2" s="325"/>
      <c r="T2" s="314">
        <v>1</v>
      </c>
      <c r="U2" s="314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15" t="s">
        <v>8</v>
      </c>
      <c r="P4" s="315"/>
      <c r="Q4" s="31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4326</v>
      </c>
      <c r="C5" s="68" t="s">
        <v>188</v>
      </c>
      <c r="D5" s="200" t="s">
        <v>189</v>
      </c>
      <c r="E5" s="181" t="s">
        <v>106</v>
      </c>
      <c r="F5" s="170">
        <v>945</v>
      </c>
      <c r="G5" s="118" t="s">
        <v>190</v>
      </c>
      <c r="H5" s="91">
        <v>180</v>
      </c>
      <c r="I5" s="124"/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2" t="s">
        <v>122</v>
      </c>
      <c r="O5" s="361"/>
      <c r="P5" s="362"/>
      <c r="Q5" s="363"/>
      <c r="R5" s="132" t="s">
        <v>122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4327</v>
      </c>
      <c r="C6" s="67" t="s">
        <v>191</v>
      </c>
      <c r="D6" s="200" t="s">
        <v>192</v>
      </c>
      <c r="E6" s="181" t="s">
        <v>110</v>
      </c>
      <c r="F6" s="171">
        <v>1040</v>
      </c>
      <c r="G6" s="118" t="s">
        <v>207</v>
      </c>
      <c r="H6" s="91"/>
      <c r="I6" s="124">
        <v>180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2" t="s">
        <v>122</v>
      </c>
      <c r="O6" s="316"/>
      <c r="P6" s="317"/>
      <c r="Q6" s="318"/>
      <c r="R6" s="132"/>
      <c r="S6" s="31"/>
      <c r="T6" s="32"/>
      <c r="U6" s="92">
        <f t="shared" si="0"/>
        <v>0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4328</v>
      </c>
      <c r="C7" s="67" t="s">
        <v>193</v>
      </c>
      <c r="D7" s="200" t="s">
        <v>194</v>
      </c>
      <c r="E7" s="181" t="s">
        <v>110</v>
      </c>
      <c r="F7" s="171">
        <v>1045</v>
      </c>
      <c r="G7" s="118" t="s">
        <v>195</v>
      </c>
      <c r="H7" s="91">
        <v>60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2" t="s">
        <v>205</v>
      </c>
      <c r="O7" s="289"/>
      <c r="P7" s="288"/>
      <c r="Q7" s="290"/>
      <c r="R7" s="134"/>
      <c r="S7" s="31"/>
      <c r="T7" s="32"/>
      <c r="U7" s="92">
        <f t="shared" si="0"/>
        <v>0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4329</v>
      </c>
      <c r="C8" s="27" t="s">
        <v>196</v>
      </c>
      <c r="D8" s="200" t="s">
        <v>197</v>
      </c>
      <c r="E8" s="181" t="s">
        <v>110</v>
      </c>
      <c r="F8" s="171">
        <v>1115</v>
      </c>
      <c r="G8" s="118" t="s">
        <v>184</v>
      </c>
      <c r="H8" s="91"/>
      <c r="I8" s="124">
        <v>75</v>
      </c>
      <c r="J8" s="130" t="str">
        <f t="shared" si="1"/>
        <v>0</v>
      </c>
      <c r="K8" s="130" t="str">
        <f t="shared" si="2"/>
        <v>0</v>
      </c>
      <c r="L8" s="131"/>
      <c r="M8" s="131"/>
      <c r="N8" s="132" t="s">
        <v>206</v>
      </c>
      <c r="O8" s="319"/>
      <c r="P8" s="320"/>
      <c r="Q8" s="321"/>
      <c r="R8" s="26"/>
      <c r="S8" s="31"/>
      <c r="T8" s="32"/>
      <c r="U8" s="92">
        <f t="shared" si="0"/>
        <v>0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4330</v>
      </c>
      <c r="C9" s="63" t="s">
        <v>198</v>
      </c>
      <c r="D9" s="201" t="s">
        <v>199</v>
      </c>
      <c r="E9" s="181" t="s">
        <v>110</v>
      </c>
      <c r="F9" s="172">
        <v>1235</v>
      </c>
      <c r="G9" s="119" t="s">
        <v>195</v>
      </c>
      <c r="H9" s="91"/>
      <c r="I9" s="91">
        <v>100</v>
      </c>
      <c r="J9" s="130" t="str">
        <f t="shared" si="1"/>
        <v>0</v>
      </c>
      <c r="K9" s="130" t="str">
        <f t="shared" si="2"/>
        <v>0</v>
      </c>
      <c r="L9" s="131"/>
      <c r="M9" s="131"/>
      <c r="N9" s="132" t="s">
        <v>122</v>
      </c>
      <c r="O9" s="319"/>
      <c r="P9" s="320"/>
      <c r="Q9" s="321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4331</v>
      </c>
      <c r="C10" s="28" t="s">
        <v>200</v>
      </c>
      <c r="D10" s="202" t="s">
        <v>201</v>
      </c>
      <c r="E10" s="181" t="s">
        <v>110</v>
      </c>
      <c r="F10" s="173">
        <v>1400</v>
      </c>
      <c r="G10" s="120" t="s">
        <v>195</v>
      </c>
      <c r="H10" s="123"/>
      <c r="I10" s="125">
        <v>55</v>
      </c>
      <c r="J10" s="130" t="str">
        <f t="shared" si="1"/>
        <v>0</v>
      </c>
      <c r="K10" s="130" t="str">
        <f t="shared" si="2"/>
        <v>0</v>
      </c>
      <c r="L10" s="131"/>
      <c r="M10" s="131"/>
      <c r="N10" s="132" t="s">
        <v>206</v>
      </c>
      <c r="O10" s="311"/>
      <c r="P10" s="312"/>
      <c r="Q10" s="313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4332</v>
      </c>
      <c r="C11" s="18" t="s">
        <v>202</v>
      </c>
      <c r="D11" s="203" t="s">
        <v>203</v>
      </c>
      <c r="E11" s="181" t="s">
        <v>110</v>
      </c>
      <c r="F11" s="66">
        <v>1420</v>
      </c>
      <c r="G11" s="121" t="s">
        <v>195</v>
      </c>
      <c r="H11" s="123"/>
      <c r="I11" s="124">
        <v>55</v>
      </c>
      <c r="J11" s="130" t="str">
        <f t="shared" si="1"/>
        <v>0</v>
      </c>
      <c r="K11" s="130" t="str">
        <f t="shared" si="2"/>
        <v>0</v>
      </c>
      <c r="L11" s="131"/>
      <c r="M11" s="131"/>
      <c r="N11" s="132" t="s">
        <v>206</v>
      </c>
      <c r="O11" s="289"/>
      <c r="P11" s="288"/>
      <c r="Q11" s="290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289"/>
      <c r="P12" s="288"/>
      <c r="Q12" s="29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289"/>
      <c r="P13" s="288"/>
      <c r="Q13" s="29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289"/>
      <c r="P14" s="288"/>
      <c r="Q14" s="29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289"/>
      <c r="P15" s="288"/>
      <c r="Q15" s="29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289"/>
      <c r="P16" s="288"/>
      <c r="Q16" s="290"/>
      <c r="R16" s="82">
        <f>H32/U16</f>
        <v>0.77777777777777768</v>
      </c>
      <c r="S16" s="83" t="e">
        <f>H32/(U16-U5)</f>
        <v>#DIV/0!</v>
      </c>
      <c r="T16" s="83">
        <f>C32/U16</f>
        <v>78.333333333333314</v>
      </c>
      <c r="U16" s="83">
        <f>SUM(U5:U15)</f>
        <v>9.0000000000000018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289"/>
      <c r="P17" s="288"/>
      <c r="Q17" s="29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289"/>
      <c r="P18" s="288"/>
      <c r="Q18" s="29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289"/>
      <c r="P19" s="288"/>
      <c r="Q19" s="288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57"/>
      <c r="P20" s="358"/>
      <c r="Q20" s="35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89"/>
      <c r="P21" s="288"/>
      <c r="Q21" s="28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89"/>
      <c r="P22" s="288"/>
      <c r="Q22" s="29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55"/>
      <c r="Y23" s="356"/>
      <c r="Z23" s="356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89"/>
      <c r="P24" s="288"/>
      <c r="Q24" s="29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89"/>
      <c r="P25" s="288"/>
      <c r="Q25" s="29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59">
        <f>((C32+(R26+S26+T26)*0.5))</f>
        <v>705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89"/>
      <c r="P26" s="288"/>
      <c r="Q26" s="290"/>
      <c r="R26" s="112">
        <f>R25*37.5</f>
        <v>0</v>
      </c>
      <c r="S26" s="102">
        <f>S25*41.5</f>
        <v>0</v>
      </c>
      <c r="T26" s="102">
        <f>T25*50</f>
        <v>0</v>
      </c>
      <c r="U26" s="36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89"/>
      <c r="P27" s="288"/>
      <c r="Q27" s="290"/>
      <c r="R27" s="352" t="s">
        <v>56</v>
      </c>
      <c r="S27" s="353"/>
      <c r="T27" s="353"/>
      <c r="U27" s="35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89"/>
      <c r="P28" s="288"/>
      <c r="Q28" s="290"/>
      <c r="R28" s="345"/>
      <c r="S28" s="346"/>
      <c r="T28" s="34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2"/>
      <c r="P29" s="333"/>
      <c r="Q29" s="334"/>
      <c r="R29" s="335"/>
      <c r="S29" s="336"/>
      <c r="T29" s="33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38" t="s">
        <v>48</v>
      </c>
      <c r="B30" s="339"/>
      <c r="C30" s="339"/>
      <c r="D30" s="339"/>
      <c r="E30" s="340"/>
      <c r="F30" s="339"/>
      <c r="G30" s="339"/>
      <c r="H30" s="264">
        <f t="shared" ref="H30:M30" si="3">SUM(H5:H29)</f>
        <v>240</v>
      </c>
      <c r="I30" s="105">
        <f>SUM(I5:I29)</f>
        <v>465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0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1"/>
      <c r="S30" s="341"/>
      <c r="T30" s="34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3" t="s">
        <v>16</v>
      </c>
      <c r="B31" s="344"/>
      <c r="C31" s="344"/>
      <c r="D31" s="344"/>
      <c r="E31" s="344"/>
      <c r="F31" s="344"/>
      <c r="G31" s="344"/>
      <c r="H31" s="265">
        <f t="shared" ref="H31:J31" si="4">H30+H62+H94</f>
        <v>240</v>
      </c>
      <c r="I31" s="103">
        <f t="shared" si="4"/>
        <v>465</v>
      </c>
      <c r="J31" s="103">
        <f t="shared" si="4"/>
        <v>0</v>
      </c>
      <c r="K31" s="103">
        <f>K30+K62+K94</f>
        <v>0</v>
      </c>
      <c r="L31" s="97">
        <f>L30+L62+L94</f>
        <v>0</v>
      </c>
      <c r="M31" s="97">
        <f>M30+M62+M94</f>
        <v>0</v>
      </c>
      <c r="N31" s="262">
        <f>COUNT(H5:H29,H37:H61,H69:H93)</f>
        <v>2</v>
      </c>
      <c r="O31" s="104">
        <f>COUNT(I5:I29,I37:I61,I69:I93)</f>
        <v>5</v>
      </c>
      <c r="P31" s="104">
        <f>COUNTIF(G5:G29,"G*")+COUNTIF(G37:G61,"G*")+COUNTIF(G69:G93,"G*")+COUNTIF(G5:G29,"P*")+COUNTIF(G37:G61,"P*")+COUNTIF(G69:G93,"P*")</f>
        <v>0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240</v>
      </c>
      <c r="T31" s="328">
        <f>H31+I31+L31+M31</f>
        <v>705</v>
      </c>
      <c r="U31" s="32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48" t="s">
        <v>55</v>
      </c>
      <c r="B32" s="349"/>
      <c r="C32" s="107">
        <f>H31+I31+J31+K31</f>
        <v>705</v>
      </c>
      <c r="D32" s="196"/>
      <c r="E32" s="107"/>
      <c r="F32" s="350" t="s">
        <v>53</v>
      </c>
      <c r="G32" s="350"/>
      <c r="H32" s="109">
        <f>COUNT(B5:B29,B37:B61,B69:B93)</f>
        <v>7</v>
      </c>
      <c r="I32" s="351" t="s">
        <v>54</v>
      </c>
      <c r="J32" s="351"/>
      <c r="K32" s="108">
        <f>C32/H32</f>
        <v>100.71428571428571</v>
      </c>
      <c r="L32" s="260"/>
      <c r="M32" s="260"/>
      <c r="N32" s="260">
        <f>H31/C32</f>
        <v>0.34042553191489361</v>
      </c>
      <c r="O32" s="260">
        <f>I31/C32</f>
        <v>0.65957446808510634</v>
      </c>
      <c r="P32" s="260">
        <f>K31/C32</f>
        <v>0</v>
      </c>
      <c r="Q32" s="110">
        <f>J31/C32</f>
        <v>0</v>
      </c>
      <c r="R32" s="99" t="s">
        <v>82</v>
      </c>
      <c r="S32" s="266">
        <f>I31+M31</f>
        <v>465</v>
      </c>
      <c r="T32" s="330"/>
      <c r="U32" s="331"/>
      <c r="V32" s="55"/>
      <c r="W32" s="55"/>
      <c r="X32" s="56" t="s">
        <v>27</v>
      </c>
      <c r="Y32" s="56"/>
      <c r="Z32" s="54">
        <f>I31</f>
        <v>465</v>
      </c>
      <c r="AE32" s="37"/>
      <c r="AF32" s="37"/>
      <c r="AG32" s="37"/>
      <c r="AH32" s="37"/>
    </row>
    <row r="33" spans="1:34" ht="17.25" thickBot="1" x14ac:dyDescent="0.35">
      <c r="A33" s="282" t="s">
        <v>24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323"/>
      <c r="U33" s="324"/>
      <c r="X33" s="57" t="s">
        <v>29</v>
      </c>
      <c r="Y33" s="57"/>
      <c r="Z33" s="58">
        <f>SUM(Z31:Z32)</f>
        <v>-2280</v>
      </c>
      <c r="AE33" s="37"/>
      <c r="AF33" s="37"/>
      <c r="AG33" s="59"/>
      <c r="AH33" s="37"/>
    </row>
    <row r="34" spans="1:34" ht="17.25" thickBot="1" x14ac:dyDescent="0.35">
      <c r="A34" s="322" t="str">
        <f>A2</f>
        <v>03-03-2022</v>
      </c>
      <c r="B34" s="323"/>
      <c r="C34" s="323"/>
      <c r="D34" s="323"/>
      <c r="E34" s="323"/>
      <c r="F34" s="323"/>
      <c r="G34" s="324"/>
      <c r="H34" s="325" t="s">
        <v>49</v>
      </c>
      <c r="I34" s="326"/>
      <c r="J34" s="322" t="str">
        <f>J2</f>
        <v>RAIN</v>
      </c>
      <c r="K34" s="324"/>
      <c r="L34" s="326" t="s">
        <v>50</v>
      </c>
      <c r="M34" s="327"/>
      <c r="N34" s="325"/>
      <c r="O34" s="323" t="str">
        <f>O2</f>
        <v>HENDRA</v>
      </c>
      <c r="P34" s="323"/>
      <c r="Q34" s="324"/>
      <c r="R34" s="326" t="s">
        <v>51</v>
      </c>
      <c r="S34" s="325"/>
      <c r="T34" s="314">
        <f>T2</f>
        <v>1</v>
      </c>
      <c r="U34" s="314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15" t="s">
        <v>8</v>
      </c>
      <c r="P36" s="315"/>
      <c r="Q36" s="31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89"/>
      <c r="P37" s="288"/>
      <c r="Q37" s="290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6"/>
      <c r="P38" s="317"/>
      <c r="Q38" s="318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89"/>
      <c r="P39" s="288"/>
      <c r="Q39" s="290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9"/>
      <c r="P40" s="320"/>
      <c r="Q40" s="321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9"/>
      <c r="P41" s="320"/>
      <c r="Q41" s="321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11"/>
      <c r="P42" s="312"/>
      <c r="Q42" s="313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89"/>
      <c r="P43" s="288"/>
      <c r="Q43" s="290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89"/>
      <c r="P44" s="288"/>
      <c r="Q44" s="290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89"/>
      <c r="P45" s="288"/>
      <c r="Q45" s="290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89"/>
      <c r="P46" s="288"/>
      <c r="Q46" s="290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89"/>
      <c r="P47" s="288"/>
      <c r="Q47" s="290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89"/>
      <c r="P48" s="288"/>
      <c r="Q48" s="290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89"/>
      <c r="P49" s="288"/>
      <c r="Q49" s="290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89"/>
      <c r="P50" s="288"/>
      <c r="Q50" s="290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89"/>
      <c r="P51" s="288"/>
      <c r="Q51" s="288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89"/>
      <c r="P52" s="288"/>
      <c r="Q52" s="288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0"/>
      <c r="P53" s="289"/>
      <c r="Q53" s="289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0"/>
      <c r="P54" s="289"/>
      <c r="Q54" s="289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0"/>
      <c r="P55" s="289"/>
      <c r="Q55" s="289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88"/>
      <c r="P56" s="288"/>
      <c r="Q56" s="288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89"/>
      <c r="P57" s="288"/>
      <c r="Q57" s="288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88"/>
      <c r="P58" s="288"/>
      <c r="Q58" s="288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88"/>
      <c r="P59" s="288"/>
      <c r="Q59" s="288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89"/>
      <c r="P60" s="288"/>
      <c r="Q60" s="290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291"/>
      <c r="P61" s="292"/>
      <c r="Q61" s="293"/>
      <c r="R61" s="81"/>
      <c r="S61" s="68"/>
      <c r="T61" s="68"/>
      <c r="U61" s="77"/>
    </row>
    <row r="62" spans="1:21" x14ac:dyDescent="0.3">
      <c r="A62" s="294" t="s">
        <v>48</v>
      </c>
      <c r="B62" s="295"/>
      <c r="C62" s="295"/>
      <c r="D62" s="295"/>
      <c r="E62" s="295"/>
      <c r="F62" s="295"/>
      <c r="G62" s="295"/>
      <c r="H62" s="295">
        <f t="shared" ref="H62:M62" si="8">SUM(H37:H61)</f>
        <v>0</v>
      </c>
      <c r="I62" s="301">
        <f t="shared" si="8"/>
        <v>0</v>
      </c>
      <c r="J62" s="301">
        <f>J61+J60+J59+J58+J57+J56+J55+J54+J53+J52+J51+J50+J49+J48+J47+J46+J45+J44+J43+J42+J41+J40+J39+J38+J37</f>
        <v>0</v>
      </c>
      <c r="K62" s="301">
        <f>K61+K60+K59+K58+K57+K56+K55+K54+K53+K52+K51+K50+K49+K48+K47+K46+K45+K44+K43+K42+K41+K40+K39+K38+K37</f>
        <v>0</v>
      </c>
      <c r="L62" s="304">
        <f t="shared" si="8"/>
        <v>0</v>
      </c>
      <c r="M62" s="307">
        <f t="shared" si="8"/>
        <v>0</v>
      </c>
      <c r="N62" s="276"/>
      <c r="O62" s="277"/>
      <c r="P62" s="277"/>
      <c r="Q62" s="278"/>
      <c r="R62" s="5"/>
      <c r="S62" s="6"/>
      <c r="T62" s="7"/>
      <c r="U62" s="8"/>
    </row>
    <row r="63" spans="1:21" ht="17.25" thickBot="1" x14ac:dyDescent="0.35">
      <c r="A63" s="297"/>
      <c r="B63" s="298"/>
      <c r="C63" s="298"/>
      <c r="D63" s="298"/>
      <c r="E63" s="298"/>
      <c r="F63" s="298"/>
      <c r="G63" s="298"/>
      <c r="H63" s="298"/>
      <c r="I63" s="302"/>
      <c r="J63" s="302"/>
      <c r="K63" s="302"/>
      <c r="L63" s="305"/>
      <c r="M63" s="308"/>
      <c r="N63" s="279"/>
      <c r="O63" s="280"/>
      <c r="P63" s="280"/>
      <c r="Q63" s="281"/>
      <c r="R63" s="1"/>
      <c r="S63" s="2"/>
      <c r="T63" s="3"/>
      <c r="U63" s="4"/>
    </row>
    <row r="64" spans="1:21" ht="17.25" thickBot="1" x14ac:dyDescent="0.35">
      <c r="A64" s="299"/>
      <c r="B64" s="300"/>
      <c r="C64" s="300"/>
      <c r="D64" s="300"/>
      <c r="E64" s="300"/>
      <c r="F64" s="300"/>
      <c r="G64" s="300"/>
      <c r="H64" s="300"/>
      <c r="I64" s="303"/>
      <c r="J64" s="303"/>
      <c r="K64" s="303"/>
      <c r="L64" s="306"/>
      <c r="M64" s="309"/>
      <c r="N64" s="282"/>
      <c r="O64" s="283"/>
      <c r="P64" s="283"/>
      <c r="Q64" s="284"/>
      <c r="R64" s="285" t="s">
        <v>17</v>
      </c>
      <c r="S64" s="286"/>
      <c r="T64" s="286"/>
      <c r="U64" s="287"/>
    </row>
    <row r="65" spans="1:21" ht="17.25" thickBot="1" x14ac:dyDescent="0.35">
      <c r="A65" s="322" t="s">
        <v>24</v>
      </c>
      <c r="B65" s="323"/>
      <c r="C65" s="323"/>
      <c r="D65" s="323"/>
      <c r="E65" s="323"/>
      <c r="F65" s="323"/>
      <c r="G65" s="323"/>
      <c r="H65" s="323"/>
      <c r="I65" s="323"/>
      <c r="J65" s="323"/>
      <c r="K65" s="323"/>
      <c r="L65" s="323"/>
      <c r="M65" s="323"/>
      <c r="N65" s="323"/>
      <c r="O65" s="323"/>
      <c r="P65" s="323"/>
      <c r="Q65" s="323"/>
      <c r="R65" s="323"/>
      <c r="S65" s="323"/>
      <c r="T65" s="323"/>
      <c r="U65" s="324"/>
    </row>
    <row r="66" spans="1:21" ht="17.25" thickBot="1" x14ac:dyDescent="0.35">
      <c r="A66" s="322" t="str">
        <f>A34</f>
        <v>03-03-2022</v>
      </c>
      <c r="B66" s="323"/>
      <c r="C66" s="323"/>
      <c r="D66" s="323"/>
      <c r="E66" s="323"/>
      <c r="F66" s="323"/>
      <c r="G66" s="324"/>
      <c r="H66" s="325" t="s">
        <v>49</v>
      </c>
      <c r="I66" s="326"/>
      <c r="J66" s="322" t="str">
        <f>J34</f>
        <v>RAIN</v>
      </c>
      <c r="K66" s="324"/>
      <c r="L66" s="326" t="s">
        <v>50</v>
      </c>
      <c r="M66" s="327"/>
      <c r="N66" s="325"/>
      <c r="O66" s="323" t="str">
        <f>O34</f>
        <v>HENDRA</v>
      </c>
      <c r="P66" s="323"/>
      <c r="Q66" s="324"/>
      <c r="R66" s="326" t="s">
        <v>51</v>
      </c>
      <c r="S66" s="325"/>
      <c r="T66" s="314">
        <f>T34</f>
        <v>1</v>
      </c>
      <c r="U66" s="314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15" t="s">
        <v>8</v>
      </c>
      <c r="P68" s="315"/>
      <c r="Q68" s="31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89"/>
      <c r="P69" s="288"/>
      <c r="Q69" s="290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6"/>
      <c r="P70" s="317"/>
      <c r="Q70" s="318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89"/>
      <c r="P71" s="288"/>
      <c r="Q71" s="290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9"/>
      <c r="P72" s="320"/>
      <c r="Q72" s="321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9"/>
      <c r="P73" s="320"/>
      <c r="Q73" s="321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11"/>
      <c r="P74" s="312"/>
      <c r="Q74" s="313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89"/>
      <c r="P75" s="288"/>
      <c r="Q75" s="290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89"/>
      <c r="P76" s="288"/>
      <c r="Q76" s="290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89"/>
      <c r="P77" s="288"/>
      <c r="Q77" s="290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89"/>
      <c r="P78" s="288"/>
      <c r="Q78" s="290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89"/>
      <c r="P79" s="288"/>
      <c r="Q79" s="290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89"/>
      <c r="P80" s="288"/>
      <c r="Q80" s="290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89"/>
      <c r="P81" s="288"/>
      <c r="Q81" s="290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89"/>
      <c r="P82" s="288"/>
      <c r="Q82" s="290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89"/>
      <c r="P83" s="288"/>
      <c r="Q83" s="288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89"/>
      <c r="P84" s="288"/>
      <c r="Q84" s="288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0"/>
      <c r="P85" s="289"/>
      <c r="Q85" s="289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0"/>
      <c r="P86" s="289"/>
      <c r="Q86" s="289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0"/>
      <c r="P87" s="289"/>
      <c r="Q87" s="289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88"/>
      <c r="P88" s="288"/>
      <c r="Q88" s="288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89"/>
      <c r="P89" s="288"/>
      <c r="Q89" s="288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88"/>
      <c r="P90" s="288"/>
      <c r="Q90" s="288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88"/>
      <c r="P91" s="288"/>
      <c r="Q91" s="288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89"/>
      <c r="P92" s="288"/>
      <c r="Q92" s="290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291"/>
      <c r="P93" s="292"/>
      <c r="Q93" s="293"/>
      <c r="R93" s="81"/>
      <c r="S93" s="68"/>
      <c r="T93" s="68"/>
      <c r="U93" s="77"/>
    </row>
    <row r="94" spans="1:21" x14ac:dyDescent="0.3">
      <c r="A94" s="294" t="s">
        <v>48</v>
      </c>
      <c r="B94" s="295"/>
      <c r="C94" s="295"/>
      <c r="D94" s="295"/>
      <c r="E94" s="296"/>
      <c r="F94" s="295"/>
      <c r="G94" s="295"/>
      <c r="H94" s="295">
        <f t="shared" ref="H94:M94" si="12">SUM(H69:H93)</f>
        <v>0</v>
      </c>
      <c r="I94" s="301">
        <f t="shared" si="12"/>
        <v>0</v>
      </c>
      <c r="J94" s="301">
        <f>J93+J92+J91+J90+J89+J88+J87+J86+J85+J84+J83+J82+J81+J80+J79+J78+J77+J76+J75+J74+J73+J72+J71+J70+J69</f>
        <v>0</v>
      </c>
      <c r="K94" s="301">
        <f>K93+K92+K91+K90+K89+K88+K87+K86+K85+K84+K83+K82+K81+K80+K79+K78+K77+K76+K75+K74+K73+K72+K71+K70+K69</f>
        <v>0</v>
      </c>
      <c r="L94" s="304">
        <f t="shared" si="12"/>
        <v>0</v>
      </c>
      <c r="M94" s="307">
        <f t="shared" si="12"/>
        <v>0</v>
      </c>
      <c r="N94" s="276"/>
      <c r="O94" s="277"/>
      <c r="P94" s="277"/>
      <c r="Q94" s="278"/>
      <c r="R94" s="5"/>
      <c r="S94" s="6"/>
      <c r="T94" s="7"/>
      <c r="U94" s="8"/>
    </row>
    <row r="95" spans="1:21" ht="17.25" thickBot="1" x14ac:dyDescent="0.35">
      <c r="A95" s="297"/>
      <c r="B95" s="298"/>
      <c r="C95" s="298"/>
      <c r="D95" s="298"/>
      <c r="E95" s="298"/>
      <c r="F95" s="298"/>
      <c r="G95" s="298"/>
      <c r="H95" s="298"/>
      <c r="I95" s="302"/>
      <c r="J95" s="302"/>
      <c r="K95" s="302"/>
      <c r="L95" s="305"/>
      <c r="M95" s="308"/>
      <c r="N95" s="279"/>
      <c r="O95" s="280"/>
      <c r="P95" s="280"/>
      <c r="Q95" s="281"/>
      <c r="R95" s="1"/>
      <c r="S95" s="2"/>
      <c r="T95" s="3"/>
      <c r="U95" s="4"/>
    </row>
    <row r="96" spans="1:21" ht="17.25" thickBot="1" x14ac:dyDescent="0.35">
      <c r="A96" s="299"/>
      <c r="B96" s="300"/>
      <c r="C96" s="300"/>
      <c r="D96" s="300"/>
      <c r="E96" s="300"/>
      <c r="F96" s="300"/>
      <c r="G96" s="300"/>
      <c r="H96" s="300"/>
      <c r="I96" s="303"/>
      <c r="J96" s="303"/>
      <c r="K96" s="303"/>
      <c r="L96" s="306"/>
      <c r="M96" s="309"/>
      <c r="N96" s="282"/>
      <c r="O96" s="283"/>
      <c r="P96" s="283"/>
      <c r="Q96" s="284"/>
      <c r="R96" s="285" t="s">
        <v>52</v>
      </c>
      <c r="S96" s="286"/>
      <c r="T96" s="286"/>
      <c r="U96" s="287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2:Q72"/>
    <mergeCell ref="O73:Q73"/>
    <mergeCell ref="O74:Q74"/>
    <mergeCell ref="O75:Q75"/>
    <mergeCell ref="O76:Q76"/>
    <mergeCell ref="O77:Q77"/>
    <mergeCell ref="O78:Q78"/>
    <mergeCell ref="O79:Q79"/>
    <mergeCell ref="O80:Q80"/>
    <mergeCell ref="O36:Q36"/>
    <mergeCell ref="O37:Q37"/>
    <mergeCell ref="O38:Q38"/>
    <mergeCell ref="O39:Q39"/>
    <mergeCell ref="O40:Q40"/>
    <mergeCell ref="O45:Q45"/>
    <mergeCell ref="O46:Q46"/>
    <mergeCell ref="O47:Q47"/>
    <mergeCell ref="O48:Q48"/>
    <mergeCell ref="O41:Q41"/>
    <mergeCell ref="O42:Q42"/>
    <mergeCell ref="O43:Q43"/>
    <mergeCell ref="O44:Q4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A32:B32"/>
    <mergeCell ref="O19:Q19"/>
    <mergeCell ref="O20:Q20"/>
    <mergeCell ref="O21:Q21"/>
    <mergeCell ref="O22:Q22"/>
    <mergeCell ref="O29:Q29"/>
    <mergeCell ref="O54:Q54"/>
    <mergeCell ref="O55:Q55"/>
    <mergeCell ref="O56:Q56"/>
    <mergeCell ref="O57:Q57"/>
    <mergeCell ref="O58:Q58"/>
    <mergeCell ref="O49:Q49"/>
    <mergeCell ref="O50:Q50"/>
    <mergeCell ref="O51:Q51"/>
    <mergeCell ref="O52:Q52"/>
    <mergeCell ref="O53:Q53"/>
    <mergeCell ref="O59:Q59"/>
    <mergeCell ref="O60:Q60"/>
    <mergeCell ref="O61:Q61"/>
    <mergeCell ref="L62:L64"/>
    <mergeCell ref="H62:H64"/>
    <mergeCell ref="I62:I64"/>
    <mergeCell ref="J62:J64"/>
    <mergeCell ref="K62:K64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68:Q68"/>
    <mergeCell ref="O69:Q69"/>
    <mergeCell ref="O70:Q70"/>
    <mergeCell ref="O71:Q71"/>
    <mergeCell ref="H94:H96"/>
    <mergeCell ref="I94:I96"/>
    <mergeCell ref="J94:J96"/>
    <mergeCell ref="K94:K96"/>
    <mergeCell ref="L94:L96"/>
    <mergeCell ref="O81:Q81"/>
    <mergeCell ref="O82:Q82"/>
    <mergeCell ref="O83:Q83"/>
    <mergeCell ref="O84:Q84"/>
    <mergeCell ref="O85:Q85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</mergeCells>
  <phoneticPr fontId="4" type="noConversion"/>
  <dataValidations count="1">
    <dataValidation type="list" allowBlank="1" showInputMessage="1" showErrorMessage="1" sqref="X7 W5 E69:E93 E37:E61 E5:E29" xr:uid="{253CB3AB-DBC8-4EED-A776-88990BCC0C68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89" fitToHeight="0" orientation="landscape" horizontalDpi="4294967293" verticalDpi="300" r:id="rId1"/>
  <rowBreaks count="1" manualBreakCount="1">
    <brk id="32" max="20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AD502-4544-4644-9AE9-23CE64CC7610}">
  <sheetPr>
    <pageSetUpPr fitToPage="1"/>
  </sheetPr>
  <dimension ref="A1:AR96"/>
  <sheetViews>
    <sheetView zoomScaleNormal="100" zoomScaleSheetLayoutView="77" workbookViewId="0">
      <selection activeCell="M19" sqref="M1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22" t="s">
        <v>77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4"/>
    </row>
    <row r="2" spans="1:44" ht="17.25" thickBot="1" x14ac:dyDescent="0.35">
      <c r="A2" s="322" t="s">
        <v>101</v>
      </c>
      <c r="B2" s="323"/>
      <c r="C2" s="323"/>
      <c r="D2" s="323"/>
      <c r="E2" s="323"/>
      <c r="F2" s="323"/>
      <c r="G2" s="324"/>
      <c r="H2" s="325" t="s">
        <v>49</v>
      </c>
      <c r="I2" s="326"/>
      <c r="J2" s="322" t="s">
        <v>141</v>
      </c>
      <c r="K2" s="324"/>
      <c r="L2" s="326" t="s">
        <v>96</v>
      </c>
      <c r="M2" s="327"/>
      <c r="N2" s="325"/>
      <c r="O2" s="323" t="s">
        <v>140</v>
      </c>
      <c r="P2" s="323"/>
      <c r="Q2" s="324"/>
      <c r="R2" s="326" t="s">
        <v>51</v>
      </c>
      <c r="S2" s="325"/>
      <c r="T2" s="314">
        <v>6</v>
      </c>
      <c r="U2" s="314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15" t="s">
        <v>8</v>
      </c>
      <c r="P4" s="315"/>
      <c r="Q4" s="31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4333</v>
      </c>
      <c r="C5" s="68" t="s">
        <v>165</v>
      </c>
      <c r="D5" s="200" t="s">
        <v>166</v>
      </c>
      <c r="E5" s="181" t="s">
        <v>110</v>
      </c>
      <c r="F5" s="170">
        <v>900</v>
      </c>
      <c r="G5" s="118" t="s">
        <v>167</v>
      </c>
      <c r="H5" s="91"/>
      <c r="I5" s="124">
        <v>200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140</v>
      </c>
      <c r="O5" s="289"/>
      <c r="P5" s="288"/>
      <c r="Q5" s="290"/>
      <c r="R5" s="33" t="s">
        <v>121</v>
      </c>
      <c r="S5" s="31">
        <v>0.33333333333333331</v>
      </c>
      <c r="T5" s="32">
        <v>0.70833333333333337</v>
      </c>
      <c r="U5" s="92">
        <f t="shared" ref="U5:U15" si="0">(T5-S5)*24</f>
        <v>9.0000000000000018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4334</v>
      </c>
      <c r="C6" s="67" t="s">
        <v>168</v>
      </c>
      <c r="D6" s="200" t="s">
        <v>169</v>
      </c>
      <c r="E6" s="181" t="s">
        <v>106</v>
      </c>
      <c r="F6" s="171">
        <v>1030</v>
      </c>
      <c r="G6" s="118" t="s">
        <v>170</v>
      </c>
      <c r="H6" s="91">
        <v>280</v>
      </c>
      <c r="I6" s="124"/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2" t="s">
        <v>122</v>
      </c>
      <c r="O6" s="289"/>
      <c r="P6" s="288"/>
      <c r="Q6" s="290"/>
      <c r="R6" s="132" t="s">
        <v>122</v>
      </c>
      <c r="S6" s="31">
        <v>0.33333333333333331</v>
      </c>
      <c r="T6" s="32">
        <v>0.625</v>
      </c>
      <c r="U6" s="92">
        <f t="shared" si="0"/>
        <v>7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4335</v>
      </c>
      <c r="C7" s="67" t="s">
        <v>171</v>
      </c>
      <c r="D7" s="200" t="s">
        <v>172</v>
      </c>
      <c r="E7" s="181" t="s">
        <v>110</v>
      </c>
      <c r="F7" s="171">
        <v>1050</v>
      </c>
      <c r="G7" s="118" t="s">
        <v>173</v>
      </c>
      <c r="H7" s="91"/>
      <c r="I7" s="124">
        <v>150</v>
      </c>
      <c r="J7" s="130" t="str">
        <f t="shared" si="1"/>
        <v>0</v>
      </c>
      <c r="K7" s="130" t="str">
        <f t="shared" si="2"/>
        <v>0</v>
      </c>
      <c r="L7" s="131"/>
      <c r="M7" s="131"/>
      <c r="N7" s="132" t="s">
        <v>122</v>
      </c>
      <c r="O7" s="289"/>
      <c r="P7" s="288"/>
      <c r="Q7" s="290"/>
      <c r="R7" s="134" t="s">
        <v>185</v>
      </c>
      <c r="S7" s="31">
        <v>0.33333333333333331</v>
      </c>
      <c r="T7" s="32">
        <v>0.70833333333333337</v>
      </c>
      <c r="U7" s="92">
        <f t="shared" si="0"/>
        <v>9.0000000000000018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4336</v>
      </c>
      <c r="C8" s="27" t="s">
        <v>174</v>
      </c>
      <c r="D8" s="200" t="s">
        <v>175</v>
      </c>
      <c r="E8" s="181" t="s">
        <v>110</v>
      </c>
      <c r="F8" s="171">
        <v>1200</v>
      </c>
      <c r="G8" s="118" t="s">
        <v>176</v>
      </c>
      <c r="H8" s="91">
        <v>75</v>
      </c>
      <c r="I8" s="124"/>
      <c r="J8" s="130" t="str">
        <f t="shared" si="1"/>
        <v>0</v>
      </c>
      <c r="K8" s="130" t="str">
        <f t="shared" si="2"/>
        <v>0</v>
      </c>
      <c r="L8" s="131"/>
      <c r="M8" s="131"/>
      <c r="N8" s="132" t="s">
        <v>122</v>
      </c>
      <c r="O8" s="289"/>
      <c r="P8" s="288"/>
      <c r="Q8" s="290"/>
      <c r="R8" s="26" t="s">
        <v>124</v>
      </c>
      <c r="S8" s="31">
        <v>0.40625</v>
      </c>
      <c r="T8" s="32">
        <v>0.66666666666666663</v>
      </c>
      <c r="U8" s="92">
        <f t="shared" si="0"/>
        <v>6.2499999999999991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4337</v>
      </c>
      <c r="C9" s="63" t="s">
        <v>177</v>
      </c>
      <c r="D9" s="201" t="s">
        <v>178</v>
      </c>
      <c r="E9" s="181" t="s">
        <v>110</v>
      </c>
      <c r="F9" s="172">
        <v>1300</v>
      </c>
      <c r="G9" s="119" t="s">
        <v>167</v>
      </c>
      <c r="H9" s="91"/>
      <c r="I9" s="91">
        <v>200</v>
      </c>
      <c r="J9" s="130" t="str">
        <f t="shared" si="1"/>
        <v>0</v>
      </c>
      <c r="K9" s="130" t="str">
        <f t="shared" si="2"/>
        <v>0</v>
      </c>
      <c r="L9" s="131"/>
      <c r="M9" s="131"/>
      <c r="N9" s="132" t="s">
        <v>122</v>
      </c>
      <c r="O9" s="289"/>
      <c r="P9" s="288"/>
      <c r="Q9" s="290"/>
      <c r="R9" s="26" t="s">
        <v>186</v>
      </c>
      <c r="S9" s="31">
        <v>0.42708333333333331</v>
      </c>
      <c r="T9" s="32">
        <v>0.54166666666666663</v>
      </c>
      <c r="U9" s="92">
        <f t="shared" si="0"/>
        <v>2.7499999999999996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4338</v>
      </c>
      <c r="C10" s="28" t="s">
        <v>179</v>
      </c>
      <c r="D10" s="202" t="s">
        <v>180</v>
      </c>
      <c r="E10" s="181" t="s">
        <v>106</v>
      </c>
      <c r="F10" s="173">
        <v>1350</v>
      </c>
      <c r="G10" s="120" t="s">
        <v>181</v>
      </c>
      <c r="H10" s="123"/>
      <c r="I10" s="125"/>
      <c r="J10" s="130" t="str">
        <f t="shared" si="1"/>
        <v>0</v>
      </c>
      <c r="K10" s="130" t="str">
        <f t="shared" si="2"/>
        <v>45.8</v>
      </c>
      <c r="L10" s="131"/>
      <c r="M10" s="131"/>
      <c r="N10" s="134" t="s">
        <v>140</v>
      </c>
      <c r="O10" s="289" t="s">
        <v>204</v>
      </c>
      <c r="P10" s="288"/>
      <c r="Q10" s="290"/>
      <c r="R10" s="26" t="s">
        <v>187</v>
      </c>
      <c r="S10" s="31">
        <v>0.41666666666666669</v>
      </c>
      <c r="T10" s="32">
        <v>0.66666666666666663</v>
      </c>
      <c r="U10" s="92">
        <f t="shared" si="0"/>
        <v>5.9999999999999982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4339</v>
      </c>
      <c r="C11" s="18" t="s">
        <v>182</v>
      </c>
      <c r="D11" s="203" t="s">
        <v>183</v>
      </c>
      <c r="E11" s="181" t="s">
        <v>110</v>
      </c>
      <c r="F11" s="66">
        <v>1440</v>
      </c>
      <c r="G11" s="121" t="s">
        <v>184</v>
      </c>
      <c r="H11" s="123"/>
      <c r="I11" s="124">
        <v>95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140</v>
      </c>
      <c r="O11" s="289"/>
      <c r="P11" s="288"/>
      <c r="Q11" s="290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/>
      <c r="C12" s="64"/>
      <c r="D12" s="204"/>
      <c r="E12" s="181"/>
      <c r="F12" s="173"/>
      <c r="G12" s="119"/>
      <c r="H12" s="123"/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/>
      <c r="O12" s="289"/>
      <c r="P12" s="288"/>
      <c r="Q12" s="29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/>
      <c r="C13" s="64"/>
      <c r="D13" s="204"/>
      <c r="E13" s="181"/>
      <c r="F13" s="173"/>
      <c r="G13" s="119"/>
      <c r="H13" s="169"/>
      <c r="I13" s="168"/>
      <c r="J13" s="130" t="str">
        <f t="shared" si="1"/>
        <v>0</v>
      </c>
      <c r="K13" s="130" t="str">
        <f t="shared" si="2"/>
        <v>0</v>
      </c>
      <c r="L13" s="131"/>
      <c r="M13" s="131"/>
      <c r="N13" s="134"/>
      <c r="O13" s="289"/>
      <c r="P13" s="288"/>
      <c r="Q13" s="29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289"/>
      <c r="P14" s="288"/>
      <c r="Q14" s="29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289"/>
      <c r="P15" s="288"/>
      <c r="Q15" s="29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289"/>
      <c r="P16" s="288"/>
      <c r="Q16" s="290"/>
      <c r="R16" s="82">
        <f>H32/U16</f>
        <v>0.17499999999999999</v>
      </c>
      <c r="S16" s="83">
        <f>H32/(U16-U5)</f>
        <v>0.22580645161290322</v>
      </c>
      <c r="T16" s="83">
        <f>C32/U16</f>
        <v>26.145</v>
      </c>
      <c r="U16" s="83">
        <f>SUM(U5:U15)</f>
        <v>40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289"/>
      <c r="P17" s="288"/>
      <c r="Q17" s="29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289"/>
      <c r="P18" s="288"/>
      <c r="Q18" s="29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289"/>
      <c r="P19" s="288"/>
      <c r="Q19" s="288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57"/>
      <c r="P20" s="358"/>
      <c r="Q20" s="35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89"/>
      <c r="P21" s="288"/>
      <c r="Q21" s="28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89"/>
      <c r="P22" s="288"/>
      <c r="Q22" s="29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55"/>
      <c r="Y23" s="356"/>
      <c r="Z23" s="356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89"/>
      <c r="P24" s="288"/>
      <c r="Q24" s="29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89"/>
      <c r="P25" s="288"/>
      <c r="Q25" s="29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59">
        <f>((C32+(R26+S26+T26)*0.5))</f>
        <v>1045.8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89"/>
      <c r="P26" s="288"/>
      <c r="Q26" s="290"/>
      <c r="R26" s="112">
        <f>R25*37.5</f>
        <v>0</v>
      </c>
      <c r="S26" s="102">
        <f>S25*41.5</f>
        <v>0</v>
      </c>
      <c r="T26" s="102">
        <f>T25*50</f>
        <v>0</v>
      </c>
      <c r="U26" s="36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89"/>
      <c r="P27" s="288"/>
      <c r="Q27" s="290"/>
      <c r="R27" s="352" t="s">
        <v>56</v>
      </c>
      <c r="S27" s="353"/>
      <c r="T27" s="353"/>
      <c r="U27" s="35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89"/>
      <c r="P28" s="288"/>
      <c r="Q28" s="290"/>
      <c r="R28" s="345"/>
      <c r="S28" s="346"/>
      <c r="T28" s="34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2"/>
      <c r="P29" s="333"/>
      <c r="Q29" s="334"/>
      <c r="R29" s="335"/>
      <c r="S29" s="336"/>
      <c r="T29" s="33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38" t="s">
        <v>48</v>
      </c>
      <c r="B30" s="339"/>
      <c r="C30" s="339"/>
      <c r="D30" s="339"/>
      <c r="E30" s="340"/>
      <c r="F30" s="339"/>
      <c r="G30" s="339"/>
      <c r="H30" s="264">
        <f t="shared" ref="H30:M30" si="3">SUM(H5:H29)</f>
        <v>355</v>
      </c>
      <c r="I30" s="105">
        <f>SUM(I5:I29)</f>
        <v>645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45.8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1"/>
      <c r="S30" s="341"/>
      <c r="T30" s="34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3" t="s">
        <v>16</v>
      </c>
      <c r="B31" s="344"/>
      <c r="C31" s="344"/>
      <c r="D31" s="344"/>
      <c r="E31" s="344"/>
      <c r="F31" s="344"/>
      <c r="G31" s="344"/>
      <c r="H31" s="265">
        <f t="shared" ref="H31:J31" si="4">H30+H62+H94</f>
        <v>355</v>
      </c>
      <c r="I31" s="103">
        <f t="shared" si="4"/>
        <v>645</v>
      </c>
      <c r="J31" s="103">
        <f t="shared" si="4"/>
        <v>0</v>
      </c>
      <c r="K31" s="103">
        <f>K30+K62+K94</f>
        <v>45.8</v>
      </c>
      <c r="L31" s="97">
        <f>L30+L62+L94</f>
        <v>0</v>
      </c>
      <c r="M31" s="97">
        <f>M30+M62+M94</f>
        <v>0</v>
      </c>
      <c r="N31" s="262">
        <f>COUNT(H5:H29,H37:H61,H69:H93)</f>
        <v>2</v>
      </c>
      <c r="O31" s="104">
        <f>COUNT(I5:I29,I37:I61,I69:I93)</f>
        <v>4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355</v>
      </c>
      <c r="T31" s="328">
        <f>H31+I31+L31+M31</f>
        <v>1000</v>
      </c>
      <c r="U31" s="32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48" t="s">
        <v>55</v>
      </c>
      <c r="B32" s="349"/>
      <c r="C32" s="107">
        <f>H31+I31+J31+K31</f>
        <v>1045.8</v>
      </c>
      <c r="D32" s="196"/>
      <c r="E32" s="107"/>
      <c r="F32" s="350" t="s">
        <v>53</v>
      </c>
      <c r="G32" s="350"/>
      <c r="H32" s="109">
        <f>COUNT(B5:B29,B37:B61,B69:B93)</f>
        <v>7</v>
      </c>
      <c r="I32" s="351" t="s">
        <v>54</v>
      </c>
      <c r="J32" s="351"/>
      <c r="K32" s="108">
        <f>C32/H32</f>
        <v>149.4</v>
      </c>
      <c r="L32" s="260"/>
      <c r="M32" s="260"/>
      <c r="N32" s="260">
        <f>H31/C32</f>
        <v>0.33945305029642381</v>
      </c>
      <c r="O32" s="260">
        <f>I31/C32</f>
        <v>0.61675272518646018</v>
      </c>
      <c r="P32" s="260">
        <f>K31/C32</f>
        <v>4.3794224517116086E-2</v>
      </c>
      <c r="Q32" s="110">
        <f>J31/C32</f>
        <v>0</v>
      </c>
      <c r="R32" s="99" t="s">
        <v>82</v>
      </c>
      <c r="S32" s="266">
        <f>I31+M31</f>
        <v>645</v>
      </c>
      <c r="T32" s="330"/>
      <c r="U32" s="331"/>
      <c r="V32" s="55"/>
      <c r="W32" s="55"/>
      <c r="X32" s="56" t="s">
        <v>27</v>
      </c>
      <c r="Y32" s="56"/>
      <c r="Z32" s="54">
        <f>I31</f>
        <v>645</v>
      </c>
      <c r="AE32" s="37"/>
      <c r="AF32" s="37"/>
      <c r="AG32" s="37"/>
      <c r="AH32" s="37"/>
    </row>
    <row r="33" spans="1:34" ht="17.25" thickBot="1" x14ac:dyDescent="0.35">
      <c r="A33" s="282" t="s">
        <v>24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323"/>
      <c r="U33" s="324"/>
      <c r="X33" s="57" t="s">
        <v>29</v>
      </c>
      <c r="Y33" s="57"/>
      <c r="Z33" s="58">
        <f>SUM(Z31:Z32)</f>
        <v>-2100</v>
      </c>
      <c r="AE33" s="37"/>
      <c r="AF33" s="37"/>
      <c r="AG33" s="59"/>
      <c r="AH33" s="37"/>
    </row>
    <row r="34" spans="1:34" ht="17.25" thickBot="1" x14ac:dyDescent="0.35">
      <c r="A34" s="322" t="str">
        <f>A2</f>
        <v>04-03-2022</v>
      </c>
      <c r="B34" s="323"/>
      <c r="C34" s="323"/>
      <c r="D34" s="323"/>
      <c r="E34" s="323"/>
      <c r="F34" s="323"/>
      <c r="G34" s="324"/>
      <c r="H34" s="325" t="s">
        <v>49</v>
      </c>
      <c r="I34" s="326"/>
      <c r="J34" s="322" t="str">
        <f>J2</f>
        <v>MIX</v>
      </c>
      <c r="K34" s="324"/>
      <c r="L34" s="326" t="s">
        <v>50</v>
      </c>
      <c r="M34" s="327"/>
      <c r="N34" s="325"/>
      <c r="O34" s="323" t="str">
        <f>O2</f>
        <v>JOHN</v>
      </c>
      <c r="P34" s="323"/>
      <c r="Q34" s="324"/>
      <c r="R34" s="326" t="s">
        <v>51</v>
      </c>
      <c r="S34" s="325"/>
      <c r="T34" s="314">
        <f>T2</f>
        <v>6</v>
      </c>
      <c r="U34" s="314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15" t="s">
        <v>8</v>
      </c>
      <c r="P36" s="315"/>
      <c r="Q36" s="31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89"/>
      <c r="P37" s="288"/>
      <c r="Q37" s="290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6"/>
      <c r="P38" s="317"/>
      <c r="Q38" s="318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89"/>
      <c r="P39" s="288"/>
      <c r="Q39" s="290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9"/>
      <c r="P40" s="320"/>
      <c r="Q40" s="321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9"/>
      <c r="P41" s="320"/>
      <c r="Q41" s="321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11"/>
      <c r="P42" s="312"/>
      <c r="Q42" s="313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89"/>
      <c r="P43" s="288"/>
      <c r="Q43" s="290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89"/>
      <c r="P44" s="288"/>
      <c r="Q44" s="290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89"/>
      <c r="P45" s="288"/>
      <c r="Q45" s="290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89"/>
      <c r="P46" s="288"/>
      <c r="Q46" s="290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89"/>
      <c r="P47" s="288"/>
      <c r="Q47" s="290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89"/>
      <c r="P48" s="288"/>
      <c r="Q48" s="290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89"/>
      <c r="P49" s="288"/>
      <c r="Q49" s="290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89"/>
      <c r="P50" s="288"/>
      <c r="Q50" s="290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89"/>
      <c r="P51" s="288"/>
      <c r="Q51" s="288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89"/>
      <c r="P52" s="288"/>
      <c r="Q52" s="288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0"/>
      <c r="P53" s="289"/>
      <c r="Q53" s="289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0"/>
      <c r="P54" s="289"/>
      <c r="Q54" s="289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0"/>
      <c r="P55" s="289"/>
      <c r="Q55" s="289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88"/>
      <c r="P56" s="288"/>
      <c r="Q56" s="288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89"/>
      <c r="P57" s="288"/>
      <c r="Q57" s="288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88"/>
      <c r="P58" s="288"/>
      <c r="Q58" s="288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88"/>
      <c r="P59" s="288"/>
      <c r="Q59" s="288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89"/>
      <c r="P60" s="288"/>
      <c r="Q60" s="290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291"/>
      <c r="P61" s="292"/>
      <c r="Q61" s="293"/>
      <c r="R61" s="81"/>
      <c r="S61" s="68"/>
      <c r="T61" s="68"/>
      <c r="U61" s="77"/>
    </row>
    <row r="62" spans="1:21" x14ac:dyDescent="0.3">
      <c r="A62" s="294" t="s">
        <v>48</v>
      </c>
      <c r="B62" s="295"/>
      <c r="C62" s="295"/>
      <c r="D62" s="295"/>
      <c r="E62" s="295"/>
      <c r="F62" s="295"/>
      <c r="G62" s="295"/>
      <c r="H62" s="295">
        <f t="shared" ref="H62:M62" si="8">SUM(H37:H61)</f>
        <v>0</v>
      </c>
      <c r="I62" s="301">
        <f t="shared" si="8"/>
        <v>0</v>
      </c>
      <c r="J62" s="301">
        <f>J61+J60+J59+J58+J57+J56+J55+J54+J53+J52+J51+J50+J49+J48+J47+J46+J45+J44+J43+J42+J41+J40+J39+J38+J37</f>
        <v>0</v>
      </c>
      <c r="K62" s="301">
        <f>K61+K60+K59+K58+K57+K56+K55+K54+K53+K52+K51+K50+K49+K48+K47+K46+K45+K44+K43+K42+K41+K40+K39+K38+K37</f>
        <v>0</v>
      </c>
      <c r="L62" s="304">
        <f t="shared" si="8"/>
        <v>0</v>
      </c>
      <c r="M62" s="307">
        <f t="shared" si="8"/>
        <v>0</v>
      </c>
      <c r="N62" s="276"/>
      <c r="O62" s="277"/>
      <c r="P62" s="277"/>
      <c r="Q62" s="278"/>
      <c r="R62" s="5"/>
      <c r="S62" s="6"/>
      <c r="T62" s="7"/>
      <c r="U62" s="8"/>
    </row>
    <row r="63" spans="1:21" ht="17.25" thickBot="1" x14ac:dyDescent="0.35">
      <c r="A63" s="297"/>
      <c r="B63" s="298"/>
      <c r="C63" s="298"/>
      <c r="D63" s="298"/>
      <c r="E63" s="298"/>
      <c r="F63" s="298"/>
      <c r="G63" s="298"/>
      <c r="H63" s="298"/>
      <c r="I63" s="302"/>
      <c r="J63" s="302"/>
      <c r="K63" s="302"/>
      <c r="L63" s="305"/>
      <c r="M63" s="308"/>
      <c r="N63" s="279"/>
      <c r="O63" s="280"/>
      <c r="P63" s="280"/>
      <c r="Q63" s="281"/>
      <c r="R63" s="1"/>
      <c r="S63" s="2"/>
      <c r="T63" s="3"/>
      <c r="U63" s="4"/>
    </row>
    <row r="64" spans="1:21" ht="17.25" thickBot="1" x14ac:dyDescent="0.35">
      <c r="A64" s="299"/>
      <c r="B64" s="300"/>
      <c r="C64" s="300"/>
      <c r="D64" s="300"/>
      <c r="E64" s="300"/>
      <c r="F64" s="300"/>
      <c r="G64" s="300"/>
      <c r="H64" s="300"/>
      <c r="I64" s="303"/>
      <c r="J64" s="303"/>
      <c r="K64" s="303"/>
      <c r="L64" s="306"/>
      <c r="M64" s="309"/>
      <c r="N64" s="282"/>
      <c r="O64" s="283"/>
      <c r="P64" s="283"/>
      <c r="Q64" s="284"/>
      <c r="R64" s="285" t="s">
        <v>17</v>
      </c>
      <c r="S64" s="286"/>
      <c r="T64" s="286"/>
      <c r="U64" s="287"/>
    </row>
    <row r="65" spans="1:21" ht="17.25" thickBot="1" x14ac:dyDescent="0.35">
      <c r="A65" s="322" t="s">
        <v>24</v>
      </c>
      <c r="B65" s="323"/>
      <c r="C65" s="323"/>
      <c r="D65" s="323"/>
      <c r="E65" s="323"/>
      <c r="F65" s="323"/>
      <c r="G65" s="323"/>
      <c r="H65" s="323"/>
      <c r="I65" s="323"/>
      <c r="J65" s="323"/>
      <c r="K65" s="323"/>
      <c r="L65" s="323"/>
      <c r="M65" s="323"/>
      <c r="N65" s="323"/>
      <c r="O65" s="323"/>
      <c r="P65" s="323"/>
      <c r="Q65" s="323"/>
      <c r="R65" s="323"/>
      <c r="S65" s="323"/>
      <c r="T65" s="323"/>
      <c r="U65" s="324"/>
    </row>
    <row r="66" spans="1:21" ht="17.25" thickBot="1" x14ac:dyDescent="0.35">
      <c r="A66" s="322" t="str">
        <f>A34</f>
        <v>04-03-2022</v>
      </c>
      <c r="B66" s="323"/>
      <c r="C66" s="323"/>
      <c r="D66" s="323"/>
      <c r="E66" s="323"/>
      <c r="F66" s="323"/>
      <c r="G66" s="324"/>
      <c r="H66" s="325" t="s">
        <v>49</v>
      </c>
      <c r="I66" s="326"/>
      <c r="J66" s="322" t="str">
        <f>J34</f>
        <v>MIX</v>
      </c>
      <c r="K66" s="324"/>
      <c r="L66" s="326" t="s">
        <v>50</v>
      </c>
      <c r="M66" s="327"/>
      <c r="N66" s="325"/>
      <c r="O66" s="323" t="str">
        <f>O34</f>
        <v>JOHN</v>
      </c>
      <c r="P66" s="323"/>
      <c r="Q66" s="324"/>
      <c r="R66" s="326" t="s">
        <v>51</v>
      </c>
      <c r="S66" s="325"/>
      <c r="T66" s="314">
        <f>T34</f>
        <v>6</v>
      </c>
      <c r="U66" s="314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15" t="s">
        <v>8</v>
      </c>
      <c r="P68" s="315"/>
      <c r="Q68" s="31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89"/>
      <c r="P69" s="288"/>
      <c r="Q69" s="290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6"/>
      <c r="P70" s="317"/>
      <c r="Q70" s="318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89"/>
      <c r="P71" s="288"/>
      <c r="Q71" s="290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9"/>
      <c r="P72" s="320"/>
      <c r="Q72" s="321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9"/>
      <c r="P73" s="320"/>
      <c r="Q73" s="321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11"/>
      <c r="P74" s="312"/>
      <c r="Q74" s="313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89"/>
      <c r="P75" s="288"/>
      <c r="Q75" s="290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89"/>
      <c r="P76" s="288"/>
      <c r="Q76" s="290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89"/>
      <c r="P77" s="288"/>
      <c r="Q77" s="290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89"/>
      <c r="P78" s="288"/>
      <c r="Q78" s="290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89"/>
      <c r="P79" s="288"/>
      <c r="Q79" s="290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89"/>
      <c r="P80" s="288"/>
      <c r="Q80" s="290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89"/>
      <c r="P81" s="288"/>
      <c r="Q81" s="290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89"/>
      <c r="P82" s="288"/>
      <c r="Q82" s="290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89"/>
      <c r="P83" s="288"/>
      <c r="Q83" s="288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89"/>
      <c r="P84" s="288"/>
      <c r="Q84" s="288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0"/>
      <c r="P85" s="289"/>
      <c r="Q85" s="289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0"/>
      <c r="P86" s="289"/>
      <c r="Q86" s="289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0"/>
      <c r="P87" s="289"/>
      <c r="Q87" s="289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88"/>
      <c r="P88" s="288"/>
      <c r="Q88" s="288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89"/>
      <c r="P89" s="288"/>
      <c r="Q89" s="288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88"/>
      <c r="P90" s="288"/>
      <c r="Q90" s="288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88"/>
      <c r="P91" s="288"/>
      <c r="Q91" s="288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89"/>
      <c r="P92" s="288"/>
      <c r="Q92" s="290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291"/>
      <c r="P93" s="292"/>
      <c r="Q93" s="293"/>
      <c r="R93" s="81"/>
      <c r="S93" s="68"/>
      <c r="T93" s="68"/>
      <c r="U93" s="77"/>
    </row>
    <row r="94" spans="1:21" x14ac:dyDescent="0.3">
      <c r="A94" s="294" t="s">
        <v>48</v>
      </c>
      <c r="B94" s="295"/>
      <c r="C94" s="295"/>
      <c r="D94" s="295"/>
      <c r="E94" s="296"/>
      <c r="F94" s="295"/>
      <c r="G94" s="295"/>
      <c r="H94" s="295">
        <f t="shared" ref="H94:M94" si="12">SUM(H69:H93)</f>
        <v>0</v>
      </c>
      <c r="I94" s="301">
        <f t="shared" si="12"/>
        <v>0</v>
      </c>
      <c r="J94" s="301">
        <f>J93+J92+J91+J90+J89+J88+J87+J86+J85+J84+J83+J82+J81+J80+J79+J78+J77+J76+J75+J74+J73+J72+J71+J70+J69</f>
        <v>0</v>
      </c>
      <c r="K94" s="301">
        <f>K93+K92+K91+K90+K89+K88+K87+K86+K85+K84+K83+K82+K81+K80+K79+K78+K77+K76+K75+K74+K73+K72+K71+K70+K69</f>
        <v>0</v>
      </c>
      <c r="L94" s="304">
        <f t="shared" si="12"/>
        <v>0</v>
      </c>
      <c r="M94" s="307">
        <f t="shared" si="12"/>
        <v>0</v>
      </c>
      <c r="N94" s="276"/>
      <c r="O94" s="277"/>
      <c r="P94" s="277"/>
      <c r="Q94" s="278"/>
      <c r="R94" s="5"/>
      <c r="S94" s="6"/>
      <c r="T94" s="7"/>
      <c r="U94" s="8"/>
    </row>
    <row r="95" spans="1:21" ht="17.25" thickBot="1" x14ac:dyDescent="0.35">
      <c r="A95" s="297"/>
      <c r="B95" s="298"/>
      <c r="C95" s="298"/>
      <c r="D95" s="298"/>
      <c r="E95" s="298"/>
      <c r="F95" s="298"/>
      <c r="G95" s="298"/>
      <c r="H95" s="298"/>
      <c r="I95" s="302"/>
      <c r="J95" s="302"/>
      <c r="K95" s="302"/>
      <c r="L95" s="305"/>
      <c r="M95" s="308"/>
      <c r="N95" s="279"/>
      <c r="O95" s="280"/>
      <c r="P95" s="280"/>
      <c r="Q95" s="281"/>
      <c r="R95" s="1"/>
      <c r="S95" s="2"/>
      <c r="T95" s="3"/>
      <c r="U95" s="4"/>
    </row>
    <row r="96" spans="1:21" ht="17.25" thickBot="1" x14ac:dyDescent="0.35">
      <c r="A96" s="299"/>
      <c r="B96" s="300"/>
      <c r="C96" s="300"/>
      <c r="D96" s="300"/>
      <c r="E96" s="300"/>
      <c r="F96" s="300"/>
      <c r="G96" s="300"/>
      <c r="H96" s="300"/>
      <c r="I96" s="303"/>
      <c r="J96" s="303"/>
      <c r="K96" s="303"/>
      <c r="L96" s="306"/>
      <c r="M96" s="309"/>
      <c r="N96" s="282"/>
      <c r="O96" s="283"/>
      <c r="P96" s="283"/>
      <c r="Q96" s="284"/>
      <c r="R96" s="285" t="s">
        <v>52</v>
      </c>
      <c r="S96" s="286"/>
      <c r="T96" s="286"/>
      <c r="U96" s="287"/>
    </row>
  </sheetData>
  <mergeCells count="131">
    <mergeCell ref="R96:U96"/>
    <mergeCell ref="O86:Q86"/>
    <mergeCell ref="O87:Q87"/>
    <mergeCell ref="O88:Q88"/>
    <mergeCell ref="O89:Q89"/>
    <mergeCell ref="O90:Q90"/>
    <mergeCell ref="O91:Q91"/>
    <mergeCell ref="O92:Q92"/>
    <mergeCell ref="O93:Q93"/>
    <mergeCell ref="A94:G96"/>
    <mergeCell ref="M94:M96"/>
    <mergeCell ref="N94:Q96"/>
    <mergeCell ref="O73:Q73"/>
    <mergeCell ref="O74:Q74"/>
    <mergeCell ref="O75:Q75"/>
    <mergeCell ref="O76:Q76"/>
    <mergeCell ref="O77:Q77"/>
    <mergeCell ref="O78:Q78"/>
    <mergeCell ref="O79:Q79"/>
    <mergeCell ref="O80:Q80"/>
    <mergeCell ref="O81:Q81"/>
    <mergeCell ref="A62:G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A32:B32"/>
    <mergeCell ref="O29:Q29"/>
    <mergeCell ref="R29:T29"/>
    <mergeCell ref="A30:G30"/>
    <mergeCell ref="R30:T30"/>
    <mergeCell ref="A31:G31"/>
    <mergeCell ref="T31:U32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O38:Q38"/>
    <mergeCell ref="O39:Q39"/>
    <mergeCell ref="O40:Q40"/>
    <mergeCell ref="O41:Q41"/>
    <mergeCell ref="O42:Q42"/>
    <mergeCell ref="O52:Q52"/>
    <mergeCell ref="O53:Q53"/>
    <mergeCell ref="O54:Q54"/>
    <mergeCell ref="O43:Q43"/>
    <mergeCell ref="O44:Q44"/>
    <mergeCell ref="O45:Q45"/>
    <mergeCell ref="O46:Q46"/>
    <mergeCell ref="O47:Q47"/>
    <mergeCell ref="O48:Q48"/>
    <mergeCell ref="O49:Q49"/>
    <mergeCell ref="O50:Q50"/>
    <mergeCell ref="O51:Q51"/>
    <mergeCell ref="O55:Q55"/>
    <mergeCell ref="O56:Q56"/>
    <mergeCell ref="O57:Q57"/>
    <mergeCell ref="O58:Q58"/>
    <mergeCell ref="O59:Q59"/>
    <mergeCell ref="L62:L64"/>
    <mergeCell ref="H62:H64"/>
    <mergeCell ref="I62:I64"/>
    <mergeCell ref="J62:J64"/>
    <mergeCell ref="K62:K64"/>
    <mergeCell ref="O60:Q60"/>
    <mergeCell ref="O61:Q61"/>
    <mergeCell ref="O68:Q68"/>
    <mergeCell ref="O69:Q69"/>
    <mergeCell ref="O70:Q70"/>
    <mergeCell ref="O71:Q71"/>
    <mergeCell ref="O72:Q72"/>
    <mergeCell ref="H94:H96"/>
    <mergeCell ref="I94:I96"/>
    <mergeCell ref="J94:J96"/>
    <mergeCell ref="K94:K96"/>
    <mergeCell ref="L94:L96"/>
    <mergeCell ref="O82:Q82"/>
    <mergeCell ref="O83:Q83"/>
    <mergeCell ref="O84:Q84"/>
    <mergeCell ref="O85:Q85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O17:Q17"/>
    <mergeCell ref="O18:Q18"/>
    <mergeCell ref="O19:Q19"/>
    <mergeCell ref="O20:Q20"/>
    <mergeCell ref="O21:Q21"/>
    <mergeCell ref="O22:Q22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</mergeCells>
  <phoneticPr fontId="4" type="noConversion"/>
  <dataValidations disablePrompts="1" count="1">
    <dataValidation type="list" allowBlank="1" showInputMessage="1" showErrorMessage="1" sqref="X7 W5 E69:E93 E37:E61 E5:E29" xr:uid="{DA9C176D-DD96-4736-AD53-7117EC96291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AR96"/>
  <sheetViews>
    <sheetView zoomScaleNormal="100" zoomScaleSheetLayoutView="77" workbookViewId="0">
      <selection activeCell="R5" sqref="R5:R9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22" t="s">
        <v>77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4"/>
    </row>
    <row r="2" spans="1:44" ht="17.25" thickBot="1" x14ac:dyDescent="0.35">
      <c r="A2" s="322" t="s">
        <v>102</v>
      </c>
      <c r="B2" s="323"/>
      <c r="C2" s="323"/>
      <c r="D2" s="323"/>
      <c r="E2" s="323"/>
      <c r="F2" s="323"/>
      <c r="G2" s="324"/>
      <c r="H2" s="325" t="s">
        <v>49</v>
      </c>
      <c r="I2" s="326"/>
      <c r="J2" s="322" t="s">
        <v>231</v>
      </c>
      <c r="K2" s="324"/>
      <c r="L2" s="326" t="s">
        <v>96</v>
      </c>
      <c r="M2" s="327"/>
      <c r="N2" s="325"/>
      <c r="O2" s="323" t="s">
        <v>140</v>
      </c>
      <c r="P2" s="323"/>
      <c r="Q2" s="324"/>
      <c r="R2" s="326" t="s">
        <v>51</v>
      </c>
      <c r="S2" s="325"/>
      <c r="T2" s="314">
        <v>6</v>
      </c>
      <c r="U2" s="314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15" t="s">
        <v>8</v>
      </c>
      <c r="P4" s="315"/>
      <c r="Q4" s="31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4340</v>
      </c>
      <c r="C5" s="68" t="s">
        <v>208</v>
      </c>
      <c r="D5" s="200" t="s">
        <v>209</v>
      </c>
      <c r="E5" s="181" t="s">
        <v>91</v>
      </c>
      <c r="F5" s="170">
        <v>910</v>
      </c>
      <c r="G5" s="118" t="s">
        <v>136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140</v>
      </c>
      <c r="O5" s="361"/>
      <c r="P5" s="362"/>
      <c r="Q5" s="363"/>
      <c r="R5" s="33" t="s">
        <v>121</v>
      </c>
      <c r="S5" s="31">
        <v>0.33333333333333331</v>
      </c>
      <c r="T5" s="32">
        <v>0.72916666666666663</v>
      </c>
      <c r="U5" s="92">
        <f t="shared" ref="U5:U15" si="0">(T5-S5)*24</f>
        <v>9.5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4341</v>
      </c>
      <c r="C6" s="67" t="s">
        <v>210</v>
      </c>
      <c r="D6" s="200" t="s">
        <v>211</v>
      </c>
      <c r="E6" s="181" t="s">
        <v>106</v>
      </c>
      <c r="F6" s="171">
        <v>1005</v>
      </c>
      <c r="G6" s="118" t="s">
        <v>212</v>
      </c>
      <c r="H6" s="91"/>
      <c r="I6" s="124">
        <v>380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140</v>
      </c>
      <c r="O6" s="316" t="s">
        <v>213</v>
      </c>
      <c r="P6" s="317"/>
      <c r="Q6" s="318"/>
      <c r="R6" s="132" t="s">
        <v>122</v>
      </c>
      <c r="S6" s="31">
        <v>0.33333333333333331</v>
      </c>
      <c r="T6" s="32">
        <v>0.72916666666666663</v>
      </c>
      <c r="U6" s="92">
        <f t="shared" si="0"/>
        <v>9.5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4342</v>
      </c>
      <c r="C7" s="67" t="s">
        <v>214</v>
      </c>
      <c r="D7" s="200" t="s">
        <v>215</v>
      </c>
      <c r="E7" s="181" t="s">
        <v>110</v>
      </c>
      <c r="F7" s="171">
        <v>1025</v>
      </c>
      <c r="G7" s="118" t="s">
        <v>212</v>
      </c>
      <c r="H7" s="91">
        <v>490</v>
      </c>
      <c r="I7" s="124"/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140</v>
      </c>
      <c r="O7" s="289"/>
      <c r="P7" s="288"/>
      <c r="Q7" s="290"/>
      <c r="R7" s="26" t="s">
        <v>145</v>
      </c>
      <c r="S7" s="31">
        <v>0.33333333333333331</v>
      </c>
      <c r="T7" s="32">
        <v>0.72916666666666663</v>
      </c>
      <c r="U7" s="92">
        <f t="shared" si="0"/>
        <v>9.5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4343</v>
      </c>
      <c r="C8" s="27" t="s">
        <v>216</v>
      </c>
      <c r="D8" s="200" t="s">
        <v>217</v>
      </c>
      <c r="E8" s="181" t="s">
        <v>91</v>
      </c>
      <c r="F8" s="171">
        <v>1100</v>
      </c>
      <c r="G8" s="118" t="s">
        <v>44</v>
      </c>
      <c r="H8" s="91"/>
      <c r="I8" s="124">
        <v>45</v>
      </c>
      <c r="J8" s="130" t="str">
        <f t="shared" si="1"/>
        <v>55</v>
      </c>
      <c r="K8" s="130" t="str">
        <f t="shared" si="2"/>
        <v>0</v>
      </c>
      <c r="L8" s="131"/>
      <c r="M8" s="131"/>
      <c r="N8" s="134" t="s">
        <v>140</v>
      </c>
      <c r="O8" s="319" t="s">
        <v>218</v>
      </c>
      <c r="P8" s="320"/>
      <c r="Q8" s="321"/>
      <c r="R8" s="26" t="s">
        <v>186</v>
      </c>
      <c r="S8" s="31">
        <v>0.41666666666666669</v>
      </c>
      <c r="T8" s="32">
        <v>0.63541666666666663</v>
      </c>
      <c r="U8" s="92">
        <f t="shared" si="0"/>
        <v>5.2499999999999982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267">
        <v>4344</v>
      </c>
      <c r="C9" s="268" t="s">
        <v>221</v>
      </c>
      <c r="D9" s="269" t="s">
        <v>222</v>
      </c>
      <c r="E9" s="270" t="s">
        <v>91</v>
      </c>
      <c r="F9" s="271">
        <v>1115</v>
      </c>
      <c r="G9" s="272" t="s">
        <v>223</v>
      </c>
      <c r="H9" s="273"/>
      <c r="I9" s="273"/>
      <c r="J9" s="273" t="str">
        <f t="shared" si="1"/>
        <v>0</v>
      </c>
      <c r="K9" s="273" t="str">
        <f t="shared" si="2"/>
        <v>45.8</v>
      </c>
      <c r="L9" s="274"/>
      <c r="M9" s="274">
        <v>375</v>
      </c>
      <c r="N9" s="268" t="s">
        <v>140</v>
      </c>
      <c r="O9" s="364" t="s">
        <v>224</v>
      </c>
      <c r="P9" s="365"/>
      <c r="Q9" s="366"/>
      <c r="R9" s="26" t="s">
        <v>187</v>
      </c>
      <c r="S9" s="31">
        <v>0.41666666666666669</v>
      </c>
      <c r="T9" s="32">
        <v>0.63541666666666663</v>
      </c>
      <c r="U9" s="92">
        <f t="shared" si="0"/>
        <v>5.2499999999999982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4345</v>
      </c>
      <c r="C10" s="63" t="s">
        <v>219</v>
      </c>
      <c r="D10" s="201" t="s">
        <v>220</v>
      </c>
      <c r="E10" s="181" t="s">
        <v>92</v>
      </c>
      <c r="F10" s="172">
        <v>1130</v>
      </c>
      <c r="G10" s="119" t="s">
        <v>144</v>
      </c>
      <c r="H10" s="91"/>
      <c r="I10" s="91">
        <v>200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140</v>
      </c>
      <c r="O10" s="311"/>
      <c r="P10" s="312"/>
      <c r="Q10" s="313"/>
      <c r="R10" s="26" t="s">
        <v>232</v>
      </c>
      <c r="S10" s="31">
        <v>0.41666666666666669</v>
      </c>
      <c r="T10" s="32">
        <v>0.63541666666666663</v>
      </c>
      <c r="U10" s="92">
        <f t="shared" si="0"/>
        <v>5.2499999999999982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4346</v>
      </c>
      <c r="C11" s="18" t="s">
        <v>225</v>
      </c>
      <c r="D11" s="203" t="s">
        <v>226</v>
      </c>
      <c r="E11" s="181" t="s">
        <v>91</v>
      </c>
      <c r="F11" s="66">
        <v>1130</v>
      </c>
      <c r="G11" s="121" t="s">
        <v>136</v>
      </c>
      <c r="H11" s="123"/>
      <c r="I11" s="124">
        <v>95</v>
      </c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140</v>
      </c>
      <c r="O11" s="289"/>
      <c r="P11" s="288"/>
      <c r="Q11" s="290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4347</v>
      </c>
      <c r="C12" s="64" t="s">
        <v>227</v>
      </c>
      <c r="D12" s="204" t="s">
        <v>228</v>
      </c>
      <c r="E12" s="181" t="s">
        <v>91</v>
      </c>
      <c r="F12" s="173">
        <v>1205</v>
      </c>
      <c r="G12" s="119" t="s">
        <v>136</v>
      </c>
      <c r="H12" s="123"/>
      <c r="I12" s="125">
        <v>85</v>
      </c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140</v>
      </c>
      <c r="O12" s="289"/>
      <c r="P12" s="288"/>
      <c r="Q12" s="29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4348</v>
      </c>
      <c r="C13" s="64" t="s">
        <v>229</v>
      </c>
      <c r="D13" s="204" t="s">
        <v>230</v>
      </c>
      <c r="E13" s="181" t="s">
        <v>91</v>
      </c>
      <c r="F13" s="173">
        <v>1210</v>
      </c>
      <c r="G13" s="119" t="s">
        <v>136</v>
      </c>
      <c r="H13" s="169"/>
      <c r="I13" s="168">
        <v>95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140</v>
      </c>
      <c r="O13" s="289"/>
      <c r="P13" s="288"/>
      <c r="Q13" s="29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>
        <v>4349</v>
      </c>
      <c r="C14" s="65" t="s">
        <v>233</v>
      </c>
      <c r="D14" s="205" t="s">
        <v>234</v>
      </c>
      <c r="E14" s="181" t="s">
        <v>92</v>
      </c>
      <c r="F14" s="174">
        <v>1240</v>
      </c>
      <c r="G14" s="122" t="s">
        <v>223</v>
      </c>
      <c r="H14" s="123"/>
      <c r="I14" s="125"/>
      <c r="J14" s="130" t="str">
        <f t="shared" si="1"/>
        <v>0</v>
      </c>
      <c r="K14" s="130" t="str">
        <f t="shared" si="2"/>
        <v>45.8</v>
      </c>
      <c r="L14" s="131"/>
      <c r="M14" s="131"/>
      <c r="N14" s="134" t="s">
        <v>140</v>
      </c>
      <c r="O14" s="289" t="s">
        <v>235</v>
      </c>
      <c r="P14" s="288"/>
      <c r="Q14" s="29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>
        <v>4350</v>
      </c>
      <c r="C15" s="65" t="s">
        <v>236</v>
      </c>
      <c r="D15" s="205" t="s">
        <v>237</v>
      </c>
      <c r="E15" s="181" t="s">
        <v>91</v>
      </c>
      <c r="F15" s="174">
        <v>1520</v>
      </c>
      <c r="G15" s="122" t="s">
        <v>157</v>
      </c>
      <c r="H15" s="123"/>
      <c r="I15" s="124">
        <v>300</v>
      </c>
      <c r="J15" s="130" t="str">
        <f t="shared" si="1"/>
        <v>0</v>
      </c>
      <c r="K15" s="130" t="str">
        <f t="shared" si="2"/>
        <v>0</v>
      </c>
      <c r="L15" s="131"/>
      <c r="M15" s="131"/>
      <c r="N15" s="134" t="s">
        <v>140</v>
      </c>
      <c r="O15" s="289"/>
      <c r="P15" s="288"/>
      <c r="Q15" s="29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>
        <v>4351</v>
      </c>
      <c r="C16" s="65" t="s">
        <v>238</v>
      </c>
      <c r="D16" s="205" t="s">
        <v>239</v>
      </c>
      <c r="E16" s="181" t="s">
        <v>91</v>
      </c>
      <c r="F16" s="174">
        <v>1540</v>
      </c>
      <c r="G16" s="122" t="s">
        <v>111</v>
      </c>
      <c r="H16" s="123"/>
      <c r="I16" s="124">
        <v>150</v>
      </c>
      <c r="J16" s="130" t="str">
        <f t="shared" si="1"/>
        <v>0</v>
      </c>
      <c r="K16" s="130" t="str">
        <f t="shared" si="2"/>
        <v>0</v>
      </c>
      <c r="L16" s="131"/>
      <c r="M16" s="131"/>
      <c r="N16" s="134" t="s">
        <v>140</v>
      </c>
      <c r="O16" s="289"/>
      <c r="P16" s="288"/>
      <c r="Q16" s="290"/>
      <c r="R16" s="82">
        <f>H32/U16</f>
        <v>0.31638418079096048</v>
      </c>
      <c r="S16" s="83">
        <f>H32/(U16-U5)</f>
        <v>0.40287769784172661</v>
      </c>
      <c r="T16" s="83">
        <f>C32/U16</f>
        <v>53.256497175141241</v>
      </c>
      <c r="U16" s="83">
        <f>SUM(U5:U15)</f>
        <v>44.25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>
        <v>4352</v>
      </c>
      <c r="C17" s="18" t="s">
        <v>240</v>
      </c>
      <c r="D17" s="203" t="s">
        <v>241</v>
      </c>
      <c r="E17" s="181" t="s">
        <v>91</v>
      </c>
      <c r="F17" s="66">
        <v>1555</v>
      </c>
      <c r="G17" s="121" t="s">
        <v>136</v>
      </c>
      <c r="H17" s="123"/>
      <c r="I17" s="124">
        <v>95</v>
      </c>
      <c r="J17" s="130" t="str">
        <f t="shared" si="1"/>
        <v>0</v>
      </c>
      <c r="K17" s="130" t="str">
        <f t="shared" si="2"/>
        <v>0</v>
      </c>
      <c r="L17" s="131"/>
      <c r="M17" s="131"/>
      <c r="N17" s="134" t="s">
        <v>140</v>
      </c>
      <c r="O17" s="289"/>
      <c r="P17" s="288"/>
      <c r="Q17" s="29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>
        <v>4353</v>
      </c>
      <c r="C18" s="18" t="s">
        <v>242</v>
      </c>
      <c r="D18" s="203" t="s">
        <v>243</v>
      </c>
      <c r="E18" s="181" t="s">
        <v>92</v>
      </c>
      <c r="F18" s="66">
        <v>1620</v>
      </c>
      <c r="G18" s="20" t="s">
        <v>207</v>
      </c>
      <c r="H18" s="123"/>
      <c r="I18" s="124">
        <v>180</v>
      </c>
      <c r="J18" s="130" t="str">
        <f t="shared" si="1"/>
        <v>0</v>
      </c>
      <c r="K18" s="130" t="str">
        <f t="shared" si="2"/>
        <v>0</v>
      </c>
      <c r="L18" s="131"/>
      <c r="M18" s="131"/>
      <c r="N18" s="134" t="s">
        <v>140</v>
      </c>
      <c r="O18" s="289"/>
      <c r="P18" s="288"/>
      <c r="Q18" s="29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289"/>
      <c r="P19" s="288"/>
      <c r="Q19" s="288"/>
      <c r="R19" s="93" t="s">
        <v>45</v>
      </c>
      <c r="S19" s="94">
        <f>COUNT(L5:M29,L37:M61,L69:M93)</f>
        <v>1</v>
      </c>
      <c r="T19" s="116">
        <f>SUM(L5:M29,L37:M61,L69:M93)</f>
        <v>375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57"/>
      <c r="P20" s="358"/>
      <c r="Q20" s="35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89"/>
      <c r="P21" s="288"/>
      <c r="Q21" s="28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89"/>
      <c r="P22" s="288"/>
      <c r="Q22" s="29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55"/>
      <c r="Y23" s="356"/>
      <c r="Z23" s="356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89"/>
      <c r="P24" s="288"/>
      <c r="Q24" s="29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89"/>
      <c r="P25" s="288"/>
      <c r="Q25" s="29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59">
        <f>((C32+(R26+S26+T26)*0.5))</f>
        <v>2356.6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89"/>
      <c r="P26" s="288"/>
      <c r="Q26" s="290"/>
      <c r="R26" s="112">
        <f>R25*37.5</f>
        <v>0</v>
      </c>
      <c r="S26" s="102">
        <f>S25*41.5</f>
        <v>0</v>
      </c>
      <c r="T26" s="102">
        <f>T25*50</f>
        <v>0</v>
      </c>
      <c r="U26" s="36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89"/>
      <c r="P27" s="288"/>
      <c r="Q27" s="290"/>
      <c r="R27" s="352" t="s">
        <v>56</v>
      </c>
      <c r="S27" s="353"/>
      <c r="T27" s="353"/>
      <c r="U27" s="35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89"/>
      <c r="P28" s="288"/>
      <c r="Q28" s="290"/>
      <c r="R28" s="345"/>
      <c r="S28" s="346"/>
      <c r="T28" s="34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2"/>
      <c r="P29" s="333"/>
      <c r="Q29" s="334"/>
      <c r="R29" s="335"/>
      <c r="S29" s="336"/>
      <c r="T29" s="33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38" t="s">
        <v>48</v>
      </c>
      <c r="B30" s="339"/>
      <c r="C30" s="339"/>
      <c r="D30" s="339"/>
      <c r="E30" s="340"/>
      <c r="F30" s="339"/>
      <c r="G30" s="339"/>
      <c r="H30" s="264">
        <f t="shared" ref="H30:M30" si="3">SUM(H5:H29)</f>
        <v>490</v>
      </c>
      <c r="I30" s="105">
        <f>SUM(I5:I29)</f>
        <v>1720</v>
      </c>
      <c r="J30" s="105">
        <f>J5+J6+J7+J8+J9+J10+J11+J12+J13+J14+J15+J16+J18+J19+J17+J20+J22+J23+J21+J24+J25+J26+J27+J28+J29</f>
        <v>55</v>
      </c>
      <c r="K30" s="105">
        <f>K5+K6+K7+K8+K9+K10+K11+K12+K13+K14+K15+K16+K18+K19+K17+K20+K22+K23+K21+K24+K25+K26+K27+K28+K29</f>
        <v>91.6</v>
      </c>
      <c r="L30" s="106">
        <f t="shared" si="3"/>
        <v>0</v>
      </c>
      <c r="M30" s="106">
        <f t="shared" si="3"/>
        <v>375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1"/>
      <c r="S30" s="341"/>
      <c r="T30" s="34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3" t="s">
        <v>16</v>
      </c>
      <c r="B31" s="344"/>
      <c r="C31" s="344"/>
      <c r="D31" s="344"/>
      <c r="E31" s="344"/>
      <c r="F31" s="344"/>
      <c r="G31" s="344"/>
      <c r="H31" s="265">
        <f t="shared" ref="H31:J31" si="4">H30+H62+H94</f>
        <v>490</v>
      </c>
      <c r="I31" s="103">
        <f t="shared" si="4"/>
        <v>1720</v>
      </c>
      <c r="J31" s="103">
        <f t="shared" si="4"/>
        <v>55</v>
      </c>
      <c r="K31" s="103">
        <f>K30+K62+K94</f>
        <v>91.6</v>
      </c>
      <c r="L31" s="97">
        <f>L30+L62+L94</f>
        <v>0</v>
      </c>
      <c r="M31" s="97">
        <f>M30+M62+M94</f>
        <v>375</v>
      </c>
      <c r="N31" s="262">
        <f>COUNT(H5:H29,H37:H61,H69:H93)</f>
        <v>1</v>
      </c>
      <c r="O31" s="104">
        <f>COUNT(I5:I29,I37:I61,I69:I93)</f>
        <v>11</v>
      </c>
      <c r="P31" s="104">
        <f>COUNTIF(G5:G29,"G*")+COUNTIF(G37:G61,"G*")+COUNTIF(G69:G93,"G*")+COUNTIF(G5:G29,"P*")+COUNTIF(G37:G61,"P*")+COUNTIF(G69:G93,"P*")</f>
        <v>2</v>
      </c>
      <c r="Q31" s="117">
        <f>COUNTIF(G5:G29,"RSL")+COUNTIF(G37:G61,"RSL")+COUNTIF(G69:G93,"RSL")</f>
        <v>1</v>
      </c>
      <c r="R31" s="98" t="s">
        <v>83</v>
      </c>
      <c r="S31" s="111">
        <f>H31+L31-U28-U29-U30</f>
        <v>490</v>
      </c>
      <c r="T31" s="328">
        <f>H31+I31+L31+M31</f>
        <v>2585</v>
      </c>
      <c r="U31" s="32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48" t="s">
        <v>55</v>
      </c>
      <c r="B32" s="349"/>
      <c r="C32" s="107">
        <f>H31+I31+J31+K31</f>
        <v>2356.6</v>
      </c>
      <c r="D32" s="196"/>
      <c r="E32" s="107"/>
      <c r="F32" s="350" t="s">
        <v>53</v>
      </c>
      <c r="G32" s="350"/>
      <c r="H32" s="109">
        <f>COUNT(B5:B29,B37:B61,B69:B93)</f>
        <v>14</v>
      </c>
      <c r="I32" s="351" t="s">
        <v>54</v>
      </c>
      <c r="J32" s="351"/>
      <c r="K32" s="108">
        <f>C32/H32</f>
        <v>168.32857142857142</v>
      </c>
      <c r="L32" s="260"/>
      <c r="M32" s="260"/>
      <c r="N32" s="260">
        <f>H31/C32</f>
        <v>0.20792667402189596</v>
      </c>
      <c r="O32" s="260">
        <f>I31/C32</f>
        <v>0.72986505983196137</v>
      </c>
      <c r="P32" s="260">
        <f>K31/C32</f>
        <v>3.8869557837562588E-2</v>
      </c>
      <c r="Q32" s="110">
        <f>J31/C32</f>
        <v>2.3338708308580158E-2</v>
      </c>
      <c r="R32" s="99" t="s">
        <v>82</v>
      </c>
      <c r="S32" s="266">
        <f>I31+M31</f>
        <v>2095</v>
      </c>
      <c r="T32" s="330"/>
      <c r="U32" s="331"/>
      <c r="V32" s="55"/>
      <c r="W32" s="55"/>
      <c r="X32" s="56" t="s">
        <v>27</v>
      </c>
      <c r="Y32" s="56"/>
      <c r="Z32" s="54">
        <f>I31</f>
        <v>1720</v>
      </c>
      <c r="AE32" s="37"/>
      <c r="AF32" s="37"/>
      <c r="AG32" s="37"/>
      <c r="AH32" s="37"/>
    </row>
    <row r="33" spans="1:34" ht="17.25" thickBot="1" x14ac:dyDescent="0.35">
      <c r="A33" s="282" t="s">
        <v>24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323"/>
      <c r="U33" s="324"/>
      <c r="X33" s="57" t="s">
        <v>29</v>
      </c>
      <c r="Y33" s="57"/>
      <c r="Z33" s="58">
        <f>SUM(Z31:Z32)</f>
        <v>-1025</v>
      </c>
      <c r="AE33" s="37"/>
      <c r="AF33" s="37"/>
      <c r="AG33" s="59"/>
      <c r="AH33" s="37"/>
    </row>
    <row r="34" spans="1:34" ht="17.25" thickBot="1" x14ac:dyDescent="0.35">
      <c r="A34" s="322" t="str">
        <f>A2</f>
        <v>05-03-2022</v>
      </c>
      <c r="B34" s="323"/>
      <c r="C34" s="323"/>
      <c r="D34" s="323"/>
      <c r="E34" s="323"/>
      <c r="F34" s="323"/>
      <c r="G34" s="324"/>
      <c r="H34" s="325" t="s">
        <v>49</v>
      </c>
      <c r="I34" s="326"/>
      <c r="J34" s="322" t="str">
        <f>J2</f>
        <v>CLOUDY</v>
      </c>
      <c r="K34" s="324"/>
      <c r="L34" s="326" t="s">
        <v>50</v>
      </c>
      <c r="M34" s="327"/>
      <c r="N34" s="325"/>
      <c r="O34" s="323" t="str">
        <f>O2</f>
        <v>JOHN</v>
      </c>
      <c r="P34" s="323"/>
      <c r="Q34" s="324"/>
      <c r="R34" s="326" t="s">
        <v>51</v>
      </c>
      <c r="S34" s="325"/>
      <c r="T34" s="314">
        <f>T2</f>
        <v>6</v>
      </c>
      <c r="U34" s="314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15" t="s">
        <v>8</v>
      </c>
      <c r="P36" s="315"/>
      <c r="Q36" s="31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89"/>
      <c r="P37" s="288"/>
      <c r="Q37" s="290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6"/>
      <c r="P38" s="317"/>
      <c r="Q38" s="318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89"/>
      <c r="P39" s="288"/>
      <c r="Q39" s="290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9"/>
      <c r="P40" s="320"/>
      <c r="Q40" s="321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9"/>
      <c r="P41" s="320"/>
      <c r="Q41" s="321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11"/>
      <c r="P42" s="312"/>
      <c r="Q42" s="313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89"/>
      <c r="P43" s="288"/>
      <c r="Q43" s="290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89"/>
      <c r="P44" s="288"/>
      <c r="Q44" s="290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89"/>
      <c r="P45" s="288"/>
      <c r="Q45" s="290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89"/>
      <c r="P46" s="288"/>
      <c r="Q46" s="290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89"/>
      <c r="P47" s="288"/>
      <c r="Q47" s="290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89"/>
      <c r="P48" s="288"/>
      <c r="Q48" s="290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89"/>
      <c r="P49" s="288"/>
      <c r="Q49" s="290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89"/>
      <c r="P50" s="288"/>
      <c r="Q50" s="290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89"/>
      <c r="P51" s="288"/>
      <c r="Q51" s="288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89"/>
      <c r="P52" s="288"/>
      <c r="Q52" s="288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0"/>
      <c r="P53" s="289"/>
      <c r="Q53" s="289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0"/>
      <c r="P54" s="289"/>
      <c r="Q54" s="289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0"/>
      <c r="P55" s="289"/>
      <c r="Q55" s="289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88"/>
      <c r="P56" s="288"/>
      <c r="Q56" s="288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89"/>
      <c r="P57" s="288"/>
      <c r="Q57" s="288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88"/>
      <c r="P58" s="288"/>
      <c r="Q58" s="288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88"/>
      <c r="P59" s="288"/>
      <c r="Q59" s="288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89"/>
      <c r="P60" s="288"/>
      <c r="Q60" s="290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291"/>
      <c r="P61" s="292"/>
      <c r="Q61" s="293"/>
      <c r="R61" s="81"/>
      <c r="S61" s="68"/>
      <c r="T61" s="68"/>
      <c r="U61" s="77"/>
    </row>
    <row r="62" spans="1:21" x14ac:dyDescent="0.3">
      <c r="A62" s="294" t="s">
        <v>48</v>
      </c>
      <c r="B62" s="295"/>
      <c r="C62" s="295"/>
      <c r="D62" s="295"/>
      <c r="E62" s="295"/>
      <c r="F62" s="295"/>
      <c r="G62" s="295"/>
      <c r="H62" s="295">
        <f t="shared" ref="H62:M62" si="8">SUM(H37:H61)</f>
        <v>0</v>
      </c>
      <c r="I62" s="301">
        <f t="shared" si="8"/>
        <v>0</v>
      </c>
      <c r="J62" s="301">
        <f>J61+J60+J59+J58+J57+J56+J55+J54+J53+J52+J51+J50+J49+J48+J47+J46+J45+J44+J43+J42+J41+J40+J39+J38+J37</f>
        <v>0</v>
      </c>
      <c r="K62" s="301">
        <f>K61+K60+K59+K58+K57+K56+K55+K54+K53+K52+K51+K50+K49+K48+K47+K46+K45+K44+K43+K42+K41+K40+K39+K38+K37</f>
        <v>0</v>
      </c>
      <c r="L62" s="304">
        <f t="shared" si="8"/>
        <v>0</v>
      </c>
      <c r="M62" s="307">
        <f t="shared" si="8"/>
        <v>0</v>
      </c>
      <c r="N62" s="276"/>
      <c r="O62" s="277"/>
      <c r="P62" s="277"/>
      <c r="Q62" s="278"/>
      <c r="R62" s="5"/>
      <c r="S62" s="6"/>
      <c r="T62" s="7"/>
      <c r="U62" s="8"/>
    </row>
    <row r="63" spans="1:21" ht="17.25" thickBot="1" x14ac:dyDescent="0.35">
      <c r="A63" s="297"/>
      <c r="B63" s="298"/>
      <c r="C63" s="298"/>
      <c r="D63" s="298"/>
      <c r="E63" s="298"/>
      <c r="F63" s="298"/>
      <c r="G63" s="298"/>
      <c r="H63" s="298"/>
      <c r="I63" s="302"/>
      <c r="J63" s="302"/>
      <c r="K63" s="302"/>
      <c r="L63" s="305"/>
      <c r="M63" s="308"/>
      <c r="N63" s="279"/>
      <c r="O63" s="280"/>
      <c r="P63" s="280"/>
      <c r="Q63" s="281"/>
      <c r="R63" s="1"/>
      <c r="S63" s="2"/>
      <c r="T63" s="3"/>
      <c r="U63" s="4"/>
    </row>
    <row r="64" spans="1:21" ht="17.25" thickBot="1" x14ac:dyDescent="0.35">
      <c r="A64" s="299"/>
      <c r="B64" s="300"/>
      <c r="C64" s="300"/>
      <c r="D64" s="300"/>
      <c r="E64" s="300"/>
      <c r="F64" s="300"/>
      <c r="G64" s="300"/>
      <c r="H64" s="300"/>
      <c r="I64" s="303"/>
      <c r="J64" s="303"/>
      <c r="K64" s="303"/>
      <c r="L64" s="306"/>
      <c r="M64" s="309"/>
      <c r="N64" s="282"/>
      <c r="O64" s="283"/>
      <c r="P64" s="283"/>
      <c r="Q64" s="284"/>
      <c r="R64" s="285" t="s">
        <v>17</v>
      </c>
      <c r="S64" s="286"/>
      <c r="T64" s="286"/>
      <c r="U64" s="287"/>
    </row>
    <row r="65" spans="1:21" ht="17.25" thickBot="1" x14ac:dyDescent="0.35">
      <c r="A65" s="322" t="s">
        <v>24</v>
      </c>
      <c r="B65" s="323"/>
      <c r="C65" s="323"/>
      <c r="D65" s="323"/>
      <c r="E65" s="323"/>
      <c r="F65" s="323"/>
      <c r="G65" s="323"/>
      <c r="H65" s="323"/>
      <c r="I65" s="323"/>
      <c r="J65" s="323"/>
      <c r="K65" s="323"/>
      <c r="L65" s="323"/>
      <c r="M65" s="323"/>
      <c r="N65" s="323"/>
      <c r="O65" s="323"/>
      <c r="P65" s="323"/>
      <c r="Q65" s="323"/>
      <c r="R65" s="323"/>
      <c r="S65" s="323"/>
      <c r="T65" s="323"/>
      <c r="U65" s="324"/>
    </row>
    <row r="66" spans="1:21" ht="17.25" thickBot="1" x14ac:dyDescent="0.35">
      <c r="A66" s="322" t="str">
        <f>A34</f>
        <v>05-03-2022</v>
      </c>
      <c r="B66" s="323"/>
      <c r="C66" s="323"/>
      <c r="D66" s="323"/>
      <c r="E66" s="323"/>
      <c r="F66" s="323"/>
      <c r="G66" s="324"/>
      <c r="H66" s="325" t="s">
        <v>49</v>
      </c>
      <c r="I66" s="326"/>
      <c r="J66" s="322" t="str">
        <f>J34</f>
        <v>CLOUDY</v>
      </c>
      <c r="K66" s="324"/>
      <c r="L66" s="326" t="s">
        <v>50</v>
      </c>
      <c r="M66" s="327"/>
      <c r="N66" s="325"/>
      <c r="O66" s="323" t="str">
        <f>O34</f>
        <v>JOHN</v>
      </c>
      <c r="P66" s="323"/>
      <c r="Q66" s="324"/>
      <c r="R66" s="326" t="s">
        <v>51</v>
      </c>
      <c r="S66" s="325"/>
      <c r="T66" s="314">
        <f>T34</f>
        <v>6</v>
      </c>
      <c r="U66" s="314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15" t="s">
        <v>8</v>
      </c>
      <c r="P68" s="315"/>
      <c r="Q68" s="31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89"/>
      <c r="P69" s="288"/>
      <c r="Q69" s="290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6"/>
      <c r="P70" s="317"/>
      <c r="Q70" s="318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89"/>
      <c r="P71" s="288"/>
      <c r="Q71" s="290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9"/>
      <c r="P72" s="320"/>
      <c r="Q72" s="321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9"/>
      <c r="P73" s="320"/>
      <c r="Q73" s="321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11"/>
      <c r="P74" s="312"/>
      <c r="Q74" s="313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89"/>
      <c r="P75" s="288"/>
      <c r="Q75" s="290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89"/>
      <c r="P76" s="288"/>
      <c r="Q76" s="290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89"/>
      <c r="P77" s="288"/>
      <c r="Q77" s="290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89"/>
      <c r="P78" s="288"/>
      <c r="Q78" s="290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89"/>
      <c r="P79" s="288"/>
      <c r="Q79" s="290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89"/>
      <c r="P80" s="288"/>
      <c r="Q80" s="290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89"/>
      <c r="P81" s="288"/>
      <c r="Q81" s="290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89"/>
      <c r="P82" s="288"/>
      <c r="Q82" s="290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89"/>
      <c r="P83" s="288"/>
      <c r="Q83" s="288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89"/>
      <c r="P84" s="288"/>
      <c r="Q84" s="288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0"/>
      <c r="P85" s="289"/>
      <c r="Q85" s="289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0"/>
      <c r="P86" s="289"/>
      <c r="Q86" s="289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0"/>
      <c r="P87" s="289"/>
      <c r="Q87" s="289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88"/>
      <c r="P88" s="288"/>
      <c r="Q88" s="288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89"/>
      <c r="P89" s="288"/>
      <c r="Q89" s="288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88"/>
      <c r="P90" s="288"/>
      <c r="Q90" s="288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88"/>
      <c r="P91" s="288"/>
      <c r="Q91" s="288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89"/>
      <c r="P92" s="288"/>
      <c r="Q92" s="290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291"/>
      <c r="P93" s="292"/>
      <c r="Q93" s="293"/>
      <c r="R93" s="81"/>
      <c r="S93" s="68"/>
      <c r="T93" s="68"/>
      <c r="U93" s="77"/>
    </row>
    <row r="94" spans="1:21" x14ac:dyDescent="0.3">
      <c r="A94" s="294" t="s">
        <v>48</v>
      </c>
      <c r="B94" s="295"/>
      <c r="C94" s="295"/>
      <c r="D94" s="295"/>
      <c r="E94" s="296"/>
      <c r="F94" s="295"/>
      <c r="G94" s="295"/>
      <c r="H94" s="295">
        <f t="shared" ref="H94:M94" si="12">SUM(H69:H93)</f>
        <v>0</v>
      </c>
      <c r="I94" s="301">
        <f t="shared" si="12"/>
        <v>0</v>
      </c>
      <c r="J94" s="301">
        <f>J93+J92+J91+J90+J89+J88+J87+J86+J85+J84+J83+J82+J81+J80+J79+J78+J77+J76+J75+J74+J73+J72+J71+J70+J69</f>
        <v>0</v>
      </c>
      <c r="K94" s="301">
        <f>K93+K92+K91+K90+K89+K88+K87+K86+K85+K84+K83+K82+K81+K80+K79+K78+K77+K76+K75+K74+K73+K72+K71+K70+K69</f>
        <v>0</v>
      </c>
      <c r="L94" s="304">
        <f t="shared" si="12"/>
        <v>0</v>
      </c>
      <c r="M94" s="307">
        <f t="shared" si="12"/>
        <v>0</v>
      </c>
      <c r="N94" s="276"/>
      <c r="O94" s="277"/>
      <c r="P94" s="277"/>
      <c r="Q94" s="278"/>
      <c r="R94" s="5"/>
      <c r="S94" s="6"/>
      <c r="T94" s="7"/>
      <c r="U94" s="8"/>
    </row>
    <row r="95" spans="1:21" ht="17.25" thickBot="1" x14ac:dyDescent="0.35">
      <c r="A95" s="297"/>
      <c r="B95" s="298"/>
      <c r="C95" s="298"/>
      <c r="D95" s="298"/>
      <c r="E95" s="298"/>
      <c r="F95" s="298"/>
      <c r="G95" s="298"/>
      <c r="H95" s="298"/>
      <c r="I95" s="302"/>
      <c r="J95" s="302"/>
      <c r="K95" s="302"/>
      <c r="L95" s="305"/>
      <c r="M95" s="308"/>
      <c r="N95" s="279"/>
      <c r="O95" s="280"/>
      <c r="P95" s="280"/>
      <c r="Q95" s="281"/>
      <c r="R95" s="1"/>
      <c r="S95" s="2"/>
      <c r="T95" s="3"/>
      <c r="U95" s="4"/>
    </row>
    <row r="96" spans="1:21" ht="17.25" thickBot="1" x14ac:dyDescent="0.35">
      <c r="A96" s="299"/>
      <c r="B96" s="300"/>
      <c r="C96" s="300"/>
      <c r="D96" s="300"/>
      <c r="E96" s="300"/>
      <c r="F96" s="300"/>
      <c r="G96" s="300"/>
      <c r="H96" s="300"/>
      <c r="I96" s="303"/>
      <c r="J96" s="303"/>
      <c r="K96" s="303"/>
      <c r="L96" s="306"/>
      <c r="M96" s="309"/>
      <c r="N96" s="282"/>
      <c r="O96" s="283"/>
      <c r="P96" s="283"/>
      <c r="Q96" s="284"/>
      <c r="R96" s="285" t="s">
        <v>52</v>
      </c>
      <c r="S96" s="286"/>
      <c r="T96" s="286"/>
      <c r="U96" s="287"/>
    </row>
  </sheetData>
  <mergeCells count="131">
    <mergeCell ref="O72:Q72"/>
    <mergeCell ref="M94:M96"/>
    <mergeCell ref="N94:Q96"/>
    <mergeCell ref="R96:U96"/>
    <mergeCell ref="O77:Q77"/>
    <mergeCell ref="O78:Q78"/>
    <mergeCell ref="O79:Q79"/>
    <mergeCell ref="O80:Q80"/>
    <mergeCell ref="O81:Q81"/>
    <mergeCell ref="O82:Q82"/>
    <mergeCell ref="O83:Q83"/>
    <mergeCell ref="O84:Q84"/>
    <mergeCell ref="O85:Q85"/>
    <mergeCell ref="O86:Q86"/>
    <mergeCell ref="O73:Q73"/>
    <mergeCell ref="O74:Q74"/>
    <mergeCell ref="O75:Q75"/>
    <mergeCell ref="O76:Q76"/>
    <mergeCell ref="T66:U66"/>
    <mergeCell ref="O68:Q68"/>
    <mergeCell ref="O69:Q69"/>
    <mergeCell ref="O70:Q70"/>
    <mergeCell ref="O71:Q71"/>
    <mergeCell ref="O57:Q57"/>
    <mergeCell ref="O58:Q58"/>
    <mergeCell ref="O59:Q59"/>
    <mergeCell ref="L62:L64"/>
    <mergeCell ref="O60:Q60"/>
    <mergeCell ref="O61:Q61"/>
    <mergeCell ref="A1:U1"/>
    <mergeCell ref="A2:G2"/>
    <mergeCell ref="H2:I2"/>
    <mergeCell ref="J2:K2"/>
    <mergeCell ref="L2:N2"/>
    <mergeCell ref="O2:Q2"/>
    <mergeCell ref="R2:S2"/>
    <mergeCell ref="T2:U2"/>
    <mergeCell ref="O4:Q4"/>
    <mergeCell ref="O5:Q5"/>
    <mergeCell ref="O6:Q6"/>
    <mergeCell ref="O7:Q7"/>
    <mergeCell ref="O8:Q8"/>
    <mergeCell ref="O9:Q9"/>
    <mergeCell ref="O10:Q10"/>
    <mergeCell ref="O11:Q11"/>
    <mergeCell ref="O12:Q12"/>
    <mergeCell ref="O13:Q13"/>
    <mergeCell ref="O14:Q14"/>
    <mergeCell ref="O15:Q15"/>
    <mergeCell ref="O16:Q16"/>
    <mergeCell ref="A32:B32"/>
    <mergeCell ref="H62:H64"/>
    <mergeCell ref="I62:I64"/>
    <mergeCell ref="J62:J64"/>
    <mergeCell ref="K62:K64"/>
    <mergeCell ref="F32:G32"/>
    <mergeCell ref="I32:J32"/>
    <mergeCell ref="A33:U33"/>
    <mergeCell ref="A34:G34"/>
    <mergeCell ref="H34:I34"/>
    <mergeCell ref="J34:K34"/>
    <mergeCell ref="L34:N34"/>
    <mergeCell ref="O34:Q34"/>
    <mergeCell ref="R34:S34"/>
    <mergeCell ref="T34:U34"/>
    <mergeCell ref="O36:Q36"/>
    <mergeCell ref="O37:Q37"/>
    <mergeCell ref="R29:T29"/>
    <mergeCell ref="A30:G30"/>
    <mergeCell ref="R30:T30"/>
    <mergeCell ref="A31:G31"/>
    <mergeCell ref="O17:Q17"/>
    <mergeCell ref="O18:Q18"/>
    <mergeCell ref="O19:Q19"/>
    <mergeCell ref="O20:Q20"/>
    <mergeCell ref="O21:Q21"/>
    <mergeCell ref="O22:Q22"/>
    <mergeCell ref="O29:Q29"/>
    <mergeCell ref="O55:Q55"/>
    <mergeCell ref="O56:Q56"/>
    <mergeCell ref="O46:Q46"/>
    <mergeCell ref="O47:Q47"/>
    <mergeCell ref="O48:Q48"/>
    <mergeCell ref="O49:Q49"/>
    <mergeCell ref="O50:Q50"/>
    <mergeCell ref="O51:Q51"/>
    <mergeCell ref="O52:Q52"/>
    <mergeCell ref="O53:Q53"/>
    <mergeCell ref="O54:Q54"/>
    <mergeCell ref="X23:Z23"/>
    <mergeCell ref="O24:Q24"/>
    <mergeCell ref="O25:Q25"/>
    <mergeCell ref="U25:U26"/>
    <mergeCell ref="O26:Q26"/>
    <mergeCell ref="O27:Q27"/>
    <mergeCell ref="R27:U27"/>
    <mergeCell ref="O28:Q28"/>
    <mergeCell ref="R28:T28"/>
    <mergeCell ref="T31:U32"/>
    <mergeCell ref="O38:Q38"/>
    <mergeCell ref="O39:Q39"/>
    <mergeCell ref="O40:Q40"/>
    <mergeCell ref="O41:Q41"/>
    <mergeCell ref="O42:Q42"/>
    <mergeCell ref="O43:Q43"/>
    <mergeCell ref="O44:Q44"/>
    <mergeCell ref="O45:Q45"/>
    <mergeCell ref="A62:G64"/>
    <mergeCell ref="M62:M64"/>
    <mergeCell ref="N62:Q64"/>
    <mergeCell ref="R64:U64"/>
    <mergeCell ref="A65:U65"/>
    <mergeCell ref="A66:G66"/>
    <mergeCell ref="H66:I66"/>
    <mergeCell ref="J66:K66"/>
    <mergeCell ref="A94:G96"/>
    <mergeCell ref="L94:L96"/>
    <mergeCell ref="H94:H96"/>
    <mergeCell ref="I94:I96"/>
    <mergeCell ref="J94:J96"/>
    <mergeCell ref="K94:K96"/>
    <mergeCell ref="O87:Q87"/>
    <mergeCell ref="O88:Q88"/>
    <mergeCell ref="O89:Q89"/>
    <mergeCell ref="O90:Q90"/>
    <mergeCell ref="O91:Q91"/>
    <mergeCell ref="O92:Q92"/>
    <mergeCell ref="O93:Q93"/>
    <mergeCell ref="L66:N66"/>
    <mergeCell ref="O66:Q66"/>
    <mergeCell ref="R66:S66"/>
  </mergeCells>
  <phoneticPr fontId="4" type="noConversion"/>
  <dataValidations count="1">
    <dataValidation type="list" allowBlank="1" showInputMessage="1" showErrorMessage="1" sqref="X7 W5 E69:E93 E37:E61 E5:E29" xr:uid="{8580CCEC-6A92-44A7-B0AE-56278535338D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4BFE6-F85F-44DB-8F88-AD6E98351754}">
  <sheetPr>
    <pageSetUpPr fitToPage="1"/>
  </sheetPr>
  <dimension ref="A1:AR96"/>
  <sheetViews>
    <sheetView tabSelected="1" zoomScaleNormal="100" zoomScaleSheetLayoutView="77" workbookViewId="0">
      <selection activeCell="I24" sqref="I24"/>
    </sheetView>
  </sheetViews>
  <sheetFormatPr defaultColWidth="9" defaultRowHeight="16.5" x14ac:dyDescent="0.3"/>
  <cols>
    <col min="1" max="1" width="5.125" style="35" bestFit="1" customWidth="1"/>
    <col min="2" max="2" width="7.625" style="35" customWidth="1"/>
    <col min="3" max="3" width="8.625" style="35" customWidth="1"/>
    <col min="4" max="4" width="10.25" style="193" customWidth="1"/>
    <col min="5" max="5" width="5.75" style="166" customWidth="1"/>
    <col min="6" max="6" width="5.625" style="35" customWidth="1"/>
    <col min="7" max="7" width="7.25" style="35" customWidth="1"/>
    <col min="8" max="8" width="6.75" style="35" customWidth="1"/>
    <col min="9" max="11" width="6.75" style="166" customWidth="1"/>
    <col min="12" max="13" width="6.75" style="35" customWidth="1"/>
    <col min="14" max="14" width="7.75" style="35" customWidth="1"/>
    <col min="15" max="15" width="5.5" style="166" customWidth="1"/>
    <col min="16" max="17" width="4.625" style="166" customWidth="1"/>
    <col min="18" max="18" width="9.625" style="35" customWidth="1"/>
    <col min="19" max="20" width="7.75" style="62" customWidth="1"/>
    <col min="21" max="21" width="7.75" style="39" customWidth="1"/>
    <col min="22" max="25" width="11.125" style="35" customWidth="1"/>
    <col min="26" max="26" width="11.375" style="35" customWidth="1"/>
    <col min="27" max="27" width="11.625" style="35" customWidth="1"/>
    <col min="28" max="29" width="10.375" style="35" customWidth="1"/>
    <col min="30" max="30" width="9.875" style="35" customWidth="1"/>
    <col min="31" max="31" width="10.75" style="35" customWidth="1"/>
    <col min="32" max="32" width="11.75" style="35" customWidth="1"/>
    <col min="33" max="33" width="14" style="35" customWidth="1"/>
    <col min="34" max="34" width="11.125" style="35" customWidth="1"/>
    <col min="35" max="35" width="12" style="35" customWidth="1"/>
    <col min="36" max="36" width="9" style="35"/>
    <col min="37" max="37" width="10.625" style="35" customWidth="1"/>
    <col min="38" max="38" width="12" style="35" customWidth="1"/>
    <col min="39" max="39" width="10.25" style="35" customWidth="1"/>
    <col min="40" max="41" width="9" style="35"/>
    <col min="42" max="42" width="10.875" style="35" customWidth="1"/>
    <col min="43" max="43" width="13.75" style="35" customWidth="1"/>
    <col min="44" max="44" width="10.875" style="35" customWidth="1"/>
    <col min="45" max="16384" width="9" style="35"/>
  </cols>
  <sheetData>
    <row r="1" spans="1:44" ht="17.25" thickBot="1" x14ac:dyDescent="0.35">
      <c r="A1" s="322" t="s">
        <v>77</v>
      </c>
      <c r="B1" s="323"/>
      <c r="C1" s="323"/>
      <c r="D1" s="323"/>
      <c r="E1" s="323"/>
      <c r="F1" s="323"/>
      <c r="G1" s="323"/>
      <c r="H1" s="323"/>
      <c r="I1" s="323"/>
      <c r="J1" s="323"/>
      <c r="K1" s="323"/>
      <c r="L1" s="323"/>
      <c r="M1" s="323"/>
      <c r="N1" s="323"/>
      <c r="O1" s="323"/>
      <c r="P1" s="323"/>
      <c r="Q1" s="323"/>
      <c r="R1" s="323"/>
      <c r="S1" s="323"/>
      <c r="T1" s="323"/>
      <c r="U1" s="324"/>
    </row>
    <row r="2" spans="1:44" ht="17.25" thickBot="1" x14ac:dyDescent="0.35">
      <c r="A2" s="322" t="s">
        <v>103</v>
      </c>
      <c r="B2" s="323"/>
      <c r="C2" s="323"/>
      <c r="D2" s="323"/>
      <c r="E2" s="323"/>
      <c r="F2" s="323"/>
      <c r="G2" s="324"/>
      <c r="H2" s="325" t="s">
        <v>49</v>
      </c>
      <c r="I2" s="326"/>
      <c r="J2" s="322" t="s">
        <v>158</v>
      </c>
      <c r="K2" s="324"/>
      <c r="L2" s="326" t="s">
        <v>96</v>
      </c>
      <c r="M2" s="327"/>
      <c r="N2" s="325"/>
      <c r="O2" s="323" t="s">
        <v>140</v>
      </c>
      <c r="P2" s="323"/>
      <c r="Q2" s="324"/>
      <c r="R2" s="326" t="s">
        <v>51</v>
      </c>
      <c r="S2" s="325"/>
      <c r="T2" s="314">
        <v>4</v>
      </c>
      <c r="U2" s="314"/>
      <c r="X2" s="36" t="s">
        <v>31</v>
      </c>
      <c r="Y2" s="36"/>
      <c r="Z2" s="36"/>
      <c r="AA2" s="36" t="s">
        <v>33</v>
      </c>
      <c r="AB2" s="36"/>
      <c r="AI2" s="157" t="s">
        <v>37</v>
      </c>
      <c r="AJ2" s="157"/>
      <c r="AK2" s="157"/>
      <c r="AL2" s="157" t="s">
        <v>33</v>
      </c>
      <c r="AM2" s="157"/>
    </row>
    <row r="3" spans="1:44" ht="9" customHeight="1" thickBot="1" x14ac:dyDescent="0.35">
      <c r="A3" s="15" t="s">
        <v>6</v>
      </c>
      <c r="H3" s="9"/>
      <c r="I3" s="19"/>
      <c r="T3" s="10"/>
      <c r="U3" s="11"/>
    </row>
    <row r="4" spans="1:44" ht="17.25" thickBot="1" x14ac:dyDescent="0.35">
      <c r="A4" s="154" t="s">
        <v>0</v>
      </c>
      <c r="B4" s="259" t="s">
        <v>21</v>
      </c>
      <c r="C4" s="167" t="s">
        <v>7</v>
      </c>
      <c r="D4" s="194" t="s">
        <v>88</v>
      </c>
      <c r="E4" s="167" t="s">
        <v>89</v>
      </c>
      <c r="F4" s="259" t="s">
        <v>25</v>
      </c>
      <c r="G4" s="259" t="s">
        <v>1</v>
      </c>
      <c r="H4" s="259" t="s">
        <v>22</v>
      </c>
      <c r="I4" s="259" t="s">
        <v>20</v>
      </c>
      <c r="J4" s="259" t="s">
        <v>44</v>
      </c>
      <c r="K4" s="259" t="s">
        <v>45</v>
      </c>
      <c r="L4" s="259" t="s">
        <v>47</v>
      </c>
      <c r="M4" s="259" t="s">
        <v>46</v>
      </c>
      <c r="N4" s="259" t="s">
        <v>2</v>
      </c>
      <c r="O4" s="315" t="s">
        <v>8</v>
      </c>
      <c r="P4" s="315"/>
      <c r="Q4" s="315"/>
      <c r="R4" s="259" t="s">
        <v>26</v>
      </c>
      <c r="S4" s="155" t="s">
        <v>3</v>
      </c>
      <c r="T4" s="155" t="s">
        <v>4</v>
      </c>
      <c r="U4" s="156" t="s">
        <v>18</v>
      </c>
      <c r="Z4" s="35" t="s">
        <v>32</v>
      </c>
      <c r="AA4" s="35" t="s">
        <v>35</v>
      </c>
      <c r="AB4" s="35" t="s">
        <v>36</v>
      </c>
      <c r="AD4" s="14"/>
      <c r="AE4" s="35" t="s">
        <v>32</v>
      </c>
      <c r="AF4" s="35" t="s">
        <v>35</v>
      </c>
      <c r="AG4" s="37" t="s">
        <v>36</v>
      </c>
      <c r="AH4" s="37"/>
      <c r="AK4" s="35" t="s">
        <v>38</v>
      </c>
      <c r="AL4" s="35" t="s">
        <v>35</v>
      </c>
      <c r="AM4" s="35" t="s">
        <v>36</v>
      </c>
      <c r="AO4" s="14"/>
      <c r="AP4" s="35" t="s">
        <v>38</v>
      </c>
      <c r="AQ4" s="35" t="s">
        <v>35</v>
      </c>
      <c r="AR4" s="37" t="s">
        <v>36</v>
      </c>
    </row>
    <row r="5" spans="1:44" ht="16.5" customHeight="1" x14ac:dyDescent="0.3">
      <c r="A5" s="128">
        <v>1</v>
      </c>
      <c r="B5" s="129">
        <v>4354</v>
      </c>
      <c r="C5" s="68" t="s">
        <v>251</v>
      </c>
      <c r="D5" s="200" t="s">
        <v>252</v>
      </c>
      <c r="E5" s="181" t="s">
        <v>92</v>
      </c>
      <c r="F5" s="170">
        <v>940</v>
      </c>
      <c r="G5" s="118" t="s">
        <v>136</v>
      </c>
      <c r="H5" s="91"/>
      <c r="I5" s="124">
        <v>95</v>
      </c>
      <c r="J5" s="130" t="str">
        <f>IF(G5="RSL","55","0")</f>
        <v>0</v>
      </c>
      <c r="K5" s="130" t="str">
        <f>IF(G5="GVS","37.5",IF(G5="GVM","41.5",IF(G5="GVL","50",IF(G5="PCS","45.8",IF(G5="PCM","50",IF(G5="PCL","58.3","0"))))))</f>
        <v>0</v>
      </c>
      <c r="L5" s="131"/>
      <c r="M5" s="131"/>
      <c r="N5" s="134" t="s">
        <v>140</v>
      </c>
      <c r="O5" s="361"/>
      <c r="P5" s="362"/>
      <c r="Q5" s="363"/>
      <c r="R5" s="33" t="s">
        <v>121</v>
      </c>
      <c r="S5" s="31">
        <v>0.35416666666666669</v>
      </c>
      <c r="T5" s="32">
        <v>0.70833333333333337</v>
      </c>
      <c r="U5" s="92">
        <f t="shared" ref="U5:U15" si="0">(T5-S5)*24</f>
        <v>8.5</v>
      </c>
      <c r="X5" s="166" t="s">
        <v>43</v>
      </c>
      <c r="Y5" s="166">
        <v>1</v>
      </c>
      <c r="Z5" s="23"/>
      <c r="AA5" s="23"/>
      <c r="AB5" s="23"/>
      <c r="AC5" s="38"/>
      <c r="AD5" s="166">
        <v>16</v>
      </c>
      <c r="AE5" s="23"/>
      <c r="AF5" s="23"/>
      <c r="AG5" s="23"/>
      <c r="AH5" s="37"/>
      <c r="AI5" s="166" t="s">
        <v>43</v>
      </c>
      <c r="AJ5" s="166">
        <v>1</v>
      </c>
      <c r="AK5" s="158"/>
      <c r="AL5" s="158"/>
      <c r="AM5" s="158"/>
      <c r="AN5" s="38"/>
      <c r="AO5" s="166">
        <v>16</v>
      </c>
      <c r="AP5" s="158"/>
      <c r="AQ5" s="158"/>
      <c r="AR5" s="158"/>
    </row>
    <row r="6" spans="1:44" ht="16.5" customHeight="1" x14ac:dyDescent="0.3">
      <c r="A6" s="128">
        <v>2</v>
      </c>
      <c r="B6" s="133">
        <v>4355</v>
      </c>
      <c r="C6" s="67" t="s">
        <v>249</v>
      </c>
      <c r="D6" s="200" t="s">
        <v>250</v>
      </c>
      <c r="E6" s="181" t="s">
        <v>91</v>
      </c>
      <c r="F6" s="171">
        <v>1000</v>
      </c>
      <c r="G6" s="118" t="s">
        <v>144</v>
      </c>
      <c r="H6" s="91"/>
      <c r="I6" s="124">
        <v>280</v>
      </c>
      <c r="J6" s="130" t="str">
        <f t="shared" ref="J6:J29" si="1">IF(G6="RSL","55","0")</f>
        <v>0</v>
      </c>
      <c r="K6" s="130" t="str">
        <f t="shared" ref="K6:K29" si="2">IF(G6="GVS","37.5",IF(G6="GVM","41.5",IF(G6="GVL","50",IF(G6="PCS","45.8",IF(G6="PCM","50",IF(G6="PCL","58.3","0"))))))</f>
        <v>0</v>
      </c>
      <c r="L6" s="131"/>
      <c r="M6" s="131"/>
      <c r="N6" s="134" t="s">
        <v>140</v>
      </c>
      <c r="O6" s="316"/>
      <c r="P6" s="317"/>
      <c r="Q6" s="318"/>
      <c r="R6" s="26" t="s">
        <v>145</v>
      </c>
      <c r="S6" s="31">
        <v>0.33333333333333331</v>
      </c>
      <c r="T6" s="32">
        <v>0.70833333333333337</v>
      </c>
      <c r="U6" s="92">
        <f t="shared" si="0"/>
        <v>9.0000000000000018</v>
      </c>
      <c r="W6" s="35" t="s">
        <v>91</v>
      </c>
      <c r="X6" s="166"/>
      <c r="Y6" s="166">
        <v>2</v>
      </c>
      <c r="Z6" s="23"/>
      <c r="AA6" s="23"/>
      <c r="AB6" s="23"/>
      <c r="AC6" s="38"/>
      <c r="AD6" s="166">
        <v>17</v>
      </c>
      <c r="AE6" s="23"/>
      <c r="AF6" s="23"/>
      <c r="AG6" s="23"/>
      <c r="AH6" s="37"/>
      <c r="AI6" s="166"/>
      <c r="AJ6" s="166">
        <v>2</v>
      </c>
      <c r="AK6" s="158"/>
      <c r="AL6" s="158"/>
      <c r="AM6" s="158"/>
      <c r="AN6" s="38"/>
      <c r="AO6" s="166">
        <v>17</v>
      </c>
      <c r="AP6" s="158"/>
      <c r="AQ6" s="158"/>
      <c r="AR6" s="158"/>
    </row>
    <row r="7" spans="1:44" ht="16.5" customHeight="1" x14ac:dyDescent="0.3">
      <c r="A7" s="128">
        <v>3</v>
      </c>
      <c r="B7" s="129">
        <v>4356</v>
      </c>
      <c r="C7" s="67" t="s">
        <v>244</v>
      </c>
      <c r="D7" s="200" t="s">
        <v>245</v>
      </c>
      <c r="E7" s="181" t="s">
        <v>106</v>
      </c>
      <c r="F7" s="171">
        <v>1005</v>
      </c>
      <c r="G7" s="118" t="s">
        <v>136</v>
      </c>
      <c r="H7" s="91"/>
      <c r="I7" s="124">
        <v>75</v>
      </c>
      <c r="J7" s="130" t="str">
        <f t="shared" si="1"/>
        <v>0</v>
      </c>
      <c r="K7" s="130" t="str">
        <f t="shared" si="2"/>
        <v>0</v>
      </c>
      <c r="L7" s="131"/>
      <c r="M7" s="131"/>
      <c r="N7" s="134" t="s">
        <v>140</v>
      </c>
      <c r="O7" s="289"/>
      <c r="P7" s="288"/>
      <c r="Q7" s="290"/>
      <c r="R7" s="26" t="s">
        <v>124</v>
      </c>
      <c r="S7" s="31">
        <v>0.41666666666666669</v>
      </c>
      <c r="T7" s="32">
        <v>0.6875</v>
      </c>
      <c r="U7" s="92">
        <f t="shared" si="0"/>
        <v>6.5</v>
      </c>
      <c r="W7" s="35" t="s">
        <v>92</v>
      </c>
      <c r="Y7" s="166">
        <v>3</v>
      </c>
      <c r="Z7" s="23"/>
      <c r="AA7" s="23"/>
      <c r="AB7" s="23"/>
      <c r="AC7" s="38"/>
      <c r="AD7" s="166">
        <v>18</v>
      </c>
      <c r="AE7" s="23"/>
      <c r="AF7" s="23"/>
      <c r="AG7" s="23"/>
      <c r="AH7" s="37"/>
      <c r="AJ7" s="166">
        <v>3</v>
      </c>
      <c r="AK7" s="158"/>
      <c r="AL7" s="158"/>
      <c r="AM7" s="158"/>
      <c r="AN7" s="38"/>
      <c r="AO7" s="166">
        <v>18</v>
      </c>
      <c r="AP7" s="158"/>
      <c r="AQ7" s="158"/>
      <c r="AR7" s="158"/>
    </row>
    <row r="8" spans="1:44" ht="16.5" customHeight="1" x14ac:dyDescent="0.3">
      <c r="A8" s="128">
        <v>4</v>
      </c>
      <c r="B8" s="133">
        <v>4357</v>
      </c>
      <c r="C8" s="27" t="s">
        <v>246</v>
      </c>
      <c r="D8" s="200" t="s">
        <v>247</v>
      </c>
      <c r="E8" s="181" t="s">
        <v>92</v>
      </c>
      <c r="F8" s="171">
        <v>1100</v>
      </c>
      <c r="G8" s="118" t="s">
        <v>223</v>
      </c>
      <c r="H8" s="91"/>
      <c r="I8" s="124"/>
      <c r="J8" s="130" t="str">
        <f t="shared" si="1"/>
        <v>0</v>
      </c>
      <c r="K8" s="130" t="str">
        <f t="shared" si="2"/>
        <v>45.8</v>
      </c>
      <c r="L8" s="131"/>
      <c r="M8" s="131"/>
      <c r="N8" s="134" t="s">
        <v>140</v>
      </c>
      <c r="O8" s="319" t="s">
        <v>248</v>
      </c>
      <c r="P8" s="320"/>
      <c r="Q8" s="321"/>
      <c r="R8" s="26" t="s">
        <v>131</v>
      </c>
      <c r="S8" s="31">
        <v>0.41666666666666669</v>
      </c>
      <c r="T8" s="32">
        <v>0.6875</v>
      </c>
      <c r="U8" s="92">
        <f t="shared" si="0"/>
        <v>6.5</v>
      </c>
      <c r="Y8" s="166">
        <v>4</v>
      </c>
      <c r="Z8" s="23"/>
      <c r="AA8" s="23"/>
      <c r="AB8" s="23"/>
      <c r="AC8" s="38"/>
      <c r="AD8" s="166">
        <v>19</v>
      </c>
      <c r="AE8" s="23"/>
      <c r="AF8" s="23"/>
      <c r="AG8" s="23"/>
      <c r="AH8" s="37"/>
      <c r="AJ8" s="166">
        <v>4</v>
      </c>
      <c r="AK8" s="158"/>
      <c r="AL8" s="158"/>
      <c r="AM8" s="158"/>
      <c r="AN8" s="38"/>
      <c r="AO8" s="166">
        <v>19</v>
      </c>
      <c r="AP8" s="158"/>
      <c r="AQ8" s="158"/>
      <c r="AR8" s="158"/>
    </row>
    <row r="9" spans="1:44" ht="16.5" customHeight="1" x14ac:dyDescent="0.3">
      <c r="A9" s="135">
        <v>5</v>
      </c>
      <c r="B9" s="129">
        <v>4358</v>
      </c>
      <c r="C9" s="63" t="s">
        <v>255</v>
      </c>
      <c r="D9" s="201" t="s">
        <v>256</v>
      </c>
      <c r="E9" s="181" t="s">
        <v>92</v>
      </c>
      <c r="F9" s="172">
        <v>1205</v>
      </c>
      <c r="G9" s="119" t="s">
        <v>136</v>
      </c>
      <c r="H9" s="91"/>
      <c r="I9" s="91">
        <v>100</v>
      </c>
      <c r="J9" s="130" t="str">
        <f t="shared" si="1"/>
        <v>0</v>
      </c>
      <c r="K9" s="130" t="str">
        <f t="shared" si="2"/>
        <v>0</v>
      </c>
      <c r="L9" s="131"/>
      <c r="M9" s="131"/>
      <c r="N9" s="134" t="s">
        <v>140</v>
      </c>
      <c r="O9" s="319"/>
      <c r="P9" s="320"/>
      <c r="Q9" s="321"/>
      <c r="R9" s="26"/>
      <c r="S9" s="31"/>
      <c r="T9" s="32"/>
      <c r="U9" s="92">
        <f t="shared" si="0"/>
        <v>0</v>
      </c>
      <c r="X9" s="35" t="s">
        <v>42</v>
      </c>
      <c r="Y9" s="166">
        <v>5</v>
      </c>
      <c r="Z9" s="23"/>
      <c r="AA9" s="23"/>
      <c r="AB9" s="23"/>
      <c r="AC9" s="38"/>
      <c r="AD9" s="166">
        <v>20</v>
      </c>
      <c r="AE9" s="23"/>
      <c r="AF9" s="23"/>
      <c r="AG9" s="23"/>
      <c r="AH9" s="37"/>
      <c r="AI9" s="17"/>
      <c r="AJ9" s="166">
        <v>5</v>
      </c>
      <c r="AK9" s="158"/>
      <c r="AL9" s="158"/>
      <c r="AM9" s="158"/>
      <c r="AN9" s="38"/>
      <c r="AO9" s="166">
        <v>20</v>
      </c>
      <c r="AP9" s="158"/>
      <c r="AQ9" s="158"/>
      <c r="AR9" s="158"/>
    </row>
    <row r="10" spans="1:44" ht="16.5" customHeight="1" x14ac:dyDescent="0.3">
      <c r="A10" s="135">
        <v>6</v>
      </c>
      <c r="B10" s="133">
        <v>4359</v>
      </c>
      <c r="C10" s="28" t="s">
        <v>253</v>
      </c>
      <c r="D10" s="202" t="s">
        <v>254</v>
      </c>
      <c r="E10" s="181" t="s">
        <v>92</v>
      </c>
      <c r="F10" s="173">
        <v>1230</v>
      </c>
      <c r="G10" s="120" t="s">
        <v>136</v>
      </c>
      <c r="H10" s="123"/>
      <c r="I10" s="125">
        <v>75</v>
      </c>
      <c r="J10" s="130" t="str">
        <f t="shared" si="1"/>
        <v>0</v>
      </c>
      <c r="K10" s="130" t="str">
        <f t="shared" si="2"/>
        <v>0</v>
      </c>
      <c r="L10" s="131"/>
      <c r="M10" s="131"/>
      <c r="N10" s="134" t="s">
        <v>140</v>
      </c>
      <c r="O10" s="311"/>
      <c r="P10" s="312"/>
      <c r="Q10" s="313"/>
      <c r="R10" s="26"/>
      <c r="S10" s="31"/>
      <c r="T10" s="32"/>
      <c r="U10" s="92">
        <f t="shared" si="0"/>
        <v>0</v>
      </c>
      <c r="X10" s="39"/>
      <c r="Y10" s="166">
        <v>6</v>
      </c>
      <c r="Z10" s="23"/>
      <c r="AA10" s="23"/>
      <c r="AB10" s="23"/>
      <c r="AC10" s="38"/>
      <c r="AD10" s="166">
        <v>21</v>
      </c>
      <c r="AE10" s="23"/>
      <c r="AF10" s="23"/>
      <c r="AG10" s="23"/>
      <c r="AH10" s="37"/>
      <c r="AI10" s="39"/>
      <c r="AJ10" s="166">
        <v>6</v>
      </c>
      <c r="AK10" s="158"/>
      <c r="AL10" s="158"/>
      <c r="AM10" s="158"/>
      <c r="AN10" s="38"/>
      <c r="AO10" s="166">
        <v>21</v>
      </c>
      <c r="AP10" s="158"/>
      <c r="AQ10" s="158"/>
      <c r="AR10" s="158"/>
    </row>
    <row r="11" spans="1:44" ht="16.5" customHeight="1" x14ac:dyDescent="0.3">
      <c r="A11" s="135">
        <v>7</v>
      </c>
      <c r="B11" s="129">
        <v>4360</v>
      </c>
      <c r="C11" s="18" t="s">
        <v>257</v>
      </c>
      <c r="D11" s="203" t="s">
        <v>258</v>
      </c>
      <c r="E11" s="181" t="s">
        <v>91</v>
      </c>
      <c r="F11" s="66">
        <v>1340</v>
      </c>
      <c r="G11" s="121" t="s">
        <v>136</v>
      </c>
      <c r="H11" s="123">
        <v>95</v>
      </c>
      <c r="I11" s="124"/>
      <c r="J11" s="130" t="str">
        <f t="shared" si="1"/>
        <v>0</v>
      </c>
      <c r="K11" s="130" t="str">
        <f t="shared" si="2"/>
        <v>0</v>
      </c>
      <c r="L11" s="131"/>
      <c r="M11" s="131"/>
      <c r="N11" s="134" t="s">
        <v>140</v>
      </c>
      <c r="O11" s="289"/>
      <c r="P11" s="288"/>
      <c r="Q11" s="290"/>
      <c r="R11" s="26"/>
      <c r="S11" s="31"/>
      <c r="T11" s="32"/>
      <c r="U11" s="92">
        <f t="shared" si="0"/>
        <v>0</v>
      </c>
      <c r="Y11" s="166">
        <v>7</v>
      </c>
      <c r="Z11" s="23"/>
      <c r="AA11" s="23"/>
      <c r="AB11" s="23"/>
      <c r="AC11" s="38"/>
      <c r="AD11" s="166">
        <v>22</v>
      </c>
      <c r="AE11" s="23"/>
      <c r="AF11" s="23"/>
      <c r="AG11" s="23"/>
      <c r="AH11" s="37"/>
      <c r="AJ11" s="166">
        <v>7</v>
      </c>
      <c r="AK11" s="158"/>
      <c r="AL11" s="158"/>
      <c r="AM11" s="158"/>
      <c r="AN11" s="38"/>
      <c r="AO11" s="166">
        <v>22</v>
      </c>
      <c r="AP11" s="158"/>
      <c r="AQ11" s="158"/>
      <c r="AR11" s="158"/>
    </row>
    <row r="12" spans="1:44" ht="16.5" customHeight="1" x14ac:dyDescent="0.3">
      <c r="A12" s="135">
        <v>8</v>
      </c>
      <c r="B12" s="133">
        <v>4361</v>
      </c>
      <c r="C12" s="64" t="s">
        <v>259</v>
      </c>
      <c r="D12" s="204" t="s">
        <v>260</v>
      </c>
      <c r="E12" s="181" t="s">
        <v>91</v>
      </c>
      <c r="F12" s="173">
        <v>1430</v>
      </c>
      <c r="G12" s="119" t="s">
        <v>261</v>
      </c>
      <c r="H12" s="123">
        <v>200</v>
      </c>
      <c r="I12" s="125"/>
      <c r="J12" s="130" t="str">
        <f t="shared" si="1"/>
        <v>0</v>
      </c>
      <c r="K12" s="130" t="str">
        <f t="shared" si="2"/>
        <v>0</v>
      </c>
      <c r="L12" s="131"/>
      <c r="M12" s="131"/>
      <c r="N12" s="134" t="s">
        <v>140</v>
      </c>
      <c r="O12" s="289"/>
      <c r="P12" s="288"/>
      <c r="Q12" s="290"/>
      <c r="R12" s="26"/>
      <c r="S12" s="31"/>
      <c r="T12" s="32"/>
      <c r="U12" s="92">
        <f t="shared" si="0"/>
        <v>0</v>
      </c>
      <c r="V12" s="162"/>
      <c r="Y12" s="166">
        <v>8</v>
      </c>
      <c r="Z12" s="23"/>
      <c r="AA12" s="23"/>
      <c r="AB12" s="23"/>
      <c r="AC12" s="38"/>
      <c r="AD12" s="166">
        <v>23</v>
      </c>
      <c r="AE12" s="23"/>
      <c r="AF12" s="23"/>
      <c r="AG12" s="23"/>
      <c r="AH12" s="37"/>
      <c r="AJ12" s="166">
        <v>8</v>
      </c>
      <c r="AK12" s="158"/>
      <c r="AL12" s="158"/>
      <c r="AM12" s="158"/>
      <c r="AN12" s="38"/>
      <c r="AO12" s="166">
        <v>23</v>
      </c>
      <c r="AP12" s="158"/>
      <c r="AQ12" s="158"/>
      <c r="AR12" s="158"/>
    </row>
    <row r="13" spans="1:44" ht="16.5" customHeight="1" x14ac:dyDescent="0.3">
      <c r="A13" s="135">
        <v>9</v>
      </c>
      <c r="B13" s="129">
        <v>4362</v>
      </c>
      <c r="C13" s="64" t="s">
        <v>262</v>
      </c>
      <c r="D13" s="204" t="s">
        <v>263</v>
      </c>
      <c r="E13" s="181"/>
      <c r="F13" s="173">
        <v>1515</v>
      </c>
      <c r="G13" s="119" t="s">
        <v>148</v>
      </c>
      <c r="H13" s="169"/>
      <c r="I13" s="168">
        <v>75</v>
      </c>
      <c r="J13" s="130" t="str">
        <f t="shared" si="1"/>
        <v>0</v>
      </c>
      <c r="K13" s="130" t="str">
        <f t="shared" si="2"/>
        <v>0</v>
      </c>
      <c r="L13" s="131"/>
      <c r="M13" s="131"/>
      <c r="N13" s="134" t="s">
        <v>140</v>
      </c>
      <c r="O13" s="289"/>
      <c r="P13" s="288"/>
      <c r="Q13" s="290"/>
      <c r="R13" s="33"/>
      <c r="S13" s="31"/>
      <c r="T13" s="32"/>
      <c r="U13" s="92">
        <f t="shared" si="0"/>
        <v>0</v>
      </c>
      <c r="X13" s="17"/>
      <c r="Y13" s="166">
        <v>9</v>
      </c>
      <c r="Z13" s="23"/>
      <c r="AA13" s="23"/>
      <c r="AB13" s="23"/>
      <c r="AC13" s="38"/>
      <c r="AD13" s="166">
        <v>24</v>
      </c>
      <c r="AE13" s="23"/>
      <c r="AF13" s="23"/>
      <c r="AG13" s="23"/>
      <c r="AH13" s="37"/>
      <c r="AJ13" s="166">
        <v>9</v>
      </c>
      <c r="AK13" s="158"/>
      <c r="AL13" s="158"/>
      <c r="AM13" s="158"/>
      <c r="AN13" s="38"/>
      <c r="AO13" s="166">
        <v>24</v>
      </c>
      <c r="AP13" s="158"/>
      <c r="AQ13" s="158"/>
      <c r="AR13" s="158"/>
    </row>
    <row r="14" spans="1:44" ht="17.25" customHeight="1" x14ac:dyDescent="0.3">
      <c r="A14" s="135">
        <v>10</v>
      </c>
      <c r="B14" s="133"/>
      <c r="C14" s="65"/>
      <c r="D14" s="205"/>
      <c r="E14" s="181"/>
      <c r="F14" s="174"/>
      <c r="G14" s="122"/>
      <c r="H14" s="123"/>
      <c r="I14" s="125"/>
      <c r="J14" s="130" t="str">
        <f t="shared" si="1"/>
        <v>0</v>
      </c>
      <c r="K14" s="130" t="str">
        <f t="shared" si="2"/>
        <v>0</v>
      </c>
      <c r="L14" s="131"/>
      <c r="M14" s="131"/>
      <c r="N14" s="134"/>
      <c r="O14" s="289"/>
      <c r="P14" s="288"/>
      <c r="Q14" s="290"/>
      <c r="R14" s="26"/>
      <c r="S14" s="31"/>
      <c r="T14" s="32"/>
      <c r="U14" s="92">
        <f t="shared" si="0"/>
        <v>0</v>
      </c>
      <c r="Y14" s="166">
        <v>10</v>
      </c>
      <c r="Z14" s="23"/>
      <c r="AA14" s="23"/>
      <c r="AB14" s="23"/>
      <c r="AC14" s="38"/>
      <c r="AD14" s="166">
        <v>25</v>
      </c>
      <c r="AE14" s="23"/>
      <c r="AF14" s="23"/>
      <c r="AG14" s="23"/>
      <c r="AH14" s="37"/>
      <c r="AJ14" s="166">
        <v>10</v>
      </c>
      <c r="AK14" s="158"/>
      <c r="AL14" s="158"/>
      <c r="AM14" s="158"/>
      <c r="AN14" s="38"/>
      <c r="AO14" s="166">
        <v>25</v>
      </c>
      <c r="AP14" s="158"/>
      <c r="AQ14" s="158"/>
      <c r="AR14" s="158"/>
    </row>
    <row r="15" spans="1:44" ht="16.5" customHeight="1" thickBot="1" x14ac:dyDescent="0.35">
      <c r="A15" s="135">
        <v>11</v>
      </c>
      <c r="B15" s="129"/>
      <c r="C15" s="65"/>
      <c r="D15" s="205"/>
      <c r="E15" s="181"/>
      <c r="F15" s="174"/>
      <c r="G15" s="122"/>
      <c r="H15" s="123"/>
      <c r="I15" s="124"/>
      <c r="J15" s="130" t="str">
        <f t="shared" si="1"/>
        <v>0</v>
      </c>
      <c r="K15" s="130" t="str">
        <f t="shared" si="2"/>
        <v>0</v>
      </c>
      <c r="L15" s="131"/>
      <c r="M15" s="131"/>
      <c r="N15" s="134"/>
      <c r="O15" s="289"/>
      <c r="P15" s="288"/>
      <c r="Q15" s="290"/>
      <c r="R15" s="26"/>
      <c r="S15" s="31"/>
      <c r="T15" s="32"/>
      <c r="U15" s="92">
        <f t="shared" si="0"/>
        <v>0</v>
      </c>
      <c r="W15" s="166"/>
      <c r="Y15" s="166">
        <v>11</v>
      </c>
      <c r="Z15" s="23"/>
      <c r="AA15" s="23"/>
      <c r="AB15" s="23"/>
      <c r="AC15" s="38"/>
      <c r="AD15" s="166">
        <v>26</v>
      </c>
      <c r="AE15" s="23"/>
      <c r="AF15" s="23"/>
      <c r="AG15" s="23"/>
      <c r="AH15" s="37"/>
      <c r="AJ15" s="166">
        <v>11</v>
      </c>
      <c r="AK15" s="158"/>
      <c r="AL15" s="158"/>
      <c r="AM15" s="158"/>
      <c r="AN15" s="38"/>
      <c r="AO15" s="166">
        <v>26</v>
      </c>
      <c r="AP15" s="158"/>
      <c r="AQ15" s="158"/>
      <c r="AR15" s="158"/>
    </row>
    <row r="16" spans="1:44" ht="15.75" customHeight="1" thickBot="1" x14ac:dyDescent="0.35">
      <c r="A16" s="135">
        <v>12</v>
      </c>
      <c r="B16" s="133"/>
      <c r="C16" s="65"/>
      <c r="D16" s="205"/>
      <c r="E16" s="181"/>
      <c r="F16" s="174"/>
      <c r="G16" s="122"/>
      <c r="H16" s="123"/>
      <c r="I16" s="124"/>
      <c r="J16" s="130" t="str">
        <f t="shared" si="1"/>
        <v>0</v>
      </c>
      <c r="K16" s="130" t="str">
        <f t="shared" si="2"/>
        <v>0</v>
      </c>
      <c r="L16" s="131"/>
      <c r="M16" s="131"/>
      <c r="N16" s="134"/>
      <c r="O16" s="289"/>
      <c r="P16" s="288"/>
      <c r="Q16" s="290"/>
      <c r="R16" s="82">
        <f>H32/U16</f>
        <v>0.29508196721311475</v>
      </c>
      <c r="S16" s="83">
        <f>H32/(U16-U5)</f>
        <v>0.40909090909090912</v>
      </c>
      <c r="T16" s="83">
        <f>C32/U16</f>
        <v>34.124590163934428</v>
      </c>
      <c r="U16" s="83">
        <f>SUM(U5:U15)</f>
        <v>30.5</v>
      </c>
      <c r="Y16" s="166">
        <v>12</v>
      </c>
      <c r="Z16" s="23"/>
      <c r="AA16" s="23"/>
      <c r="AB16" s="23"/>
      <c r="AC16" s="38"/>
      <c r="AD16" s="166">
        <v>27</v>
      </c>
      <c r="AE16" s="23"/>
      <c r="AF16" s="23"/>
      <c r="AG16" s="23"/>
      <c r="AH16" s="37"/>
      <c r="AJ16" s="166">
        <v>12</v>
      </c>
      <c r="AK16" s="158"/>
      <c r="AL16" s="158"/>
      <c r="AM16" s="158"/>
      <c r="AN16" s="38"/>
      <c r="AO16" s="166">
        <v>27</v>
      </c>
      <c r="AP16" s="158"/>
      <c r="AQ16" s="158"/>
      <c r="AR16" s="158"/>
    </row>
    <row r="17" spans="1:44" ht="16.5" customHeight="1" thickBot="1" x14ac:dyDescent="0.35">
      <c r="A17" s="135">
        <v>13</v>
      </c>
      <c r="B17" s="129"/>
      <c r="C17" s="18"/>
      <c r="D17" s="203"/>
      <c r="E17" s="181"/>
      <c r="F17" s="66"/>
      <c r="G17" s="121"/>
      <c r="H17" s="123"/>
      <c r="I17" s="124"/>
      <c r="J17" s="130" t="str">
        <f t="shared" si="1"/>
        <v>0</v>
      </c>
      <c r="K17" s="130" t="str">
        <f t="shared" si="2"/>
        <v>0</v>
      </c>
      <c r="L17" s="131"/>
      <c r="M17" s="131"/>
      <c r="N17" s="134"/>
      <c r="O17" s="289"/>
      <c r="P17" s="288"/>
      <c r="Q17" s="290"/>
      <c r="R17" s="84" t="s">
        <v>9</v>
      </c>
      <c r="S17" s="85" t="s">
        <v>10</v>
      </c>
      <c r="T17" s="85" t="s">
        <v>11</v>
      </c>
      <c r="U17" s="83" t="s">
        <v>12</v>
      </c>
      <c r="Y17" s="166">
        <v>13</v>
      </c>
      <c r="Z17" s="23"/>
      <c r="AA17" s="23"/>
      <c r="AB17" s="23"/>
      <c r="AC17" s="38"/>
      <c r="AD17" s="166">
        <v>28</v>
      </c>
      <c r="AE17" s="23"/>
      <c r="AF17" s="23"/>
      <c r="AG17" s="23"/>
      <c r="AH17" s="37"/>
      <c r="AJ17" s="166">
        <v>13</v>
      </c>
      <c r="AK17" s="158"/>
      <c r="AL17" s="158"/>
      <c r="AM17" s="158"/>
      <c r="AN17" s="38"/>
      <c r="AO17" s="166">
        <v>28</v>
      </c>
      <c r="AP17" s="158"/>
      <c r="AQ17" s="158"/>
      <c r="AR17" s="158"/>
    </row>
    <row r="18" spans="1:44" ht="16.5" customHeight="1" thickBot="1" x14ac:dyDescent="0.35">
      <c r="A18" s="135">
        <v>14</v>
      </c>
      <c r="B18" s="133"/>
      <c r="C18" s="18"/>
      <c r="D18" s="203"/>
      <c r="E18" s="181"/>
      <c r="F18" s="66"/>
      <c r="G18" s="20"/>
      <c r="H18" s="123"/>
      <c r="I18" s="124"/>
      <c r="J18" s="130" t="str">
        <f t="shared" si="1"/>
        <v>0</v>
      </c>
      <c r="K18" s="130" t="str">
        <f t="shared" si="2"/>
        <v>0</v>
      </c>
      <c r="L18" s="131"/>
      <c r="M18" s="131"/>
      <c r="N18" s="134"/>
      <c r="O18" s="289"/>
      <c r="P18" s="288"/>
      <c r="Q18" s="290"/>
      <c r="R18" s="86" t="s">
        <v>23</v>
      </c>
      <c r="S18" s="87" t="s">
        <v>13</v>
      </c>
      <c r="T18" s="87" t="s">
        <v>14</v>
      </c>
      <c r="U18" s="88" t="s">
        <v>19</v>
      </c>
      <c r="Y18" s="166">
        <v>14</v>
      </c>
      <c r="Z18" s="23"/>
      <c r="AA18" s="23"/>
      <c r="AB18" s="23"/>
      <c r="AC18" s="38"/>
      <c r="AD18" s="166">
        <v>29</v>
      </c>
      <c r="AE18" s="23"/>
      <c r="AF18" s="23"/>
      <c r="AG18" s="23"/>
      <c r="AH18" s="37"/>
      <c r="AJ18" s="166">
        <v>14</v>
      </c>
      <c r="AK18" s="158"/>
      <c r="AL18" s="158"/>
      <c r="AM18" s="158"/>
      <c r="AN18" s="38"/>
      <c r="AO18" s="166">
        <v>29</v>
      </c>
      <c r="AP18" s="158"/>
      <c r="AQ18" s="158"/>
      <c r="AR18" s="158"/>
    </row>
    <row r="19" spans="1:44" ht="16.5" customHeight="1" thickBot="1" x14ac:dyDescent="0.35">
      <c r="A19" s="135">
        <v>15</v>
      </c>
      <c r="B19" s="129"/>
      <c r="C19" s="18"/>
      <c r="D19" s="203"/>
      <c r="E19" s="181"/>
      <c r="F19" s="66"/>
      <c r="G19" s="121"/>
      <c r="H19" s="123"/>
      <c r="I19" s="124"/>
      <c r="J19" s="130" t="str">
        <f t="shared" si="1"/>
        <v>0</v>
      </c>
      <c r="K19" s="130" t="str">
        <f t="shared" si="2"/>
        <v>0</v>
      </c>
      <c r="L19" s="131"/>
      <c r="M19" s="131"/>
      <c r="N19" s="134"/>
      <c r="O19" s="289"/>
      <c r="P19" s="288"/>
      <c r="Q19" s="288"/>
      <c r="R19" s="93" t="s">
        <v>45</v>
      </c>
      <c r="S19" s="94">
        <f>COUNT(L5:M29,L37:M61,L69:M93)</f>
        <v>0</v>
      </c>
      <c r="T19" s="116">
        <f>SUM(L5:M29,L37:M61,L69:M93)</f>
        <v>0</v>
      </c>
      <c r="U19" s="95"/>
      <c r="X19" s="17"/>
      <c r="Y19" s="166">
        <v>15</v>
      </c>
      <c r="Z19" s="23"/>
      <c r="AA19" s="23"/>
      <c r="AB19" s="23"/>
      <c r="AC19" s="38"/>
      <c r="AD19" s="166">
        <v>30</v>
      </c>
      <c r="AE19" s="23"/>
      <c r="AF19" s="23"/>
      <c r="AG19" s="23"/>
      <c r="AH19" s="40"/>
      <c r="AI19" s="17"/>
      <c r="AJ19" s="166">
        <v>15</v>
      </c>
      <c r="AK19" s="158"/>
      <c r="AL19" s="158"/>
      <c r="AM19" s="158"/>
      <c r="AN19" s="38"/>
      <c r="AO19" s="166">
        <v>30</v>
      </c>
      <c r="AP19" s="158"/>
      <c r="AQ19" s="158"/>
      <c r="AR19" s="158"/>
    </row>
    <row r="20" spans="1:44" ht="16.5" customHeight="1" x14ac:dyDescent="0.3">
      <c r="A20" s="135">
        <v>16</v>
      </c>
      <c r="B20" s="133"/>
      <c r="C20" s="18"/>
      <c r="D20" s="203"/>
      <c r="E20" s="181"/>
      <c r="F20" s="66"/>
      <c r="G20" s="121"/>
      <c r="H20" s="123"/>
      <c r="I20" s="219"/>
      <c r="J20" s="130" t="str">
        <f t="shared" si="1"/>
        <v>0</v>
      </c>
      <c r="K20" s="221" t="str">
        <f t="shared" si="2"/>
        <v>0</v>
      </c>
      <c r="L20" s="220"/>
      <c r="M20" s="220"/>
      <c r="N20" s="134"/>
      <c r="O20" s="357"/>
      <c r="P20" s="358"/>
      <c r="Q20" s="358"/>
      <c r="R20" s="137"/>
      <c r="S20" s="138"/>
      <c r="T20" s="139"/>
      <c r="U20" s="140"/>
      <c r="X20" s="41"/>
      <c r="Y20" s="166"/>
      <c r="Z20" s="41"/>
      <c r="AD20" s="166">
        <v>31</v>
      </c>
      <c r="AE20" s="23"/>
      <c r="AF20" s="23"/>
      <c r="AG20" s="23"/>
      <c r="AH20" s="37"/>
      <c r="AI20" s="41"/>
      <c r="AJ20" s="166"/>
      <c r="AK20" s="41"/>
      <c r="AO20" s="166">
        <v>31</v>
      </c>
      <c r="AP20" s="158"/>
      <c r="AQ20" s="38"/>
      <c r="AR20" s="158"/>
    </row>
    <row r="21" spans="1:44" ht="16.5" customHeight="1" x14ac:dyDescent="0.3">
      <c r="A21" s="135">
        <v>17</v>
      </c>
      <c r="B21" s="129"/>
      <c r="C21" s="18"/>
      <c r="D21" s="203"/>
      <c r="E21" s="181"/>
      <c r="F21" s="66"/>
      <c r="G21" s="20"/>
      <c r="H21" s="123"/>
      <c r="I21" s="124"/>
      <c r="J21" s="130" t="str">
        <f t="shared" si="1"/>
        <v>0</v>
      </c>
      <c r="K21" s="130" t="str">
        <f t="shared" si="2"/>
        <v>0</v>
      </c>
      <c r="L21" s="131"/>
      <c r="M21" s="131"/>
      <c r="N21" s="134"/>
      <c r="O21" s="289"/>
      <c r="P21" s="288"/>
      <c r="Q21" s="288"/>
      <c r="R21" s="113"/>
      <c r="S21" s="161"/>
      <c r="T21" s="160"/>
      <c r="U21" s="115"/>
      <c r="X21" s="42"/>
      <c r="Y21" s="17"/>
      <c r="Z21" s="43"/>
      <c r="AE21" s="17"/>
      <c r="AF21" s="17"/>
      <c r="AG21" s="37"/>
      <c r="AH21" s="37"/>
      <c r="AI21" s="17"/>
      <c r="AJ21" s="17"/>
      <c r="AK21" s="43"/>
      <c r="AP21" s="17"/>
      <c r="AQ21" s="17"/>
      <c r="AR21" s="37"/>
    </row>
    <row r="22" spans="1:44" ht="16.5" customHeight="1" x14ac:dyDescent="0.3">
      <c r="A22" s="142">
        <v>18</v>
      </c>
      <c r="B22" s="133"/>
      <c r="C22" s="127"/>
      <c r="D22" s="206"/>
      <c r="E22" s="181"/>
      <c r="F22" s="175"/>
      <c r="G22" s="263"/>
      <c r="H22" s="89"/>
      <c r="I22" s="141"/>
      <c r="J22" s="130" t="str">
        <f t="shared" si="1"/>
        <v>0</v>
      </c>
      <c r="K22" s="130" t="str">
        <f t="shared" si="2"/>
        <v>0</v>
      </c>
      <c r="L22" s="69"/>
      <c r="M22" s="69"/>
      <c r="N22" s="134"/>
      <c r="O22" s="289"/>
      <c r="P22" s="288"/>
      <c r="Q22" s="290"/>
      <c r="R22" s="113"/>
      <c r="S22" s="114"/>
      <c r="T22" s="114"/>
      <c r="U22" s="115"/>
      <c r="AD22" s="17" t="s">
        <v>34</v>
      </c>
      <c r="AE22" s="21">
        <f>SUM(Z5:Z19,AE5:AE20)</f>
        <v>0</v>
      </c>
      <c r="AF22" s="21">
        <f>SUM(AA5:AA19,AF5:AF20,)</f>
        <v>0</v>
      </c>
      <c r="AG22" s="21">
        <f>SUM(AB5:AB19,AG5:AG20)</f>
        <v>0</v>
      </c>
      <c r="AH22" s="37"/>
      <c r="AI22" s="35" t="s">
        <v>6</v>
      </c>
      <c r="AO22" s="17" t="s">
        <v>34</v>
      </c>
      <c r="AP22" s="21">
        <f>SUM(AK5:AK19,AP5:AP20)</f>
        <v>0</v>
      </c>
      <c r="AQ22" s="21">
        <f>SUM(AL5:AL19,AQ5:AQ20,)</f>
        <v>0</v>
      </c>
      <c r="AR22" s="21">
        <f>SUM(AM5:AM19,AR5:AR20)</f>
        <v>0</v>
      </c>
    </row>
    <row r="23" spans="1:44" ht="16.5" customHeight="1" thickBot="1" x14ac:dyDescent="0.35">
      <c r="A23" s="135">
        <v>19</v>
      </c>
      <c r="B23" s="129"/>
      <c r="C23" s="136"/>
      <c r="D23" s="207"/>
      <c r="E23" s="181"/>
      <c r="F23" s="176"/>
      <c r="G23" s="165"/>
      <c r="H23" s="89"/>
      <c r="I23" s="141"/>
      <c r="J23" s="130" t="str">
        <f t="shared" si="1"/>
        <v>0</v>
      </c>
      <c r="K23" s="130" t="str">
        <f t="shared" si="2"/>
        <v>0</v>
      </c>
      <c r="L23" s="126"/>
      <c r="M23" s="126"/>
      <c r="N23" s="126"/>
      <c r="O23" s="163"/>
      <c r="P23" s="164"/>
      <c r="Q23" s="159"/>
      <c r="R23" s="113"/>
      <c r="S23" s="114"/>
      <c r="T23" s="114"/>
      <c r="U23" s="115"/>
      <c r="X23" s="355"/>
      <c r="Y23" s="356"/>
      <c r="Z23" s="356"/>
      <c r="AE23" s="17"/>
      <c r="AF23" s="17"/>
      <c r="AG23" s="37"/>
      <c r="AH23" s="37"/>
    </row>
    <row r="24" spans="1:44" ht="16.5" customHeight="1" thickBot="1" x14ac:dyDescent="0.35">
      <c r="A24" s="135">
        <v>20</v>
      </c>
      <c r="B24" s="133"/>
      <c r="C24" s="127"/>
      <c r="D24" s="206"/>
      <c r="E24" s="181"/>
      <c r="F24" s="175"/>
      <c r="G24" s="263"/>
      <c r="H24" s="89"/>
      <c r="I24" s="141"/>
      <c r="J24" s="130" t="str">
        <f t="shared" si="1"/>
        <v>0</v>
      </c>
      <c r="K24" s="130" t="str">
        <f t="shared" si="2"/>
        <v>0</v>
      </c>
      <c r="L24" s="69"/>
      <c r="M24" s="69"/>
      <c r="N24" s="134"/>
      <c r="O24" s="289"/>
      <c r="P24" s="288"/>
      <c r="Q24" s="290"/>
      <c r="R24" s="143" t="s">
        <v>78</v>
      </c>
      <c r="S24" s="144" t="s">
        <v>79</v>
      </c>
      <c r="T24" s="144" t="s">
        <v>80</v>
      </c>
      <c r="U24" s="145" t="s">
        <v>81</v>
      </c>
      <c r="X24" s="44"/>
      <c r="AD24" s="24" t="s">
        <v>39</v>
      </c>
      <c r="AE24" s="22" t="s">
        <v>32</v>
      </c>
      <c r="AF24" s="22" t="s">
        <v>38</v>
      </c>
      <c r="AG24" s="22" t="s">
        <v>35</v>
      </c>
      <c r="AH24" s="22" t="s">
        <v>40</v>
      </c>
      <c r="AI24" s="22" t="s">
        <v>5</v>
      </c>
    </row>
    <row r="25" spans="1:44" ht="16.5" customHeight="1" x14ac:dyDescent="0.3">
      <c r="A25" s="135">
        <v>21</v>
      </c>
      <c r="B25" s="129"/>
      <c r="C25" s="132"/>
      <c r="D25" s="208"/>
      <c r="E25" s="181"/>
      <c r="F25" s="175"/>
      <c r="G25" s="263"/>
      <c r="H25" s="90"/>
      <c r="I25" s="90"/>
      <c r="J25" s="130" t="str">
        <f t="shared" si="1"/>
        <v>0</v>
      </c>
      <c r="K25" s="130" t="str">
        <f t="shared" si="2"/>
        <v>0</v>
      </c>
      <c r="L25" s="69"/>
      <c r="M25" s="69"/>
      <c r="N25" s="134"/>
      <c r="O25" s="289"/>
      <c r="P25" s="288"/>
      <c r="Q25" s="290"/>
      <c r="R25" s="100">
        <f>COUNTIF(G5:G29,"GV1")+COUNTIF(G37:G61,"GV1")+COUNTIF(G69:G93,"GV1")</f>
        <v>0</v>
      </c>
      <c r="S25" s="101">
        <f>COUNTIF(G5:G29,"GV2")+COUNTIF(G37:G61,"GV2")+COUNTIF(G69:G93,"GV2")</f>
        <v>0</v>
      </c>
      <c r="T25" s="101">
        <f>COUNTIF(G5:G29,"GV3")+COUNTIF(G37:G61,"GV3")+COUNTIF(G69:G93,"GV3")</f>
        <v>0</v>
      </c>
      <c r="U25" s="359">
        <f>((C32+(R26+S26+T26)*0.5))</f>
        <v>1040.8</v>
      </c>
      <c r="AD25" s="25">
        <f>SUM(AE25:AF25)</f>
        <v>0</v>
      </c>
      <c r="AE25" s="21">
        <f>SUM(AE22)</f>
        <v>0</v>
      </c>
      <c r="AF25" s="21">
        <f>SUM(AP22)</f>
        <v>0</v>
      </c>
      <c r="AG25" s="21">
        <f>SUM(AF22+AQ22)</f>
        <v>0</v>
      </c>
      <c r="AH25" s="21">
        <f>AG22+AR22</f>
        <v>0</v>
      </c>
      <c r="AI25" s="45">
        <f>SUM(AE25:AH25)</f>
        <v>0</v>
      </c>
    </row>
    <row r="26" spans="1:44" s="46" customFormat="1" ht="16.5" customHeight="1" thickBot="1" x14ac:dyDescent="0.35">
      <c r="A26" s="135">
        <v>22</v>
      </c>
      <c r="B26" s="133"/>
      <c r="C26" s="27"/>
      <c r="D26" s="209"/>
      <c r="E26" s="181"/>
      <c r="F26" s="177"/>
      <c r="G26" s="20"/>
      <c r="H26" s="89"/>
      <c r="I26" s="141"/>
      <c r="J26" s="130" t="str">
        <f t="shared" si="1"/>
        <v>0</v>
      </c>
      <c r="K26" s="130" t="str">
        <f t="shared" si="2"/>
        <v>0</v>
      </c>
      <c r="L26" s="69"/>
      <c r="M26" s="69"/>
      <c r="N26" s="134"/>
      <c r="O26" s="289"/>
      <c r="P26" s="288"/>
      <c r="Q26" s="290"/>
      <c r="R26" s="112">
        <f>R25*37.5</f>
        <v>0</v>
      </c>
      <c r="S26" s="102">
        <f>S25*41.5</f>
        <v>0</v>
      </c>
      <c r="T26" s="102">
        <f>T25*50</f>
        <v>0</v>
      </c>
      <c r="U26" s="360"/>
      <c r="X26" s="47" t="s">
        <v>30</v>
      </c>
      <c r="Y26" s="47"/>
      <c r="Z26" s="47"/>
      <c r="AD26" s="48"/>
      <c r="AE26" s="49"/>
      <c r="AF26" s="50"/>
    </row>
    <row r="27" spans="1:44" ht="16.5" customHeight="1" thickBot="1" x14ac:dyDescent="0.35">
      <c r="A27" s="135">
        <v>23</v>
      </c>
      <c r="B27" s="129"/>
      <c r="C27" s="27"/>
      <c r="D27" s="209"/>
      <c r="E27" s="181"/>
      <c r="F27" s="177"/>
      <c r="G27" s="20"/>
      <c r="H27" s="89"/>
      <c r="I27" s="141"/>
      <c r="J27" s="130" t="str">
        <f t="shared" si="1"/>
        <v>0</v>
      </c>
      <c r="K27" s="130" t="str">
        <f t="shared" si="2"/>
        <v>0</v>
      </c>
      <c r="L27" s="69"/>
      <c r="M27" s="69"/>
      <c r="N27" s="134"/>
      <c r="O27" s="289"/>
      <c r="P27" s="288"/>
      <c r="Q27" s="290"/>
      <c r="R27" s="352" t="s">
        <v>56</v>
      </c>
      <c r="S27" s="353"/>
      <c r="T27" s="353"/>
      <c r="U27" s="354"/>
      <c r="V27" s="35" t="s">
        <v>41</v>
      </c>
      <c r="W27" s="35" t="s">
        <v>41</v>
      </c>
      <c r="X27" s="35">
        <v>1</v>
      </c>
      <c r="Y27" s="29"/>
      <c r="Z27" s="51">
        <v>-2745</v>
      </c>
      <c r="AE27" s="37"/>
      <c r="AF27" s="37"/>
      <c r="AG27" s="37"/>
      <c r="AH27" s="37"/>
    </row>
    <row r="28" spans="1:44" ht="16.5" customHeight="1" x14ac:dyDescent="0.3">
      <c r="A28" s="135">
        <v>24</v>
      </c>
      <c r="B28" s="133"/>
      <c r="C28" s="27"/>
      <c r="D28" s="209"/>
      <c r="E28" s="181"/>
      <c r="F28" s="177"/>
      <c r="G28" s="20"/>
      <c r="H28" s="89"/>
      <c r="I28" s="141"/>
      <c r="J28" s="130" t="str">
        <f t="shared" si="1"/>
        <v>0</v>
      </c>
      <c r="K28" s="130" t="str">
        <f t="shared" si="2"/>
        <v>0</v>
      </c>
      <c r="L28" s="69"/>
      <c r="M28" s="69"/>
      <c r="N28" s="134"/>
      <c r="O28" s="289"/>
      <c r="P28" s="288"/>
      <c r="Q28" s="290"/>
      <c r="R28" s="345"/>
      <c r="S28" s="346"/>
      <c r="T28" s="347"/>
      <c r="U28" s="146"/>
      <c r="X28" s="35">
        <v>2</v>
      </c>
      <c r="Z28" s="51"/>
      <c r="AE28" s="52"/>
      <c r="AF28" s="37"/>
      <c r="AG28" s="37"/>
      <c r="AH28" s="37"/>
    </row>
    <row r="29" spans="1:44" ht="16.5" customHeight="1" thickBot="1" x14ac:dyDescent="0.35">
      <c r="A29" s="147">
        <v>25</v>
      </c>
      <c r="B29" s="129"/>
      <c r="C29" s="34"/>
      <c r="D29" s="210"/>
      <c r="E29" s="182"/>
      <c r="F29" s="177"/>
      <c r="G29" s="20"/>
      <c r="H29" s="89"/>
      <c r="I29" s="89"/>
      <c r="J29" s="130" t="str">
        <f t="shared" si="1"/>
        <v>0</v>
      </c>
      <c r="K29" s="130" t="str">
        <f t="shared" si="2"/>
        <v>0</v>
      </c>
      <c r="L29" s="69"/>
      <c r="M29" s="69"/>
      <c r="N29" s="134"/>
      <c r="O29" s="332"/>
      <c r="P29" s="333"/>
      <c r="Q29" s="334"/>
      <c r="R29" s="335"/>
      <c r="S29" s="336"/>
      <c r="T29" s="337"/>
      <c r="U29" s="150"/>
      <c r="X29" s="35">
        <v>3</v>
      </c>
      <c r="Z29" s="51"/>
      <c r="AE29" s="52"/>
      <c r="AF29" s="37"/>
      <c r="AG29" s="37"/>
      <c r="AH29" s="37"/>
    </row>
    <row r="30" spans="1:44" ht="16.5" customHeight="1" thickBot="1" x14ac:dyDescent="0.35">
      <c r="A30" s="338" t="s">
        <v>48</v>
      </c>
      <c r="B30" s="339"/>
      <c r="C30" s="339"/>
      <c r="D30" s="339"/>
      <c r="E30" s="340"/>
      <c r="F30" s="339"/>
      <c r="G30" s="339"/>
      <c r="H30" s="264">
        <f t="shared" ref="H30:M30" si="3">SUM(H5:H29)</f>
        <v>295</v>
      </c>
      <c r="I30" s="105">
        <f>SUM(I5:I29)</f>
        <v>700</v>
      </c>
      <c r="J30" s="105">
        <f>J5+J6+J7+J8+J9+J10+J11+J12+J13+J14+J15+J16+J18+J19+J17+J20+J22+J23+J21+J24+J25+J26+J27+J28+J29</f>
        <v>0</v>
      </c>
      <c r="K30" s="105">
        <f>K5+K6+K7+K8+K9+K10+K11+K12+K13+K14+K15+K16+K18+K19+K17+K20+K22+K23+K21+K24+K25+K26+K27+K28+K29</f>
        <v>45.8</v>
      </c>
      <c r="L30" s="106">
        <f t="shared" si="3"/>
        <v>0</v>
      </c>
      <c r="M30" s="106">
        <f t="shared" si="3"/>
        <v>0</v>
      </c>
      <c r="N30" s="261" t="s">
        <v>15</v>
      </c>
      <c r="O30" s="261" t="s">
        <v>20</v>
      </c>
      <c r="P30" s="261" t="s">
        <v>45</v>
      </c>
      <c r="Q30" s="96" t="s">
        <v>44</v>
      </c>
      <c r="R30" s="341"/>
      <c r="S30" s="341"/>
      <c r="T30" s="342"/>
      <c r="U30" s="151"/>
      <c r="X30" s="35">
        <v>4</v>
      </c>
      <c r="Z30" s="51"/>
      <c r="AD30" s="53"/>
      <c r="AE30" s="37"/>
      <c r="AF30" s="37"/>
      <c r="AG30" s="37"/>
      <c r="AH30" s="37"/>
    </row>
    <row r="31" spans="1:44" x14ac:dyDescent="0.3">
      <c r="A31" s="343" t="s">
        <v>16</v>
      </c>
      <c r="B31" s="344"/>
      <c r="C31" s="344"/>
      <c r="D31" s="344"/>
      <c r="E31" s="344"/>
      <c r="F31" s="344"/>
      <c r="G31" s="344"/>
      <c r="H31" s="265">
        <f t="shared" ref="H31:J31" si="4">H30+H62+H94</f>
        <v>295</v>
      </c>
      <c r="I31" s="103">
        <f t="shared" si="4"/>
        <v>700</v>
      </c>
      <c r="J31" s="103">
        <f t="shared" si="4"/>
        <v>0</v>
      </c>
      <c r="K31" s="103">
        <f>K30+K62+K94</f>
        <v>45.8</v>
      </c>
      <c r="L31" s="97">
        <f>L30+L62+L94</f>
        <v>0</v>
      </c>
      <c r="M31" s="97">
        <f>M30+M62+M94</f>
        <v>0</v>
      </c>
      <c r="N31" s="262">
        <f>COUNT(H5:H29,H37:H61,H69:H93)</f>
        <v>2</v>
      </c>
      <c r="O31" s="104">
        <f>COUNT(I5:I29,I37:I61,I69:I93)</f>
        <v>6</v>
      </c>
      <c r="P31" s="104">
        <f>COUNTIF(G5:G29,"G*")+COUNTIF(G37:G61,"G*")+COUNTIF(G69:G93,"G*")+COUNTIF(G5:G29,"P*")+COUNTIF(G37:G61,"P*")+COUNTIF(G69:G93,"P*")</f>
        <v>1</v>
      </c>
      <c r="Q31" s="117">
        <f>COUNTIF(G5:G29,"RSL")+COUNTIF(G37:G61,"RSL")+COUNTIF(G69:G93,"RSL")</f>
        <v>0</v>
      </c>
      <c r="R31" s="98" t="s">
        <v>83</v>
      </c>
      <c r="S31" s="111">
        <f>H31+L31-U28-U29-U30</f>
        <v>295</v>
      </c>
      <c r="T31" s="328">
        <f>H31+I31+L31+M31</f>
        <v>995</v>
      </c>
      <c r="U31" s="329"/>
      <c r="X31" s="54" t="s">
        <v>28</v>
      </c>
      <c r="Y31" s="54"/>
      <c r="Z31" s="54">
        <f>SUM(Z27:Z30)</f>
        <v>-2745</v>
      </c>
      <c r="AE31" s="52"/>
      <c r="AF31" s="37"/>
      <c r="AG31" s="37"/>
      <c r="AH31" s="37"/>
    </row>
    <row r="32" spans="1:44" ht="17.25" thickBot="1" x14ac:dyDescent="0.35">
      <c r="A32" s="348" t="s">
        <v>55</v>
      </c>
      <c r="B32" s="349"/>
      <c r="C32" s="107">
        <f>H31+I31+J31+K31</f>
        <v>1040.8</v>
      </c>
      <c r="D32" s="196"/>
      <c r="E32" s="107"/>
      <c r="F32" s="350" t="s">
        <v>53</v>
      </c>
      <c r="G32" s="350"/>
      <c r="H32" s="109">
        <f>COUNT(B5:B29,B37:B61,B69:B93)</f>
        <v>9</v>
      </c>
      <c r="I32" s="351" t="s">
        <v>54</v>
      </c>
      <c r="J32" s="351"/>
      <c r="K32" s="108">
        <f>C32/H32</f>
        <v>115.64444444444445</v>
      </c>
      <c r="L32" s="260"/>
      <c r="M32" s="260"/>
      <c r="N32" s="260">
        <f>H31/C32</f>
        <v>0.28343581860107608</v>
      </c>
      <c r="O32" s="260">
        <f>I31/C32</f>
        <v>0.67255956956187546</v>
      </c>
      <c r="P32" s="260">
        <f>K31/C32</f>
        <v>4.4004611837048423E-2</v>
      </c>
      <c r="Q32" s="110">
        <f>J31/C32</f>
        <v>0</v>
      </c>
      <c r="R32" s="99" t="s">
        <v>82</v>
      </c>
      <c r="S32" s="266">
        <f>I31+M31</f>
        <v>700</v>
      </c>
      <c r="T32" s="330"/>
      <c r="U32" s="331"/>
      <c r="V32" s="55"/>
      <c r="W32" s="55"/>
      <c r="X32" s="56" t="s">
        <v>27</v>
      </c>
      <c r="Y32" s="56"/>
      <c r="Z32" s="54">
        <f>I31</f>
        <v>700</v>
      </c>
      <c r="AE32" s="37"/>
      <c r="AF32" s="37"/>
      <c r="AG32" s="37"/>
      <c r="AH32" s="37"/>
    </row>
    <row r="33" spans="1:34" ht="17.25" thickBot="1" x14ac:dyDescent="0.35">
      <c r="A33" s="282" t="s">
        <v>24</v>
      </c>
      <c r="B33" s="283"/>
      <c r="C33" s="283"/>
      <c r="D33" s="283"/>
      <c r="E33" s="283"/>
      <c r="F33" s="283"/>
      <c r="G33" s="283"/>
      <c r="H33" s="283"/>
      <c r="I33" s="283"/>
      <c r="J33" s="283"/>
      <c r="K33" s="283"/>
      <c r="L33" s="283"/>
      <c r="M33" s="283"/>
      <c r="N33" s="283"/>
      <c r="O33" s="283"/>
      <c r="P33" s="283"/>
      <c r="Q33" s="283"/>
      <c r="R33" s="283"/>
      <c r="S33" s="283"/>
      <c r="T33" s="323"/>
      <c r="U33" s="324"/>
      <c r="X33" s="57" t="s">
        <v>29</v>
      </c>
      <c r="Y33" s="57"/>
      <c r="Z33" s="58">
        <f>SUM(Z31:Z32)</f>
        <v>-2045</v>
      </c>
      <c r="AE33" s="37"/>
      <c r="AF33" s="37"/>
      <c r="AG33" s="59"/>
      <c r="AH33" s="37"/>
    </row>
    <row r="34" spans="1:34" ht="17.25" thickBot="1" x14ac:dyDescent="0.35">
      <c r="A34" s="322" t="str">
        <f>A2</f>
        <v>06-02-2022</v>
      </c>
      <c r="B34" s="323"/>
      <c r="C34" s="323"/>
      <c r="D34" s="323"/>
      <c r="E34" s="323"/>
      <c r="F34" s="323"/>
      <c r="G34" s="324"/>
      <c r="H34" s="325" t="s">
        <v>49</v>
      </c>
      <c r="I34" s="326"/>
      <c r="J34" s="322" t="str">
        <f>J2</f>
        <v>RAIN</v>
      </c>
      <c r="K34" s="324"/>
      <c r="L34" s="326" t="s">
        <v>50</v>
      </c>
      <c r="M34" s="327"/>
      <c r="N34" s="325"/>
      <c r="O34" s="323" t="str">
        <f>O2</f>
        <v>JOHN</v>
      </c>
      <c r="P34" s="323"/>
      <c r="Q34" s="324"/>
      <c r="R34" s="326" t="s">
        <v>51</v>
      </c>
      <c r="S34" s="325"/>
      <c r="T34" s="314">
        <f>T2</f>
        <v>4</v>
      </c>
      <c r="U34" s="314"/>
      <c r="Z34" s="43"/>
      <c r="AE34" s="37"/>
      <c r="AF34" s="37"/>
      <c r="AG34" s="37"/>
      <c r="AH34" s="37"/>
    </row>
    <row r="35" spans="1:34" ht="17.25" thickBot="1" x14ac:dyDescent="0.35">
      <c r="A35" s="15" t="s">
        <v>6</v>
      </c>
      <c r="H35" s="9"/>
      <c r="I35" s="19"/>
      <c r="T35" s="10"/>
      <c r="U35" s="11"/>
    </row>
    <row r="36" spans="1:34" ht="17.25" thickBot="1" x14ac:dyDescent="0.35">
      <c r="A36" s="154" t="s">
        <v>0</v>
      </c>
      <c r="B36" s="259" t="s">
        <v>21</v>
      </c>
      <c r="C36" s="167" t="s">
        <v>7</v>
      </c>
      <c r="D36" s="194" t="s">
        <v>88</v>
      </c>
      <c r="E36" s="167" t="s">
        <v>89</v>
      </c>
      <c r="F36" s="259" t="s">
        <v>25</v>
      </c>
      <c r="G36" s="259" t="s">
        <v>1</v>
      </c>
      <c r="H36" s="259" t="s">
        <v>22</v>
      </c>
      <c r="I36" s="259" t="s">
        <v>20</v>
      </c>
      <c r="J36" s="259" t="s">
        <v>44</v>
      </c>
      <c r="K36" s="259" t="s">
        <v>45</v>
      </c>
      <c r="L36" s="259" t="s">
        <v>47</v>
      </c>
      <c r="M36" s="259" t="s">
        <v>46</v>
      </c>
      <c r="N36" s="259" t="s">
        <v>2</v>
      </c>
      <c r="O36" s="315" t="s">
        <v>8</v>
      </c>
      <c r="P36" s="315"/>
      <c r="Q36" s="315"/>
      <c r="R36" s="259" t="s">
        <v>26</v>
      </c>
      <c r="S36" s="155" t="s">
        <v>3</v>
      </c>
      <c r="T36" s="155" t="s">
        <v>4</v>
      </c>
      <c r="U36" s="156" t="s">
        <v>18</v>
      </c>
    </row>
    <row r="37" spans="1:34" x14ac:dyDescent="0.3">
      <c r="A37" s="152">
        <f>A29+1</f>
        <v>26</v>
      </c>
      <c r="B37" s="118"/>
      <c r="C37" s="68"/>
      <c r="D37" s="258"/>
      <c r="E37" s="181"/>
      <c r="F37" s="174"/>
      <c r="G37" s="118"/>
      <c r="H37" s="91"/>
      <c r="I37" s="124"/>
      <c r="J37" s="130" t="str">
        <f>IF(G37="RSL","55","0")</f>
        <v>0</v>
      </c>
      <c r="K37" s="130" t="str">
        <f t="shared" ref="K37:K61" si="5">IF(G37="GVS","37.5",IF(G37="GVM","41.5",IF(G37="GVL","50",IF(G37="PCS","45.8",IF(G37="PCM","50",IF(G37="PCL","58.3","0"))))))</f>
        <v>0</v>
      </c>
      <c r="L37" s="131"/>
      <c r="M37" s="131"/>
      <c r="N37" s="69"/>
      <c r="O37" s="289"/>
      <c r="P37" s="288"/>
      <c r="Q37" s="290"/>
      <c r="R37" s="60"/>
      <c r="S37" s="61"/>
      <c r="T37" s="61"/>
      <c r="U37" s="70"/>
    </row>
    <row r="38" spans="1:34" x14ac:dyDescent="0.3">
      <c r="A38" s="128">
        <f>A37+1</f>
        <v>27</v>
      </c>
      <c r="B38" s="263"/>
      <c r="C38" s="67"/>
      <c r="D38" s="195"/>
      <c r="E38" s="181"/>
      <c r="F38" s="179"/>
      <c r="G38" s="118"/>
      <c r="H38" s="91"/>
      <c r="I38" s="124"/>
      <c r="J38" s="130" t="str">
        <f t="shared" ref="J38:J61" si="6">IF(G38="RSL","55","0")</f>
        <v>0</v>
      </c>
      <c r="K38" s="130" t="str">
        <f t="shared" si="5"/>
        <v>0</v>
      </c>
      <c r="L38" s="131"/>
      <c r="M38" s="131"/>
      <c r="N38" s="69"/>
      <c r="O38" s="316"/>
      <c r="P38" s="317"/>
      <c r="Q38" s="318"/>
      <c r="R38" s="78"/>
      <c r="S38" s="71"/>
      <c r="T38" s="16"/>
      <c r="U38" s="72"/>
    </row>
    <row r="39" spans="1:34" x14ac:dyDescent="0.3">
      <c r="A39" s="128">
        <f t="shared" ref="A39:A61" si="7">A38+1</f>
        <v>28</v>
      </c>
      <c r="B39" s="118"/>
      <c r="C39" s="27"/>
      <c r="D39" s="183"/>
      <c r="E39" s="181"/>
      <c r="F39" s="179"/>
      <c r="G39" s="118"/>
      <c r="H39" s="91"/>
      <c r="I39" s="124"/>
      <c r="J39" s="130" t="str">
        <f t="shared" si="6"/>
        <v>0</v>
      </c>
      <c r="K39" s="130" t="str">
        <f t="shared" si="5"/>
        <v>0</v>
      </c>
      <c r="L39" s="131"/>
      <c r="M39" s="131"/>
      <c r="N39" s="69"/>
      <c r="O39" s="289"/>
      <c r="P39" s="288"/>
      <c r="Q39" s="290"/>
      <c r="R39" s="79"/>
      <c r="S39" s="13"/>
      <c r="T39" s="12"/>
      <c r="U39" s="72"/>
    </row>
    <row r="40" spans="1:34" x14ac:dyDescent="0.3">
      <c r="A40" s="128">
        <f t="shared" si="7"/>
        <v>29</v>
      </c>
      <c r="B40" s="263"/>
      <c r="C40" s="63"/>
      <c r="D40" s="184"/>
      <c r="E40" s="181"/>
      <c r="F40" s="180"/>
      <c r="G40" s="119"/>
      <c r="H40" s="91"/>
      <c r="I40" s="91"/>
      <c r="J40" s="130" t="str">
        <f t="shared" si="6"/>
        <v>0</v>
      </c>
      <c r="K40" s="130" t="str">
        <f t="shared" si="5"/>
        <v>0</v>
      </c>
      <c r="L40" s="131"/>
      <c r="M40" s="131"/>
      <c r="N40" s="69"/>
      <c r="O40" s="319"/>
      <c r="P40" s="320"/>
      <c r="Q40" s="321"/>
      <c r="R40" s="78"/>
      <c r="S40" s="71"/>
      <c r="T40" s="71"/>
      <c r="U40" s="72"/>
    </row>
    <row r="41" spans="1:34" x14ac:dyDescent="0.3">
      <c r="A41" s="128">
        <f t="shared" si="7"/>
        <v>30</v>
      </c>
      <c r="B41" s="118"/>
      <c r="C41" s="63"/>
      <c r="D41" s="184"/>
      <c r="E41" s="181"/>
      <c r="F41" s="180"/>
      <c r="G41" s="119"/>
      <c r="H41" s="91"/>
      <c r="I41" s="91"/>
      <c r="J41" s="130" t="str">
        <f t="shared" si="6"/>
        <v>0</v>
      </c>
      <c r="K41" s="130" t="str">
        <f t="shared" si="5"/>
        <v>0</v>
      </c>
      <c r="L41" s="131"/>
      <c r="M41" s="131"/>
      <c r="N41" s="69"/>
      <c r="O41" s="319"/>
      <c r="P41" s="320"/>
      <c r="Q41" s="321"/>
      <c r="R41" s="80"/>
      <c r="S41" s="73"/>
      <c r="T41" s="73"/>
      <c r="U41" s="74"/>
    </row>
    <row r="42" spans="1:34" x14ac:dyDescent="0.3">
      <c r="A42" s="128">
        <f t="shared" si="7"/>
        <v>31</v>
      </c>
      <c r="B42" s="263"/>
      <c r="C42" s="28"/>
      <c r="D42" s="185"/>
      <c r="E42" s="181"/>
      <c r="F42" s="173"/>
      <c r="G42" s="120"/>
      <c r="H42" s="123"/>
      <c r="I42" s="125"/>
      <c r="J42" s="130" t="str">
        <f t="shared" si="6"/>
        <v>0</v>
      </c>
      <c r="K42" s="130" t="str">
        <f t="shared" si="5"/>
        <v>0</v>
      </c>
      <c r="L42" s="131"/>
      <c r="M42" s="131"/>
      <c r="N42" s="69"/>
      <c r="O42" s="311"/>
      <c r="P42" s="312"/>
      <c r="Q42" s="313"/>
      <c r="R42" s="80"/>
      <c r="S42" s="73"/>
      <c r="T42" s="73"/>
      <c r="U42" s="74"/>
    </row>
    <row r="43" spans="1:34" x14ac:dyDescent="0.3">
      <c r="A43" s="128">
        <f t="shared" si="7"/>
        <v>32</v>
      </c>
      <c r="B43" s="118"/>
      <c r="C43" s="18"/>
      <c r="D43" s="191"/>
      <c r="E43" s="181"/>
      <c r="F43" s="66"/>
      <c r="G43" s="153"/>
      <c r="H43" s="123"/>
      <c r="I43" s="124"/>
      <c r="J43" s="130" t="str">
        <f t="shared" si="6"/>
        <v>0</v>
      </c>
      <c r="K43" s="130" t="str">
        <f t="shared" si="5"/>
        <v>0</v>
      </c>
      <c r="L43" s="131"/>
      <c r="M43" s="131"/>
      <c r="N43" s="69"/>
      <c r="O43" s="289"/>
      <c r="P43" s="288"/>
      <c r="Q43" s="290"/>
      <c r="R43" s="78"/>
      <c r="S43" s="71"/>
      <c r="T43" s="71"/>
      <c r="U43" s="72"/>
    </row>
    <row r="44" spans="1:34" x14ac:dyDescent="0.3">
      <c r="A44" s="128">
        <f t="shared" si="7"/>
        <v>33</v>
      </c>
      <c r="B44" s="263"/>
      <c r="C44" s="64"/>
      <c r="D44" s="186"/>
      <c r="E44" s="181"/>
      <c r="F44" s="173"/>
      <c r="G44" s="119"/>
      <c r="H44" s="123"/>
      <c r="I44" s="125"/>
      <c r="J44" s="130" t="str">
        <f t="shared" si="6"/>
        <v>0</v>
      </c>
      <c r="K44" s="130" t="str">
        <f t="shared" si="5"/>
        <v>0</v>
      </c>
      <c r="L44" s="131"/>
      <c r="M44" s="131"/>
      <c r="N44" s="69"/>
      <c r="O44" s="289"/>
      <c r="P44" s="288"/>
      <c r="Q44" s="290"/>
      <c r="R44" s="5"/>
      <c r="S44" s="71"/>
      <c r="T44" s="71"/>
      <c r="U44" s="72"/>
    </row>
    <row r="45" spans="1:34" x14ac:dyDescent="0.3">
      <c r="A45" s="128">
        <f t="shared" si="7"/>
        <v>34</v>
      </c>
      <c r="B45" s="118"/>
      <c r="C45" s="64"/>
      <c r="D45" s="186"/>
      <c r="E45" s="181"/>
      <c r="F45" s="173"/>
      <c r="G45" s="119"/>
      <c r="H45" s="123"/>
      <c r="I45" s="125"/>
      <c r="J45" s="130" t="str">
        <f t="shared" si="6"/>
        <v>0</v>
      </c>
      <c r="K45" s="130" t="str">
        <f t="shared" si="5"/>
        <v>0</v>
      </c>
      <c r="L45" s="131"/>
      <c r="M45" s="131"/>
      <c r="N45" s="69"/>
      <c r="O45" s="289"/>
      <c r="P45" s="288"/>
      <c r="Q45" s="290"/>
      <c r="R45" s="5"/>
      <c r="S45" s="71"/>
      <c r="T45" s="71"/>
      <c r="U45" s="72"/>
    </row>
    <row r="46" spans="1:34" x14ac:dyDescent="0.3">
      <c r="A46" s="128">
        <f t="shared" si="7"/>
        <v>35</v>
      </c>
      <c r="B46" s="263"/>
      <c r="C46" s="65"/>
      <c r="D46" s="187"/>
      <c r="E46" s="181"/>
      <c r="F46" s="170"/>
      <c r="G46" s="122"/>
      <c r="H46" s="123"/>
      <c r="I46" s="124"/>
      <c r="J46" s="130" t="str">
        <f t="shared" si="6"/>
        <v>0</v>
      </c>
      <c r="K46" s="130" t="str">
        <f t="shared" si="5"/>
        <v>0</v>
      </c>
      <c r="L46" s="131"/>
      <c r="M46" s="131"/>
      <c r="N46" s="69"/>
      <c r="O46" s="289"/>
      <c r="P46" s="288"/>
      <c r="Q46" s="290"/>
      <c r="R46" s="5"/>
      <c r="S46" s="71"/>
      <c r="T46" s="71"/>
      <c r="U46" s="72"/>
    </row>
    <row r="47" spans="1:34" x14ac:dyDescent="0.3">
      <c r="A47" s="128">
        <f t="shared" si="7"/>
        <v>36</v>
      </c>
      <c r="B47" s="118"/>
      <c r="C47" s="18"/>
      <c r="D47" s="191"/>
      <c r="E47" s="181"/>
      <c r="F47" s="66"/>
      <c r="G47" s="121"/>
      <c r="H47" s="123"/>
      <c r="I47" s="124"/>
      <c r="J47" s="130" t="str">
        <f t="shared" si="6"/>
        <v>0</v>
      </c>
      <c r="K47" s="130" t="str">
        <f t="shared" si="5"/>
        <v>0</v>
      </c>
      <c r="L47" s="131"/>
      <c r="M47" s="131"/>
      <c r="N47" s="69"/>
      <c r="O47" s="289"/>
      <c r="P47" s="288"/>
      <c r="Q47" s="290"/>
      <c r="R47" s="5"/>
      <c r="S47" s="71"/>
      <c r="T47" s="71"/>
      <c r="U47" s="72"/>
    </row>
    <row r="48" spans="1:34" x14ac:dyDescent="0.3">
      <c r="A48" s="128">
        <f t="shared" si="7"/>
        <v>37</v>
      </c>
      <c r="B48" s="263"/>
      <c r="C48" s="65"/>
      <c r="D48" s="187"/>
      <c r="E48" s="181"/>
      <c r="F48" s="170"/>
      <c r="G48" s="122"/>
      <c r="H48" s="123"/>
      <c r="I48" s="124"/>
      <c r="J48" s="130" t="str">
        <f t="shared" si="6"/>
        <v>0</v>
      </c>
      <c r="K48" s="130" t="str">
        <f t="shared" si="5"/>
        <v>0</v>
      </c>
      <c r="L48" s="131"/>
      <c r="M48" s="131"/>
      <c r="N48" s="69"/>
      <c r="O48" s="289"/>
      <c r="P48" s="288"/>
      <c r="Q48" s="290"/>
      <c r="R48" s="5"/>
      <c r="S48" s="71"/>
      <c r="T48" s="71"/>
      <c r="U48" s="72"/>
    </row>
    <row r="49" spans="1:21" x14ac:dyDescent="0.3">
      <c r="A49" s="128">
        <f t="shared" si="7"/>
        <v>38</v>
      </c>
      <c r="B49" s="263"/>
      <c r="C49" s="18"/>
      <c r="D49" s="191"/>
      <c r="E49" s="181"/>
      <c r="F49" s="66"/>
      <c r="G49" s="121"/>
      <c r="H49" s="123"/>
      <c r="I49" s="124"/>
      <c r="J49" s="130" t="str">
        <f t="shared" si="6"/>
        <v>0</v>
      </c>
      <c r="K49" s="130" t="str">
        <f t="shared" si="5"/>
        <v>0</v>
      </c>
      <c r="L49" s="131"/>
      <c r="M49" s="131"/>
      <c r="N49" s="69"/>
      <c r="O49" s="289"/>
      <c r="P49" s="288"/>
      <c r="Q49" s="290"/>
      <c r="R49" s="5"/>
      <c r="S49" s="71"/>
      <c r="T49" s="75"/>
      <c r="U49" s="72"/>
    </row>
    <row r="50" spans="1:21" x14ac:dyDescent="0.3">
      <c r="A50" s="128">
        <f t="shared" si="7"/>
        <v>39</v>
      </c>
      <c r="B50" s="263"/>
      <c r="C50" s="18"/>
      <c r="D50" s="191"/>
      <c r="E50" s="181"/>
      <c r="F50" s="66"/>
      <c r="G50" s="20"/>
      <c r="H50" s="123"/>
      <c r="I50" s="124"/>
      <c r="J50" s="130" t="str">
        <f t="shared" si="6"/>
        <v>0</v>
      </c>
      <c r="K50" s="130" t="str">
        <f t="shared" si="5"/>
        <v>0</v>
      </c>
      <c r="L50" s="131"/>
      <c r="M50" s="131"/>
      <c r="N50" s="69"/>
      <c r="O50" s="289"/>
      <c r="P50" s="288"/>
      <c r="Q50" s="290"/>
      <c r="R50" s="5"/>
      <c r="S50" s="71"/>
      <c r="T50" s="75"/>
      <c r="U50" s="72"/>
    </row>
    <row r="51" spans="1:21" x14ac:dyDescent="0.3">
      <c r="A51" s="128">
        <f t="shared" si="7"/>
        <v>40</v>
      </c>
      <c r="B51" s="263"/>
      <c r="C51" s="18"/>
      <c r="D51" s="191"/>
      <c r="E51" s="181"/>
      <c r="F51" s="66"/>
      <c r="G51" s="121"/>
      <c r="H51" s="123"/>
      <c r="I51" s="124"/>
      <c r="J51" s="130" t="str">
        <f t="shared" si="6"/>
        <v>0</v>
      </c>
      <c r="K51" s="130" t="str">
        <f t="shared" si="5"/>
        <v>0</v>
      </c>
      <c r="L51" s="131"/>
      <c r="M51" s="131"/>
      <c r="N51" s="69"/>
      <c r="O51" s="289"/>
      <c r="P51" s="288"/>
      <c r="Q51" s="288"/>
      <c r="R51" s="5"/>
      <c r="S51" s="71"/>
      <c r="T51" s="75"/>
      <c r="U51" s="72"/>
    </row>
    <row r="52" spans="1:21" x14ac:dyDescent="0.3">
      <c r="A52" s="128">
        <f t="shared" si="7"/>
        <v>41</v>
      </c>
      <c r="B52" s="263"/>
      <c r="C52" s="66"/>
      <c r="D52" s="192"/>
      <c r="E52" s="181"/>
      <c r="F52" s="66"/>
      <c r="G52" s="121"/>
      <c r="H52" s="123"/>
      <c r="I52" s="124"/>
      <c r="J52" s="130" t="str">
        <f t="shared" si="6"/>
        <v>0</v>
      </c>
      <c r="K52" s="130" t="str">
        <f t="shared" si="5"/>
        <v>0</v>
      </c>
      <c r="L52" s="131"/>
      <c r="M52" s="131"/>
      <c r="N52" s="69"/>
      <c r="O52" s="289"/>
      <c r="P52" s="288"/>
      <c r="Q52" s="288"/>
      <c r="R52" s="81"/>
      <c r="S52" s="68"/>
      <c r="T52" s="76"/>
      <c r="U52" s="77"/>
    </row>
    <row r="53" spans="1:21" x14ac:dyDescent="0.3">
      <c r="A53" s="128">
        <f t="shared" si="7"/>
        <v>42</v>
      </c>
      <c r="B53" s="263"/>
      <c r="C53" s="127"/>
      <c r="D53" s="188"/>
      <c r="E53" s="181"/>
      <c r="F53" s="175"/>
      <c r="G53" s="263"/>
      <c r="H53" s="89"/>
      <c r="I53" s="141"/>
      <c r="J53" s="130" t="str">
        <f t="shared" si="6"/>
        <v>0</v>
      </c>
      <c r="K53" s="130" t="str">
        <f t="shared" si="5"/>
        <v>0</v>
      </c>
      <c r="L53" s="69"/>
      <c r="M53" s="69"/>
      <c r="N53" s="69"/>
      <c r="O53" s="310"/>
      <c r="P53" s="289"/>
      <c r="Q53" s="289"/>
      <c r="R53" s="81"/>
      <c r="S53" s="68"/>
      <c r="T53" s="76"/>
      <c r="U53" s="77"/>
    </row>
    <row r="54" spans="1:21" x14ac:dyDescent="0.3">
      <c r="A54" s="128">
        <f t="shared" si="7"/>
        <v>43</v>
      </c>
      <c r="B54" s="263"/>
      <c r="C54" s="127"/>
      <c r="D54" s="188"/>
      <c r="E54" s="181"/>
      <c r="F54" s="175"/>
      <c r="G54" s="263"/>
      <c r="H54" s="89"/>
      <c r="I54" s="141"/>
      <c r="J54" s="130" t="str">
        <f t="shared" si="6"/>
        <v>0</v>
      </c>
      <c r="K54" s="130" t="str">
        <f t="shared" si="5"/>
        <v>0</v>
      </c>
      <c r="L54" s="69"/>
      <c r="M54" s="69"/>
      <c r="N54" s="69"/>
      <c r="O54" s="310"/>
      <c r="P54" s="289"/>
      <c r="Q54" s="289"/>
      <c r="R54" s="81"/>
      <c r="S54" s="68"/>
      <c r="T54" s="76"/>
      <c r="U54" s="77"/>
    </row>
    <row r="55" spans="1:21" x14ac:dyDescent="0.3">
      <c r="A55" s="128">
        <f t="shared" si="7"/>
        <v>44</v>
      </c>
      <c r="B55" s="263"/>
      <c r="C55" s="127"/>
      <c r="D55" s="188"/>
      <c r="E55" s="181"/>
      <c r="F55" s="175"/>
      <c r="G55" s="263"/>
      <c r="H55" s="89"/>
      <c r="I55" s="141"/>
      <c r="J55" s="130" t="str">
        <f t="shared" si="6"/>
        <v>0</v>
      </c>
      <c r="K55" s="130" t="str">
        <f t="shared" si="5"/>
        <v>0</v>
      </c>
      <c r="L55" s="69"/>
      <c r="M55" s="69"/>
      <c r="N55" s="69"/>
      <c r="O55" s="310"/>
      <c r="P55" s="289"/>
      <c r="Q55" s="289"/>
      <c r="R55" s="81"/>
      <c r="S55" s="68"/>
      <c r="T55" s="76"/>
      <c r="U55" s="77"/>
    </row>
    <row r="56" spans="1:21" x14ac:dyDescent="0.3">
      <c r="A56" s="128">
        <f t="shared" si="7"/>
        <v>45</v>
      </c>
      <c r="B56" s="263"/>
      <c r="C56" s="132"/>
      <c r="D56" s="189"/>
      <c r="E56" s="181"/>
      <c r="F56" s="175"/>
      <c r="G56" s="263"/>
      <c r="H56" s="90"/>
      <c r="I56" s="90"/>
      <c r="J56" s="130" t="str">
        <f t="shared" si="6"/>
        <v>0</v>
      </c>
      <c r="K56" s="130" t="str">
        <f t="shared" si="5"/>
        <v>0</v>
      </c>
      <c r="L56" s="69"/>
      <c r="M56" s="69"/>
      <c r="N56" s="69"/>
      <c r="O56" s="288"/>
      <c r="P56" s="288"/>
      <c r="Q56" s="288"/>
      <c r="R56" s="81"/>
      <c r="S56" s="68"/>
      <c r="T56" s="76"/>
      <c r="U56" s="77"/>
    </row>
    <row r="57" spans="1:21" x14ac:dyDescent="0.3">
      <c r="A57" s="128">
        <f t="shared" si="7"/>
        <v>46</v>
      </c>
      <c r="B57" s="263"/>
      <c r="C57" s="27"/>
      <c r="D57" s="183"/>
      <c r="E57" s="181"/>
      <c r="F57" s="177"/>
      <c r="G57" s="20"/>
      <c r="H57" s="89"/>
      <c r="I57" s="141"/>
      <c r="J57" s="130" t="str">
        <f t="shared" si="6"/>
        <v>0</v>
      </c>
      <c r="K57" s="130" t="str">
        <f t="shared" si="5"/>
        <v>0</v>
      </c>
      <c r="L57" s="69"/>
      <c r="M57" s="69"/>
      <c r="N57" s="69"/>
      <c r="O57" s="289"/>
      <c r="P57" s="288"/>
      <c r="Q57" s="288"/>
      <c r="R57" s="81"/>
      <c r="S57" s="68"/>
      <c r="T57" s="68"/>
      <c r="U57" s="77"/>
    </row>
    <row r="58" spans="1:21" x14ac:dyDescent="0.3">
      <c r="A58" s="128">
        <f t="shared" si="7"/>
        <v>47</v>
      </c>
      <c r="B58" s="263"/>
      <c r="C58" s="27"/>
      <c r="D58" s="183"/>
      <c r="E58" s="181"/>
      <c r="F58" s="177"/>
      <c r="G58" s="20"/>
      <c r="H58" s="89"/>
      <c r="I58" s="141"/>
      <c r="J58" s="130" t="str">
        <f t="shared" si="6"/>
        <v>0</v>
      </c>
      <c r="K58" s="130" t="str">
        <f t="shared" si="5"/>
        <v>0</v>
      </c>
      <c r="L58" s="69"/>
      <c r="M58" s="69"/>
      <c r="N58" s="69"/>
      <c r="O58" s="288"/>
      <c r="P58" s="288"/>
      <c r="Q58" s="288"/>
      <c r="R58" s="81"/>
      <c r="S58" s="68"/>
      <c r="T58" s="68"/>
      <c r="U58" s="77"/>
    </row>
    <row r="59" spans="1:21" x14ac:dyDescent="0.3">
      <c r="A59" s="128">
        <f t="shared" si="7"/>
        <v>48</v>
      </c>
      <c r="B59" s="263"/>
      <c r="C59" s="27"/>
      <c r="D59" s="183"/>
      <c r="E59" s="181"/>
      <c r="F59" s="177"/>
      <c r="G59" s="20"/>
      <c r="H59" s="89"/>
      <c r="I59" s="141"/>
      <c r="J59" s="130" t="str">
        <f t="shared" si="6"/>
        <v>0</v>
      </c>
      <c r="K59" s="130" t="str">
        <f t="shared" si="5"/>
        <v>0</v>
      </c>
      <c r="L59" s="69"/>
      <c r="M59" s="69"/>
      <c r="N59" s="69"/>
      <c r="O59" s="288"/>
      <c r="P59" s="288"/>
      <c r="Q59" s="288"/>
      <c r="R59" s="81"/>
      <c r="S59" s="68"/>
      <c r="T59" s="68"/>
      <c r="U59" s="77"/>
    </row>
    <row r="60" spans="1:21" x14ac:dyDescent="0.3">
      <c r="A60" s="128">
        <f t="shared" si="7"/>
        <v>49</v>
      </c>
      <c r="B60" s="263"/>
      <c r="C60" s="34"/>
      <c r="D60" s="190"/>
      <c r="E60" s="181"/>
      <c r="F60" s="177"/>
      <c r="G60" s="20"/>
      <c r="H60" s="89"/>
      <c r="I60" s="89"/>
      <c r="J60" s="130" t="str">
        <f t="shared" si="6"/>
        <v>0</v>
      </c>
      <c r="K60" s="130" t="str">
        <f t="shared" si="5"/>
        <v>0</v>
      </c>
      <c r="L60" s="69"/>
      <c r="M60" s="69"/>
      <c r="N60" s="69"/>
      <c r="O60" s="289"/>
      <c r="P60" s="288"/>
      <c r="Q60" s="290"/>
      <c r="R60" s="81"/>
      <c r="S60" s="68"/>
      <c r="T60" s="68"/>
      <c r="U60" s="77"/>
    </row>
    <row r="61" spans="1:21" ht="17.25" thickBot="1" x14ac:dyDescent="0.35">
      <c r="A61" s="128">
        <f t="shared" si="7"/>
        <v>50</v>
      </c>
      <c r="B61" s="263"/>
      <c r="C61" s="30"/>
      <c r="D61" s="198"/>
      <c r="F61" s="30"/>
      <c r="G61" s="263"/>
      <c r="H61" s="148"/>
      <c r="I61" s="148"/>
      <c r="J61" s="130" t="str">
        <f t="shared" si="6"/>
        <v>0</v>
      </c>
      <c r="K61" s="130" t="str">
        <f t="shared" si="5"/>
        <v>0</v>
      </c>
      <c r="L61" s="149"/>
      <c r="M61" s="149"/>
      <c r="N61" s="149"/>
      <c r="O61" s="291"/>
      <c r="P61" s="292"/>
      <c r="Q61" s="293"/>
      <c r="R61" s="81"/>
      <c r="S61" s="68"/>
      <c r="T61" s="68"/>
      <c r="U61" s="77"/>
    </row>
    <row r="62" spans="1:21" x14ac:dyDescent="0.3">
      <c r="A62" s="294" t="s">
        <v>48</v>
      </c>
      <c r="B62" s="295"/>
      <c r="C62" s="295"/>
      <c r="D62" s="295"/>
      <c r="E62" s="295"/>
      <c r="F62" s="295"/>
      <c r="G62" s="295"/>
      <c r="H62" s="295">
        <f t="shared" ref="H62:M62" si="8">SUM(H37:H61)</f>
        <v>0</v>
      </c>
      <c r="I62" s="301">
        <f t="shared" si="8"/>
        <v>0</v>
      </c>
      <c r="J62" s="301">
        <f>J61+J60+J59+J58+J57+J56+J55+J54+J53+J52+J51+J50+J49+J48+J47+J46+J45+J44+J43+J42+J41+J40+J39+J38+J37</f>
        <v>0</v>
      </c>
      <c r="K62" s="301">
        <f>K61+K60+K59+K58+K57+K56+K55+K54+K53+K52+K51+K50+K49+K48+K47+K46+K45+K44+K43+K42+K41+K40+K39+K38+K37</f>
        <v>0</v>
      </c>
      <c r="L62" s="304">
        <f t="shared" si="8"/>
        <v>0</v>
      </c>
      <c r="M62" s="307">
        <f t="shared" si="8"/>
        <v>0</v>
      </c>
      <c r="N62" s="276"/>
      <c r="O62" s="277"/>
      <c r="P62" s="277"/>
      <c r="Q62" s="278"/>
      <c r="R62" s="5"/>
      <c r="S62" s="6"/>
      <c r="T62" s="7"/>
      <c r="U62" s="8"/>
    </row>
    <row r="63" spans="1:21" ht="17.25" thickBot="1" x14ac:dyDescent="0.35">
      <c r="A63" s="297"/>
      <c r="B63" s="298"/>
      <c r="C63" s="298"/>
      <c r="D63" s="298"/>
      <c r="E63" s="298"/>
      <c r="F63" s="298"/>
      <c r="G63" s="298"/>
      <c r="H63" s="298"/>
      <c r="I63" s="302"/>
      <c r="J63" s="302"/>
      <c r="K63" s="302"/>
      <c r="L63" s="305"/>
      <c r="M63" s="308"/>
      <c r="N63" s="279"/>
      <c r="O63" s="280"/>
      <c r="P63" s="280"/>
      <c r="Q63" s="281"/>
      <c r="R63" s="1"/>
      <c r="S63" s="2"/>
      <c r="T63" s="3"/>
      <c r="U63" s="4"/>
    </row>
    <row r="64" spans="1:21" ht="17.25" thickBot="1" x14ac:dyDescent="0.35">
      <c r="A64" s="299"/>
      <c r="B64" s="300"/>
      <c r="C64" s="300"/>
      <c r="D64" s="300"/>
      <c r="E64" s="300"/>
      <c r="F64" s="300"/>
      <c r="G64" s="300"/>
      <c r="H64" s="300"/>
      <c r="I64" s="303"/>
      <c r="J64" s="303"/>
      <c r="K64" s="303"/>
      <c r="L64" s="306"/>
      <c r="M64" s="309"/>
      <c r="N64" s="282"/>
      <c r="O64" s="283"/>
      <c r="P64" s="283"/>
      <c r="Q64" s="284"/>
      <c r="R64" s="285" t="s">
        <v>17</v>
      </c>
      <c r="S64" s="286"/>
      <c r="T64" s="286"/>
      <c r="U64" s="287"/>
    </row>
    <row r="65" spans="1:21" ht="17.25" thickBot="1" x14ac:dyDescent="0.35">
      <c r="A65" s="322" t="s">
        <v>24</v>
      </c>
      <c r="B65" s="323"/>
      <c r="C65" s="323"/>
      <c r="D65" s="323"/>
      <c r="E65" s="323"/>
      <c r="F65" s="323"/>
      <c r="G65" s="323"/>
      <c r="H65" s="323"/>
      <c r="I65" s="323"/>
      <c r="J65" s="323"/>
      <c r="K65" s="323"/>
      <c r="L65" s="323"/>
      <c r="M65" s="323"/>
      <c r="N65" s="323"/>
      <c r="O65" s="323"/>
      <c r="P65" s="323"/>
      <c r="Q65" s="323"/>
      <c r="R65" s="323"/>
      <c r="S65" s="323"/>
      <c r="T65" s="323"/>
      <c r="U65" s="324"/>
    </row>
    <row r="66" spans="1:21" ht="17.25" thickBot="1" x14ac:dyDescent="0.35">
      <c r="A66" s="322" t="str">
        <f>A34</f>
        <v>06-02-2022</v>
      </c>
      <c r="B66" s="323"/>
      <c r="C66" s="323"/>
      <c r="D66" s="323"/>
      <c r="E66" s="323"/>
      <c r="F66" s="323"/>
      <c r="G66" s="324"/>
      <c r="H66" s="325" t="s">
        <v>49</v>
      </c>
      <c r="I66" s="326"/>
      <c r="J66" s="322" t="str">
        <f>J34</f>
        <v>RAIN</v>
      </c>
      <c r="K66" s="324"/>
      <c r="L66" s="326" t="s">
        <v>50</v>
      </c>
      <c r="M66" s="327"/>
      <c r="N66" s="325"/>
      <c r="O66" s="323" t="str">
        <f>O34</f>
        <v>JOHN</v>
      </c>
      <c r="P66" s="323"/>
      <c r="Q66" s="324"/>
      <c r="R66" s="326" t="s">
        <v>51</v>
      </c>
      <c r="S66" s="325"/>
      <c r="T66" s="314">
        <f>T34</f>
        <v>4</v>
      </c>
      <c r="U66" s="314"/>
    </row>
    <row r="67" spans="1:21" ht="17.25" thickBot="1" x14ac:dyDescent="0.35">
      <c r="A67" s="15" t="s">
        <v>6</v>
      </c>
      <c r="H67" s="9"/>
      <c r="I67" s="19"/>
      <c r="T67" s="10"/>
      <c r="U67" s="11"/>
    </row>
    <row r="68" spans="1:21" ht="17.25" thickBot="1" x14ac:dyDescent="0.35">
      <c r="A68" s="154" t="s">
        <v>0</v>
      </c>
      <c r="B68" s="259" t="s">
        <v>21</v>
      </c>
      <c r="C68" s="167" t="s">
        <v>7</v>
      </c>
      <c r="D68" s="194" t="s">
        <v>88</v>
      </c>
      <c r="E68" s="167" t="s">
        <v>89</v>
      </c>
      <c r="F68" s="259" t="s">
        <v>25</v>
      </c>
      <c r="G68" s="259" t="s">
        <v>1</v>
      </c>
      <c r="H68" s="259" t="s">
        <v>22</v>
      </c>
      <c r="I68" s="259" t="s">
        <v>20</v>
      </c>
      <c r="J68" s="259" t="s">
        <v>44</v>
      </c>
      <c r="K68" s="259" t="s">
        <v>45</v>
      </c>
      <c r="L68" s="259" t="s">
        <v>47</v>
      </c>
      <c r="M68" s="259" t="s">
        <v>46</v>
      </c>
      <c r="N68" s="259" t="s">
        <v>2</v>
      </c>
      <c r="O68" s="315" t="s">
        <v>8</v>
      </c>
      <c r="P68" s="315"/>
      <c r="Q68" s="315"/>
      <c r="R68" s="259" t="s">
        <v>26</v>
      </c>
      <c r="S68" s="155" t="s">
        <v>3</v>
      </c>
      <c r="T68" s="155" t="s">
        <v>4</v>
      </c>
      <c r="U68" s="156" t="s">
        <v>18</v>
      </c>
    </row>
    <row r="69" spans="1:21" x14ac:dyDescent="0.3">
      <c r="A69" s="152">
        <f>A61+1</f>
        <v>51</v>
      </c>
      <c r="B69" s="263"/>
      <c r="C69" s="68"/>
      <c r="D69" s="197"/>
      <c r="E69" s="181"/>
      <c r="F69" s="171"/>
      <c r="G69" s="118"/>
      <c r="H69" s="91"/>
      <c r="I69" s="124"/>
      <c r="J69" s="130" t="str">
        <f>IF(G69="RSL","55","0")</f>
        <v>0</v>
      </c>
      <c r="K69" s="130" t="str">
        <f t="shared" ref="K69:K93" si="9">IF(G69="GVS","37.5",IF(G69="GVM","41.5",IF(G69="GVL","50",IF(G69="PCS","45.8",IF(G69="PCM","50",IF(G69="PCL","58.3","0"))))))</f>
        <v>0</v>
      </c>
      <c r="L69" s="131"/>
      <c r="M69" s="131"/>
      <c r="N69" s="69"/>
      <c r="O69" s="289"/>
      <c r="P69" s="288"/>
      <c r="Q69" s="290"/>
      <c r="R69" s="60"/>
      <c r="S69" s="61"/>
      <c r="T69" s="61"/>
      <c r="U69" s="70"/>
    </row>
    <row r="70" spans="1:21" x14ac:dyDescent="0.3">
      <c r="A70" s="128">
        <f>A69+1</f>
        <v>52</v>
      </c>
      <c r="B70" s="263"/>
      <c r="C70" s="67"/>
      <c r="D70" s="195"/>
      <c r="E70" s="181"/>
      <c r="F70" s="171"/>
      <c r="G70" s="118"/>
      <c r="H70" s="91"/>
      <c r="I70" s="124"/>
      <c r="J70" s="130" t="str">
        <f t="shared" ref="J70:J93" si="10">IF(G70="RSL","55","0")</f>
        <v>0</v>
      </c>
      <c r="K70" s="130" t="str">
        <f t="shared" si="9"/>
        <v>0</v>
      </c>
      <c r="L70" s="131"/>
      <c r="M70" s="131"/>
      <c r="N70" s="69"/>
      <c r="O70" s="316"/>
      <c r="P70" s="317"/>
      <c r="Q70" s="318"/>
      <c r="R70" s="78"/>
      <c r="S70" s="71"/>
      <c r="T70" s="16"/>
      <c r="U70" s="72"/>
    </row>
    <row r="71" spans="1:21" x14ac:dyDescent="0.3">
      <c r="A71" s="128">
        <f t="shared" ref="A71:A93" si="11">A70+1</f>
        <v>53</v>
      </c>
      <c r="B71" s="263"/>
      <c r="C71" s="27"/>
      <c r="D71" s="183"/>
      <c r="E71" s="181"/>
      <c r="F71" s="171"/>
      <c r="G71" s="118"/>
      <c r="H71" s="91"/>
      <c r="I71" s="124"/>
      <c r="J71" s="130" t="str">
        <f t="shared" si="10"/>
        <v>0</v>
      </c>
      <c r="K71" s="130" t="str">
        <f t="shared" si="9"/>
        <v>0</v>
      </c>
      <c r="L71" s="131"/>
      <c r="M71" s="131"/>
      <c r="N71" s="69"/>
      <c r="O71" s="289"/>
      <c r="P71" s="288"/>
      <c r="Q71" s="290"/>
      <c r="R71" s="79"/>
      <c r="S71" s="13"/>
      <c r="T71" s="12"/>
      <c r="U71" s="72"/>
    </row>
    <row r="72" spans="1:21" x14ac:dyDescent="0.3">
      <c r="A72" s="128">
        <f t="shared" si="11"/>
        <v>54</v>
      </c>
      <c r="B72" s="263"/>
      <c r="C72" s="63"/>
      <c r="D72" s="184"/>
      <c r="E72" s="181"/>
      <c r="F72" s="172"/>
      <c r="G72" s="119"/>
      <c r="H72" s="91"/>
      <c r="I72" s="91"/>
      <c r="J72" s="130" t="str">
        <f t="shared" si="10"/>
        <v>0</v>
      </c>
      <c r="K72" s="130" t="str">
        <f t="shared" si="9"/>
        <v>0</v>
      </c>
      <c r="L72" s="131"/>
      <c r="M72" s="131"/>
      <c r="N72" s="69"/>
      <c r="O72" s="319"/>
      <c r="P72" s="320"/>
      <c r="Q72" s="321"/>
      <c r="R72" s="78"/>
      <c r="S72" s="71"/>
      <c r="T72" s="71"/>
      <c r="U72" s="72"/>
    </row>
    <row r="73" spans="1:21" x14ac:dyDescent="0.3">
      <c r="A73" s="128">
        <f t="shared" si="11"/>
        <v>55</v>
      </c>
      <c r="B73" s="263"/>
      <c r="C73" s="63"/>
      <c r="D73" s="184"/>
      <c r="E73" s="181"/>
      <c r="F73" s="172"/>
      <c r="G73" s="119"/>
      <c r="H73" s="91"/>
      <c r="I73" s="91"/>
      <c r="J73" s="130" t="str">
        <f t="shared" si="10"/>
        <v>0</v>
      </c>
      <c r="K73" s="130" t="str">
        <f t="shared" si="9"/>
        <v>0</v>
      </c>
      <c r="L73" s="131"/>
      <c r="M73" s="131"/>
      <c r="N73" s="69"/>
      <c r="O73" s="319"/>
      <c r="P73" s="320"/>
      <c r="Q73" s="321"/>
      <c r="R73" s="80"/>
      <c r="S73" s="73"/>
      <c r="T73" s="73"/>
      <c r="U73" s="74"/>
    </row>
    <row r="74" spans="1:21" x14ac:dyDescent="0.3">
      <c r="A74" s="128">
        <f t="shared" si="11"/>
        <v>56</v>
      </c>
      <c r="B74" s="263"/>
      <c r="C74" s="28"/>
      <c r="D74" s="185"/>
      <c r="E74" s="181"/>
      <c r="F74" s="173"/>
      <c r="G74" s="120"/>
      <c r="H74" s="123"/>
      <c r="I74" s="125"/>
      <c r="J74" s="130" t="str">
        <f t="shared" si="10"/>
        <v>0</v>
      </c>
      <c r="K74" s="130" t="str">
        <f t="shared" si="9"/>
        <v>0</v>
      </c>
      <c r="L74" s="131"/>
      <c r="M74" s="131"/>
      <c r="N74" s="69"/>
      <c r="O74" s="311"/>
      <c r="P74" s="312"/>
      <c r="Q74" s="313"/>
      <c r="R74" s="80"/>
      <c r="S74" s="73"/>
      <c r="T74" s="73"/>
      <c r="U74" s="74"/>
    </row>
    <row r="75" spans="1:21" x14ac:dyDescent="0.3">
      <c r="A75" s="128">
        <f t="shared" si="11"/>
        <v>57</v>
      </c>
      <c r="B75" s="263"/>
      <c r="C75" s="18"/>
      <c r="D75" s="191"/>
      <c r="E75" s="181"/>
      <c r="F75" s="66"/>
      <c r="G75" s="121"/>
      <c r="H75" s="123"/>
      <c r="I75" s="124"/>
      <c r="J75" s="130" t="str">
        <f t="shared" si="10"/>
        <v>0</v>
      </c>
      <c r="K75" s="130" t="str">
        <f t="shared" si="9"/>
        <v>0</v>
      </c>
      <c r="L75" s="131"/>
      <c r="M75" s="131"/>
      <c r="N75" s="69"/>
      <c r="O75" s="289"/>
      <c r="P75" s="288"/>
      <c r="Q75" s="290"/>
      <c r="R75" s="78"/>
      <c r="S75" s="71"/>
      <c r="T75" s="71"/>
      <c r="U75" s="72"/>
    </row>
    <row r="76" spans="1:21" x14ac:dyDescent="0.3">
      <c r="A76" s="128">
        <f t="shared" si="11"/>
        <v>58</v>
      </c>
      <c r="B76" s="263"/>
      <c r="C76" s="64"/>
      <c r="D76" s="186"/>
      <c r="E76" s="181"/>
      <c r="F76" s="173"/>
      <c r="G76" s="119"/>
      <c r="H76" s="123"/>
      <c r="I76" s="125"/>
      <c r="J76" s="130" t="str">
        <f t="shared" si="10"/>
        <v>0</v>
      </c>
      <c r="K76" s="130" t="str">
        <f t="shared" si="9"/>
        <v>0</v>
      </c>
      <c r="L76" s="131"/>
      <c r="M76" s="131"/>
      <c r="N76" s="69"/>
      <c r="O76" s="289"/>
      <c r="P76" s="288"/>
      <c r="Q76" s="290"/>
      <c r="R76" s="5"/>
      <c r="S76" s="71"/>
      <c r="T76" s="71"/>
      <c r="U76" s="72"/>
    </row>
    <row r="77" spans="1:21" x14ac:dyDescent="0.3">
      <c r="A77" s="128">
        <f t="shared" si="11"/>
        <v>59</v>
      </c>
      <c r="B77" s="263"/>
      <c r="C77" s="64"/>
      <c r="D77" s="186"/>
      <c r="E77" s="181"/>
      <c r="F77" s="173"/>
      <c r="G77" s="119"/>
      <c r="H77" s="123"/>
      <c r="I77" s="125"/>
      <c r="J77" s="130" t="str">
        <f t="shared" si="10"/>
        <v>0</v>
      </c>
      <c r="K77" s="130" t="str">
        <f t="shared" si="9"/>
        <v>0</v>
      </c>
      <c r="L77" s="131"/>
      <c r="M77" s="131"/>
      <c r="N77" s="69"/>
      <c r="O77" s="289"/>
      <c r="P77" s="288"/>
      <c r="Q77" s="290"/>
      <c r="R77" s="5"/>
      <c r="S77" s="71"/>
      <c r="T77" s="71"/>
      <c r="U77" s="72"/>
    </row>
    <row r="78" spans="1:21" x14ac:dyDescent="0.3">
      <c r="A78" s="128">
        <f t="shared" si="11"/>
        <v>60</v>
      </c>
      <c r="B78" s="263"/>
      <c r="C78" s="65"/>
      <c r="D78" s="187"/>
      <c r="E78" s="181"/>
      <c r="F78" s="170"/>
      <c r="G78" s="122"/>
      <c r="H78" s="123"/>
      <c r="I78" s="124"/>
      <c r="J78" s="130" t="str">
        <f t="shared" si="10"/>
        <v>0</v>
      </c>
      <c r="K78" s="130" t="str">
        <f t="shared" si="9"/>
        <v>0</v>
      </c>
      <c r="L78" s="131"/>
      <c r="M78" s="131"/>
      <c r="N78" s="69"/>
      <c r="O78" s="289"/>
      <c r="P78" s="288"/>
      <c r="Q78" s="290"/>
      <c r="R78" s="5"/>
      <c r="S78" s="71"/>
      <c r="T78" s="71"/>
      <c r="U78" s="72"/>
    </row>
    <row r="79" spans="1:21" x14ac:dyDescent="0.3">
      <c r="A79" s="128">
        <f t="shared" si="11"/>
        <v>61</v>
      </c>
      <c r="B79" s="263"/>
      <c r="C79" s="18"/>
      <c r="D79" s="191"/>
      <c r="E79" s="181"/>
      <c r="F79" s="66"/>
      <c r="G79" s="121"/>
      <c r="H79" s="123"/>
      <c r="I79" s="124"/>
      <c r="J79" s="130" t="str">
        <f t="shared" si="10"/>
        <v>0</v>
      </c>
      <c r="K79" s="130" t="str">
        <f t="shared" si="9"/>
        <v>0</v>
      </c>
      <c r="L79" s="131"/>
      <c r="M79" s="131"/>
      <c r="N79" s="69"/>
      <c r="O79" s="289"/>
      <c r="P79" s="288"/>
      <c r="Q79" s="290"/>
      <c r="R79" s="5"/>
      <c r="S79" s="71"/>
      <c r="T79" s="71"/>
      <c r="U79" s="72"/>
    </row>
    <row r="80" spans="1:21" x14ac:dyDescent="0.3">
      <c r="A80" s="128">
        <f t="shared" si="11"/>
        <v>62</v>
      </c>
      <c r="B80" s="263"/>
      <c r="C80" s="65"/>
      <c r="D80" s="187"/>
      <c r="E80" s="181"/>
      <c r="F80" s="170"/>
      <c r="G80" s="122"/>
      <c r="H80" s="123"/>
      <c r="I80" s="124"/>
      <c r="J80" s="130" t="str">
        <f t="shared" si="10"/>
        <v>0</v>
      </c>
      <c r="K80" s="130" t="str">
        <f t="shared" si="9"/>
        <v>0</v>
      </c>
      <c r="L80" s="131"/>
      <c r="M80" s="131"/>
      <c r="N80" s="69"/>
      <c r="O80" s="289"/>
      <c r="P80" s="288"/>
      <c r="Q80" s="290"/>
      <c r="R80" s="5"/>
      <c r="S80" s="71"/>
      <c r="T80" s="71"/>
      <c r="U80" s="72"/>
    </row>
    <row r="81" spans="1:21" x14ac:dyDescent="0.3">
      <c r="A81" s="128">
        <f t="shared" si="11"/>
        <v>63</v>
      </c>
      <c r="B81" s="263"/>
      <c r="C81" s="18"/>
      <c r="D81" s="191"/>
      <c r="E81" s="181"/>
      <c r="F81" s="66"/>
      <c r="G81" s="121"/>
      <c r="H81" s="123"/>
      <c r="I81" s="124"/>
      <c r="J81" s="130" t="str">
        <f t="shared" si="10"/>
        <v>0</v>
      </c>
      <c r="K81" s="130" t="str">
        <f t="shared" si="9"/>
        <v>0</v>
      </c>
      <c r="L81" s="131"/>
      <c r="M81" s="131"/>
      <c r="N81" s="69"/>
      <c r="O81" s="289"/>
      <c r="P81" s="288"/>
      <c r="Q81" s="290"/>
      <c r="R81" s="5"/>
      <c r="S81" s="71"/>
      <c r="T81" s="75"/>
      <c r="U81" s="72"/>
    </row>
    <row r="82" spans="1:21" x14ac:dyDescent="0.3">
      <c r="A82" s="128">
        <f t="shared" si="11"/>
        <v>64</v>
      </c>
      <c r="B82" s="263"/>
      <c r="C82" s="18"/>
      <c r="D82" s="191"/>
      <c r="E82" s="181"/>
      <c r="F82" s="66"/>
      <c r="G82" s="20"/>
      <c r="H82" s="123"/>
      <c r="I82" s="124"/>
      <c r="J82" s="130" t="str">
        <f t="shared" si="10"/>
        <v>0</v>
      </c>
      <c r="K82" s="130" t="str">
        <f t="shared" si="9"/>
        <v>0</v>
      </c>
      <c r="L82" s="131"/>
      <c r="M82" s="131"/>
      <c r="N82" s="69"/>
      <c r="O82" s="289"/>
      <c r="P82" s="288"/>
      <c r="Q82" s="290"/>
      <c r="R82" s="5"/>
      <c r="S82" s="71"/>
      <c r="T82" s="75"/>
      <c r="U82" s="72"/>
    </row>
    <row r="83" spans="1:21" x14ac:dyDescent="0.3">
      <c r="A83" s="128">
        <f t="shared" si="11"/>
        <v>65</v>
      </c>
      <c r="B83" s="263"/>
      <c r="C83" s="18"/>
      <c r="D83" s="191"/>
      <c r="E83" s="181"/>
      <c r="F83" s="66"/>
      <c r="G83" s="121"/>
      <c r="H83" s="123"/>
      <c r="I83" s="124"/>
      <c r="J83" s="130" t="str">
        <f t="shared" si="10"/>
        <v>0</v>
      </c>
      <c r="K83" s="130" t="str">
        <f t="shared" si="9"/>
        <v>0</v>
      </c>
      <c r="L83" s="131"/>
      <c r="M83" s="131"/>
      <c r="N83" s="69"/>
      <c r="O83" s="289"/>
      <c r="P83" s="288"/>
      <c r="Q83" s="288"/>
      <c r="R83" s="5"/>
      <c r="S83" s="71"/>
      <c r="T83" s="75"/>
      <c r="U83" s="72"/>
    </row>
    <row r="84" spans="1:21" x14ac:dyDescent="0.3">
      <c r="A84" s="128">
        <f t="shared" si="11"/>
        <v>66</v>
      </c>
      <c r="B84" s="263"/>
      <c r="C84" s="66"/>
      <c r="D84" s="192"/>
      <c r="E84" s="181"/>
      <c r="F84" s="66"/>
      <c r="G84" s="121"/>
      <c r="H84" s="123"/>
      <c r="I84" s="124"/>
      <c r="J84" s="130" t="str">
        <f t="shared" si="10"/>
        <v>0</v>
      </c>
      <c r="K84" s="130" t="str">
        <f t="shared" si="9"/>
        <v>0</v>
      </c>
      <c r="L84" s="131"/>
      <c r="M84" s="131"/>
      <c r="N84" s="69"/>
      <c r="O84" s="289"/>
      <c r="P84" s="288"/>
      <c r="Q84" s="288"/>
      <c r="R84" s="81"/>
      <c r="S84" s="68"/>
      <c r="T84" s="76"/>
      <c r="U84" s="77"/>
    </row>
    <row r="85" spans="1:21" x14ac:dyDescent="0.3">
      <c r="A85" s="128">
        <f t="shared" si="11"/>
        <v>67</v>
      </c>
      <c r="B85" s="263"/>
      <c r="C85" s="127"/>
      <c r="D85" s="188"/>
      <c r="E85" s="181"/>
      <c r="F85" s="175"/>
      <c r="G85" s="263"/>
      <c r="H85" s="89"/>
      <c r="I85" s="141"/>
      <c r="J85" s="130" t="str">
        <f t="shared" si="10"/>
        <v>0</v>
      </c>
      <c r="K85" s="130" t="str">
        <f t="shared" si="9"/>
        <v>0</v>
      </c>
      <c r="L85" s="69"/>
      <c r="M85" s="69"/>
      <c r="N85" s="69"/>
      <c r="O85" s="310"/>
      <c r="P85" s="289"/>
      <c r="Q85" s="289"/>
      <c r="R85" s="81"/>
      <c r="S85" s="68"/>
      <c r="T85" s="76"/>
      <c r="U85" s="77"/>
    </row>
    <row r="86" spans="1:21" x14ac:dyDescent="0.3">
      <c r="A86" s="128">
        <f t="shared" si="11"/>
        <v>68</v>
      </c>
      <c r="B86" s="263"/>
      <c r="C86" s="127"/>
      <c r="D86" s="188"/>
      <c r="E86" s="181"/>
      <c r="F86" s="175"/>
      <c r="G86" s="263"/>
      <c r="H86" s="89"/>
      <c r="I86" s="141"/>
      <c r="J86" s="130" t="str">
        <f t="shared" si="10"/>
        <v>0</v>
      </c>
      <c r="K86" s="130" t="str">
        <f t="shared" si="9"/>
        <v>0</v>
      </c>
      <c r="L86" s="69"/>
      <c r="M86" s="69"/>
      <c r="N86" s="69"/>
      <c r="O86" s="310"/>
      <c r="P86" s="289"/>
      <c r="Q86" s="289"/>
      <c r="R86" s="81"/>
      <c r="S86" s="68"/>
      <c r="T86" s="76"/>
      <c r="U86" s="77"/>
    </row>
    <row r="87" spans="1:21" x14ac:dyDescent="0.3">
      <c r="A87" s="128">
        <f t="shared" si="11"/>
        <v>69</v>
      </c>
      <c r="B87" s="263"/>
      <c r="C87" s="127"/>
      <c r="D87" s="188"/>
      <c r="E87" s="181"/>
      <c r="F87" s="175"/>
      <c r="G87" s="263"/>
      <c r="H87" s="89"/>
      <c r="I87" s="141"/>
      <c r="J87" s="130" t="str">
        <f t="shared" si="10"/>
        <v>0</v>
      </c>
      <c r="K87" s="130" t="str">
        <f t="shared" si="9"/>
        <v>0</v>
      </c>
      <c r="L87" s="69"/>
      <c r="M87" s="69"/>
      <c r="N87" s="69"/>
      <c r="O87" s="310"/>
      <c r="P87" s="289"/>
      <c r="Q87" s="289"/>
      <c r="R87" s="81"/>
      <c r="S87" s="68"/>
      <c r="T87" s="76"/>
      <c r="U87" s="77"/>
    </row>
    <row r="88" spans="1:21" x14ac:dyDescent="0.3">
      <c r="A88" s="128">
        <f t="shared" si="11"/>
        <v>70</v>
      </c>
      <c r="B88" s="263"/>
      <c r="C88" s="132"/>
      <c r="D88" s="189"/>
      <c r="E88" s="181"/>
      <c r="F88" s="175"/>
      <c r="G88" s="263"/>
      <c r="H88" s="90"/>
      <c r="I88" s="90"/>
      <c r="J88" s="130" t="str">
        <f t="shared" si="10"/>
        <v>0</v>
      </c>
      <c r="K88" s="130" t="str">
        <f t="shared" si="9"/>
        <v>0</v>
      </c>
      <c r="L88" s="69"/>
      <c r="M88" s="69"/>
      <c r="N88" s="69"/>
      <c r="O88" s="288"/>
      <c r="P88" s="288"/>
      <c r="Q88" s="288"/>
      <c r="R88" s="81"/>
      <c r="S88" s="68"/>
      <c r="T88" s="76"/>
      <c r="U88" s="77"/>
    </row>
    <row r="89" spans="1:21" x14ac:dyDescent="0.3">
      <c r="A89" s="128">
        <f t="shared" si="11"/>
        <v>71</v>
      </c>
      <c r="B89" s="263"/>
      <c r="C89" s="27"/>
      <c r="D89" s="183"/>
      <c r="E89" s="181"/>
      <c r="F89" s="177"/>
      <c r="G89" s="20"/>
      <c r="H89" s="89"/>
      <c r="I89" s="141"/>
      <c r="J89" s="130" t="str">
        <f t="shared" si="10"/>
        <v>0</v>
      </c>
      <c r="K89" s="130" t="str">
        <f t="shared" si="9"/>
        <v>0</v>
      </c>
      <c r="L89" s="69"/>
      <c r="M89" s="69"/>
      <c r="N89" s="69"/>
      <c r="O89" s="289"/>
      <c r="P89" s="288"/>
      <c r="Q89" s="288"/>
      <c r="R89" s="81"/>
      <c r="S89" s="68"/>
      <c r="T89" s="68"/>
      <c r="U89" s="77"/>
    </row>
    <row r="90" spans="1:21" x14ac:dyDescent="0.3">
      <c r="A90" s="128">
        <f t="shared" si="11"/>
        <v>72</v>
      </c>
      <c r="B90" s="263"/>
      <c r="C90" s="27"/>
      <c r="D90" s="183"/>
      <c r="E90" s="181"/>
      <c r="F90" s="177"/>
      <c r="G90" s="20"/>
      <c r="H90" s="89"/>
      <c r="I90" s="141"/>
      <c r="J90" s="130" t="str">
        <f t="shared" si="10"/>
        <v>0</v>
      </c>
      <c r="K90" s="130" t="str">
        <f t="shared" si="9"/>
        <v>0</v>
      </c>
      <c r="L90" s="69"/>
      <c r="M90" s="69"/>
      <c r="N90" s="69"/>
      <c r="O90" s="288"/>
      <c r="P90" s="288"/>
      <c r="Q90" s="288"/>
      <c r="R90" s="81"/>
      <c r="S90" s="68"/>
      <c r="T90" s="68"/>
      <c r="U90" s="77"/>
    </row>
    <row r="91" spans="1:21" x14ac:dyDescent="0.3">
      <c r="A91" s="128">
        <f t="shared" si="11"/>
        <v>73</v>
      </c>
      <c r="B91" s="263"/>
      <c r="C91" s="27"/>
      <c r="D91" s="183"/>
      <c r="E91" s="181"/>
      <c r="F91" s="177"/>
      <c r="G91" s="20"/>
      <c r="H91" s="89"/>
      <c r="I91" s="141"/>
      <c r="J91" s="130" t="str">
        <f t="shared" si="10"/>
        <v>0</v>
      </c>
      <c r="K91" s="130" t="str">
        <f t="shared" si="9"/>
        <v>0</v>
      </c>
      <c r="L91" s="69"/>
      <c r="M91" s="69"/>
      <c r="N91" s="69"/>
      <c r="O91" s="288"/>
      <c r="P91" s="288"/>
      <c r="Q91" s="288"/>
      <c r="R91" s="81"/>
      <c r="S91" s="68"/>
      <c r="T91" s="68"/>
      <c r="U91" s="77"/>
    </row>
    <row r="92" spans="1:21" x14ac:dyDescent="0.3">
      <c r="A92" s="128">
        <f t="shared" si="11"/>
        <v>74</v>
      </c>
      <c r="B92" s="263"/>
      <c r="C92" s="34"/>
      <c r="D92" s="190"/>
      <c r="E92" s="181"/>
      <c r="F92" s="177"/>
      <c r="G92" s="20"/>
      <c r="H92" s="89"/>
      <c r="I92" s="89"/>
      <c r="J92" s="130" t="str">
        <f t="shared" si="10"/>
        <v>0</v>
      </c>
      <c r="K92" s="130" t="str">
        <f t="shared" si="9"/>
        <v>0</v>
      </c>
      <c r="L92" s="69"/>
      <c r="M92" s="69"/>
      <c r="N92" s="69"/>
      <c r="O92" s="289"/>
      <c r="P92" s="288"/>
      <c r="Q92" s="290"/>
      <c r="R92" s="81"/>
      <c r="S92" s="68"/>
      <c r="T92" s="68"/>
      <c r="U92" s="77"/>
    </row>
    <row r="93" spans="1:21" ht="17.25" thickBot="1" x14ac:dyDescent="0.35">
      <c r="A93" s="128">
        <f t="shared" si="11"/>
        <v>75</v>
      </c>
      <c r="B93" s="263"/>
      <c r="C93" s="30"/>
      <c r="D93" s="199"/>
      <c r="E93" s="182"/>
      <c r="F93" s="178"/>
      <c r="G93" s="263"/>
      <c r="H93" s="148"/>
      <c r="I93" s="148"/>
      <c r="J93" s="130" t="str">
        <f t="shared" si="10"/>
        <v>0</v>
      </c>
      <c r="K93" s="130" t="str">
        <f t="shared" si="9"/>
        <v>0</v>
      </c>
      <c r="L93" s="149"/>
      <c r="M93" s="149"/>
      <c r="N93" s="149"/>
      <c r="O93" s="291"/>
      <c r="P93" s="292"/>
      <c r="Q93" s="293"/>
      <c r="R93" s="81"/>
      <c r="S93" s="68"/>
      <c r="T93" s="68"/>
      <c r="U93" s="77"/>
    </row>
    <row r="94" spans="1:21" x14ac:dyDescent="0.3">
      <c r="A94" s="294" t="s">
        <v>48</v>
      </c>
      <c r="B94" s="295"/>
      <c r="C94" s="295"/>
      <c r="D94" s="295"/>
      <c r="E94" s="296"/>
      <c r="F94" s="295"/>
      <c r="G94" s="295"/>
      <c r="H94" s="295">
        <f t="shared" ref="H94:M94" si="12">SUM(H69:H93)</f>
        <v>0</v>
      </c>
      <c r="I94" s="301">
        <f t="shared" si="12"/>
        <v>0</v>
      </c>
      <c r="J94" s="301">
        <f>J93+J92+J91+J90+J89+J88+J87+J86+J85+J84+J83+J82+J81+J80+J79+J78+J77+J76+J75+J74+J73+J72+J71+J70+J69</f>
        <v>0</v>
      </c>
      <c r="K94" s="301">
        <f>K93+K92+K91+K90+K89+K88+K87+K86+K85+K84+K83+K82+K81+K80+K79+K78+K77+K76+K75+K74+K73+K72+K71+K70+K69</f>
        <v>0</v>
      </c>
      <c r="L94" s="304">
        <f t="shared" si="12"/>
        <v>0</v>
      </c>
      <c r="M94" s="307">
        <f t="shared" si="12"/>
        <v>0</v>
      </c>
      <c r="N94" s="276"/>
      <c r="O94" s="277"/>
      <c r="P94" s="277"/>
      <c r="Q94" s="278"/>
      <c r="R94" s="5"/>
      <c r="S94" s="6"/>
      <c r="T94" s="7"/>
      <c r="U94" s="8"/>
    </row>
    <row r="95" spans="1:21" ht="17.25" thickBot="1" x14ac:dyDescent="0.35">
      <c r="A95" s="297"/>
      <c r="B95" s="298"/>
      <c r="C95" s="298"/>
      <c r="D95" s="298"/>
      <c r="E95" s="298"/>
      <c r="F95" s="298"/>
      <c r="G95" s="298"/>
      <c r="H95" s="298"/>
      <c r="I95" s="302"/>
      <c r="J95" s="302"/>
      <c r="K95" s="302"/>
      <c r="L95" s="305"/>
      <c r="M95" s="308"/>
      <c r="N95" s="279"/>
      <c r="O95" s="280"/>
      <c r="P95" s="280"/>
      <c r="Q95" s="281"/>
      <c r="R95" s="1"/>
      <c r="S95" s="2"/>
      <c r="T95" s="3"/>
      <c r="U95" s="4"/>
    </row>
    <row r="96" spans="1:21" ht="17.25" thickBot="1" x14ac:dyDescent="0.35">
      <c r="A96" s="299"/>
      <c r="B96" s="300"/>
      <c r="C96" s="300"/>
      <c r="D96" s="300"/>
      <c r="E96" s="300"/>
      <c r="F96" s="300"/>
      <c r="G96" s="300"/>
      <c r="H96" s="300"/>
      <c r="I96" s="303"/>
      <c r="J96" s="303"/>
      <c r="K96" s="303"/>
      <c r="L96" s="306"/>
      <c r="M96" s="309"/>
      <c r="N96" s="282"/>
      <c r="O96" s="283"/>
      <c r="P96" s="283"/>
      <c r="Q96" s="284"/>
      <c r="R96" s="285" t="s">
        <v>52</v>
      </c>
      <c r="S96" s="286"/>
      <c r="T96" s="286"/>
      <c r="U96" s="287"/>
    </row>
  </sheetData>
  <mergeCells count="131">
    <mergeCell ref="O4:Q4"/>
    <mergeCell ref="O5:Q5"/>
    <mergeCell ref="O6:Q6"/>
    <mergeCell ref="O7:Q7"/>
    <mergeCell ref="O8:Q8"/>
    <mergeCell ref="O9:Q9"/>
    <mergeCell ref="A1:U1"/>
    <mergeCell ref="A2:G2"/>
    <mergeCell ref="H2:I2"/>
    <mergeCell ref="J2:K2"/>
    <mergeCell ref="L2:N2"/>
    <mergeCell ref="O2:Q2"/>
    <mergeCell ref="R2:S2"/>
    <mergeCell ref="T2:U2"/>
    <mergeCell ref="O16:Q16"/>
    <mergeCell ref="O17:Q17"/>
    <mergeCell ref="O18:Q18"/>
    <mergeCell ref="O19:Q19"/>
    <mergeCell ref="O20:Q20"/>
    <mergeCell ref="O21:Q21"/>
    <mergeCell ref="O10:Q10"/>
    <mergeCell ref="O11:Q11"/>
    <mergeCell ref="O12:Q12"/>
    <mergeCell ref="O13:Q13"/>
    <mergeCell ref="O14:Q14"/>
    <mergeCell ref="O15:Q15"/>
    <mergeCell ref="O27:Q27"/>
    <mergeCell ref="R27:U27"/>
    <mergeCell ref="O28:Q28"/>
    <mergeCell ref="R28:T28"/>
    <mergeCell ref="O29:Q29"/>
    <mergeCell ref="R29:T29"/>
    <mergeCell ref="O22:Q22"/>
    <mergeCell ref="X23:Z23"/>
    <mergeCell ref="O24:Q24"/>
    <mergeCell ref="O25:Q25"/>
    <mergeCell ref="U25:U26"/>
    <mergeCell ref="O26:Q26"/>
    <mergeCell ref="A33:U33"/>
    <mergeCell ref="A34:G34"/>
    <mergeCell ref="H34:I34"/>
    <mergeCell ref="J34:K34"/>
    <mergeCell ref="L34:N34"/>
    <mergeCell ref="O34:Q34"/>
    <mergeCell ref="R34:S34"/>
    <mergeCell ref="T34:U34"/>
    <mergeCell ref="A30:G30"/>
    <mergeCell ref="R30:T30"/>
    <mergeCell ref="A31:G31"/>
    <mergeCell ref="T31:U32"/>
    <mergeCell ref="A32:B32"/>
    <mergeCell ref="F32:G32"/>
    <mergeCell ref="I32:J32"/>
    <mergeCell ref="O42:Q42"/>
    <mergeCell ref="O43:Q43"/>
    <mergeCell ref="O44:Q44"/>
    <mergeCell ref="O45:Q45"/>
    <mergeCell ref="O46:Q46"/>
    <mergeCell ref="O47:Q47"/>
    <mergeCell ref="O36:Q36"/>
    <mergeCell ref="O37:Q37"/>
    <mergeCell ref="O38:Q38"/>
    <mergeCell ref="O39:Q39"/>
    <mergeCell ref="O40:Q40"/>
    <mergeCell ref="O41:Q41"/>
    <mergeCell ref="O54:Q54"/>
    <mergeCell ref="O55:Q55"/>
    <mergeCell ref="O56:Q56"/>
    <mergeCell ref="O57:Q57"/>
    <mergeCell ref="O58:Q58"/>
    <mergeCell ref="O59:Q59"/>
    <mergeCell ref="O48:Q48"/>
    <mergeCell ref="O49:Q49"/>
    <mergeCell ref="O50:Q50"/>
    <mergeCell ref="O51:Q51"/>
    <mergeCell ref="O52:Q52"/>
    <mergeCell ref="O53:Q53"/>
    <mergeCell ref="O60:Q60"/>
    <mergeCell ref="O61:Q61"/>
    <mergeCell ref="A62:G64"/>
    <mergeCell ref="H62:H64"/>
    <mergeCell ref="I62:I64"/>
    <mergeCell ref="J62:J64"/>
    <mergeCell ref="K62:K64"/>
    <mergeCell ref="L62:L64"/>
    <mergeCell ref="M62:M64"/>
    <mergeCell ref="N62:Q64"/>
    <mergeCell ref="R64:U64"/>
    <mergeCell ref="A65:U65"/>
    <mergeCell ref="A66:G66"/>
    <mergeCell ref="H66:I66"/>
    <mergeCell ref="J66:K66"/>
    <mergeCell ref="L66:N66"/>
    <mergeCell ref="O66:Q66"/>
    <mergeCell ref="R66:S66"/>
    <mergeCell ref="T66:U66"/>
    <mergeCell ref="O74:Q74"/>
    <mergeCell ref="O75:Q75"/>
    <mergeCell ref="O76:Q76"/>
    <mergeCell ref="O77:Q77"/>
    <mergeCell ref="O78:Q78"/>
    <mergeCell ref="O79:Q79"/>
    <mergeCell ref="O68:Q68"/>
    <mergeCell ref="O69:Q69"/>
    <mergeCell ref="O70:Q70"/>
    <mergeCell ref="O71:Q71"/>
    <mergeCell ref="O72:Q72"/>
    <mergeCell ref="O73:Q73"/>
    <mergeCell ref="O86:Q86"/>
    <mergeCell ref="O87:Q87"/>
    <mergeCell ref="O88:Q88"/>
    <mergeCell ref="O89:Q89"/>
    <mergeCell ref="O90:Q90"/>
    <mergeCell ref="O91:Q91"/>
    <mergeCell ref="O80:Q80"/>
    <mergeCell ref="O81:Q81"/>
    <mergeCell ref="O82:Q82"/>
    <mergeCell ref="O83:Q83"/>
    <mergeCell ref="O84:Q84"/>
    <mergeCell ref="O85:Q85"/>
    <mergeCell ref="R96:U96"/>
    <mergeCell ref="O92:Q92"/>
    <mergeCell ref="O93:Q93"/>
    <mergeCell ref="A94:G96"/>
    <mergeCell ref="H94:H96"/>
    <mergeCell ref="I94:I96"/>
    <mergeCell ref="J94:J96"/>
    <mergeCell ref="K94:K96"/>
    <mergeCell ref="L94:L96"/>
    <mergeCell ref="M94:M96"/>
    <mergeCell ref="N94:Q96"/>
  </mergeCells>
  <phoneticPr fontId="4" type="noConversion"/>
  <dataValidations count="1">
    <dataValidation type="list" allowBlank="1" showInputMessage="1" showErrorMessage="1" sqref="X7 W5 E69:E93 E37:E61 E5:E29" xr:uid="{6FE8855B-C09F-4E3D-BF4A-9200362931E1}">
      <formula1>$W$5:$W$7</formula1>
    </dataValidation>
  </dataValidations>
  <pageMargins left="0.28999999999999998" right="0.23622047244094491" top="0.74803149606299213" bottom="0.74803149606299213" header="0.31496062992125984" footer="0.31496062992125984"/>
  <pageSetup paperSize="9" scale="90" fitToHeight="0" orientation="landscape" horizontalDpi="4294967293" verticalDpi="300" r:id="rId1"/>
  <rowBreaks count="1" manualBreakCount="1">
    <brk id="32" max="20" man="1"/>
  </row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6DDDC-8ECB-489E-BB4E-501191EF3F61}">
  <dimension ref="A1:AD52"/>
  <sheetViews>
    <sheetView topLeftCell="A18" workbookViewId="0">
      <selection activeCell="H23" sqref="H23:K23"/>
    </sheetView>
  </sheetViews>
  <sheetFormatPr defaultColWidth="9" defaultRowHeight="16.5" x14ac:dyDescent="0.3"/>
  <cols>
    <col min="1" max="477" width="2.625" style="35" customWidth="1"/>
    <col min="478" max="16384" width="9" style="35"/>
  </cols>
  <sheetData>
    <row r="1" spans="1:30" ht="32.25" customHeight="1" x14ac:dyDescent="0.3">
      <c r="A1" s="595"/>
      <c r="B1" s="595"/>
      <c r="C1" s="595"/>
      <c r="D1" s="595"/>
      <c r="E1" s="594" t="s">
        <v>59</v>
      </c>
      <c r="F1" s="594"/>
      <c r="G1" s="594"/>
      <c r="H1" s="594" t="s">
        <v>60</v>
      </c>
      <c r="I1" s="594"/>
      <c r="J1" s="594"/>
      <c r="K1" s="594"/>
      <c r="L1" s="594" t="s">
        <v>61</v>
      </c>
      <c r="M1" s="594"/>
      <c r="N1" s="594"/>
      <c r="O1" s="594"/>
      <c r="P1" s="594"/>
      <c r="Q1" s="594" t="s">
        <v>62</v>
      </c>
      <c r="R1" s="594"/>
      <c r="S1" s="594"/>
      <c r="T1" s="594"/>
      <c r="U1" s="594"/>
      <c r="V1" s="594" t="s">
        <v>63</v>
      </c>
      <c r="W1" s="594"/>
      <c r="X1" s="594"/>
      <c r="Y1" s="594"/>
      <c r="Z1" s="594"/>
      <c r="AA1" s="594" t="s">
        <v>64</v>
      </c>
      <c r="AB1" s="594"/>
      <c r="AC1" s="594"/>
      <c r="AD1" s="594"/>
    </row>
    <row r="2" spans="1:30" ht="20.100000000000001" customHeight="1" x14ac:dyDescent="0.3">
      <c r="A2" s="675" t="s">
        <v>66</v>
      </c>
      <c r="B2" s="486" t="s">
        <v>57</v>
      </c>
      <c r="C2" s="486"/>
      <c r="D2" s="510"/>
      <c r="E2" s="510">
        <f>MON!N31</f>
        <v>3</v>
      </c>
      <c r="F2" s="510"/>
      <c r="G2" s="510"/>
      <c r="H2" s="479">
        <f>MON!S31</f>
        <v>125</v>
      </c>
      <c r="I2" s="479"/>
      <c r="J2" s="479"/>
      <c r="K2" s="479"/>
      <c r="L2" s="480">
        <f>MON!N32</f>
        <v>9.4403745940638925E-2</v>
      </c>
      <c r="M2" s="480"/>
      <c r="N2" s="480"/>
      <c r="O2" s="480"/>
      <c r="P2" s="480"/>
      <c r="Q2" s="540">
        <f>SUM(E2:G5)</f>
        <v>13</v>
      </c>
      <c r="R2" s="541"/>
      <c r="S2" s="541"/>
      <c r="T2" s="541"/>
      <c r="U2" s="542"/>
      <c r="V2" s="605">
        <f>SUM(H2,H3,H5)</f>
        <v>1720</v>
      </c>
      <c r="W2" s="606"/>
      <c r="X2" s="606"/>
      <c r="Y2" s="606"/>
      <c r="Z2" s="607"/>
      <c r="AA2" s="614">
        <f>V2/Q2</f>
        <v>132.30769230769232</v>
      </c>
      <c r="AB2" s="615"/>
      <c r="AC2" s="615"/>
      <c r="AD2" s="616"/>
    </row>
    <row r="3" spans="1:30" ht="20.100000000000001" customHeight="1" x14ac:dyDescent="0.3">
      <c r="A3" s="676"/>
      <c r="B3" s="486" t="s">
        <v>58</v>
      </c>
      <c r="C3" s="486"/>
      <c r="D3" s="510"/>
      <c r="E3" s="510">
        <f>MON!O31</f>
        <v>6</v>
      </c>
      <c r="F3" s="510"/>
      <c r="G3" s="510"/>
      <c r="H3" s="479">
        <f>MON!S32</f>
        <v>1375</v>
      </c>
      <c r="I3" s="479"/>
      <c r="J3" s="479"/>
      <c r="K3" s="479"/>
      <c r="L3" s="480">
        <f>MON!O32</f>
        <v>0.67970697077260034</v>
      </c>
      <c r="M3" s="480"/>
      <c r="N3" s="480"/>
      <c r="O3" s="480"/>
      <c r="P3" s="480"/>
      <c r="Q3" s="543"/>
      <c r="R3" s="544"/>
      <c r="S3" s="544"/>
      <c r="T3" s="544"/>
      <c r="U3" s="545"/>
      <c r="V3" s="608"/>
      <c r="W3" s="609"/>
      <c r="X3" s="609"/>
      <c r="Y3" s="609"/>
      <c r="Z3" s="610"/>
      <c r="AA3" s="617"/>
      <c r="AB3" s="618"/>
      <c r="AC3" s="618"/>
      <c r="AD3" s="619"/>
    </row>
    <row r="4" spans="1:30" ht="20.100000000000001" customHeight="1" x14ac:dyDescent="0.3">
      <c r="A4" s="676"/>
      <c r="B4" s="486" t="s">
        <v>45</v>
      </c>
      <c r="C4" s="486"/>
      <c r="D4" s="510"/>
      <c r="E4" s="510">
        <f>MON!P31</f>
        <v>1</v>
      </c>
      <c r="F4" s="510"/>
      <c r="G4" s="510"/>
      <c r="H4" s="479">
        <f>MON!K31</f>
        <v>79.099999999999994</v>
      </c>
      <c r="I4" s="479"/>
      <c r="J4" s="479"/>
      <c r="K4" s="479"/>
      <c r="L4" s="480">
        <f>MON!P32</f>
        <v>5.9738690431236315E-2</v>
      </c>
      <c r="M4" s="480"/>
      <c r="N4" s="480"/>
      <c r="O4" s="480"/>
      <c r="P4" s="480"/>
      <c r="Q4" s="543"/>
      <c r="R4" s="544"/>
      <c r="S4" s="544"/>
      <c r="T4" s="544"/>
      <c r="U4" s="545"/>
      <c r="V4" s="608"/>
      <c r="W4" s="609"/>
      <c r="X4" s="609"/>
      <c r="Y4" s="609"/>
      <c r="Z4" s="610"/>
      <c r="AA4" s="617"/>
      <c r="AB4" s="618"/>
      <c r="AC4" s="618"/>
      <c r="AD4" s="619"/>
    </row>
    <row r="5" spans="1:30" ht="20.100000000000001" customHeight="1" x14ac:dyDescent="0.3">
      <c r="A5" s="676"/>
      <c r="B5" s="484" t="s">
        <v>65</v>
      </c>
      <c r="C5" s="485"/>
      <c r="D5" s="486"/>
      <c r="E5" s="484">
        <f>MON!Q31</f>
        <v>3</v>
      </c>
      <c r="F5" s="485"/>
      <c r="G5" s="486"/>
      <c r="H5" s="532">
        <f>MON!J31</f>
        <v>220</v>
      </c>
      <c r="I5" s="533"/>
      <c r="J5" s="533"/>
      <c r="K5" s="534"/>
      <c r="L5" s="535">
        <f>MON!Q32</f>
        <v>0.16615059285552453</v>
      </c>
      <c r="M5" s="536"/>
      <c r="N5" s="536"/>
      <c r="O5" s="536"/>
      <c r="P5" s="537"/>
      <c r="Q5" s="546"/>
      <c r="R5" s="547"/>
      <c r="S5" s="547"/>
      <c r="T5" s="547"/>
      <c r="U5" s="548"/>
      <c r="V5" s="611"/>
      <c r="W5" s="612"/>
      <c r="X5" s="612"/>
      <c r="Y5" s="612"/>
      <c r="Z5" s="613"/>
      <c r="AA5" s="620"/>
      <c r="AB5" s="621"/>
      <c r="AC5" s="621"/>
      <c r="AD5" s="622"/>
    </row>
    <row r="6" spans="1:30" ht="20.100000000000001" customHeight="1" x14ac:dyDescent="0.3">
      <c r="A6" s="677"/>
      <c r="B6" s="484" t="s">
        <v>94</v>
      </c>
      <c r="C6" s="485"/>
      <c r="D6" s="486"/>
      <c r="E6" s="484">
        <f>MON!U16</f>
        <v>33.5</v>
      </c>
      <c r="F6" s="485"/>
      <c r="G6" s="486"/>
      <c r="H6" s="532" t="s">
        <v>95</v>
      </c>
      <c r="I6" s="533"/>
      <c r="J6" s="533"/>
      <c r="K6" s="534"/>
      <c r="L6" s="588">
        <f>MON!T2</f>
        <v>4</v>
      </c>
      <c r="M6" s="589"/>
      <c r="N6" s="589"/>
      <c r="O6" s="589"/>
      <c r="P6" s="590"/>
      <c r="Q6" s="591"/>
      <c r="R6" s="592"/>
      <c r="S6" s="592"/>
      <c r="T6" s="592"/>
      <c r="U6" s="593"/>
      <c r="V6" s="696"/>
      <c r="W6" s="697"/>
      <c r="X6" s="697"/>
      <c r="Y6" s="697"/>
      <c r="Z6" s="698"/>
      <c r="AA6" s="699"/>
      <c r="AB6" s="700"/>
      <c r="AC6" s="700"/>
      <c r="AD6" s="701"/>
    </row>
    <row r="7" spans="1:30" ht="20.100000000000001" customHeight="1" x14ac:dyDescent="0.3">
      <c r="A7" s="678" t="s">
        <v>67</v>
      </c>
      <c r="B7" s="502" t="s">
        <v>57</v>
      </c>
      <c r="C7" s="502"/>
      <c r="D7" s="503"/>
      <c r="E7" s="503">
        <f>TUE!N31</f>
        <v>0</v>
      </c>
      <c r="F7" s="503"/>
      <c r="G7" s="503"/>
      <c r="H7" s="481">
        <f>TUE!S31</f>
        <v>0</v>
      </c>
      <c r="I7" s="481"/>
      <c r="J7" s="481"/>
      <c r="K7" s="481"/>
      <c r="L7" s="494">
        <f>TUE!N32</f>
        <v>0</v>
      </c>
      <c r="M7" s="495"/>
      <c r="N7" s="495"/>
      <c r="O7" s="495"/>
      <c r="P7" s="496"/>
      <c r="Q7" s="570">
        <f>SUM(E7:G10)</f>
        <v>4</v>
      </c>
      <c r="R7" s="571"/>
      <c r="S7" s="571"/>
      <c r="T7" s="571"/>
      <c r="U7" s="572"/>
      <c r="V7" s="596">
        <f>SUM(H7,H8,H10)</f>
        <v>450</v>
      </c>
      <c r="W7" s="597"/>
      <c r="X7" s="597"/>
      <c r="Y7" s="597"/>
      <c r="Z7" s="598"/>
      <c r="AA7" s="623">
        <f>V7/Q7</f>
        <v>112.5</v>
      </c>
      <c r="AB7" s="624"/>
      <c r="AC7" s="624"/>
      <c r="AD7" s="625"/>
    </row>
    <row r="8" spans="1:30" ht="20.100000000000001" customHeight="1" x14ac:dyDescent="0.3">
      <c r="A8" s="679"/>
      <c r="B8" s="502" t="s">
        <v>58</v>
      </c>
      <c r="C8" s="502"/>
      <c r="D8" s="503"/>
      <c r="E8" s="503">
        <f>TUE!O31</f>
        <v>3</v>
      </c>
      <c r="F8" s="503"/>
      <c r="G8" s="503"/>
      <c r="H8" s="481">
        <f>TUE!S32</f>
        <v>450</v>
      </c>
      <c r="I8" s="481"/>
      <c r="J8" s="481"/>
      <c r="K8" s="481"/>
      <c r="L8" s="494">
        <f>TUE!O32</f>
        <v>1</v>
      </c>
      <c r="M8" s="495"/>
      <c r="N8" s="495"/>
      <c r="O8" s="495"/>
      <c r="P8" s="496"/>
      <c r="Q8" s="573"/>
      <c r="R8" s="574"/>
      <c r="S8" s="574"/>
      <c r="T8" s="574"/>
      <c r="U8" s="575"/>
      <c r="V8" s="599"/>
      <c r="W8" s="600"/>
      <c r="X8" s="600"/>
      <c r="Y8" s="600"/>
      <c r="Z8" s="601"/>
      <c r="AA8" s="626"/>
      <c r="AB8" s="627"/>
      <c r="AC8" s="627"/>
      <c r="AD8" s="628"/>
    </row>
    <row r="9" spans="1:30" ht="20.100000000000001" customHeight="1" x14ac:dyDescent="0.3">
      <c r="A9" s="679"/>
      <c r="B9" s="502" t="s">
        <v>45</v>
      </c>
      <c r="C9" s="502"/>
      <c r="D9" s="503"/>
      <c r="E9" s="503">
        <f>TUE!P31</f>
        <v>1</v>
      </c>
      <c r="F9" s="503"/>
      <c r="G9" s="503"/>
      <c r="H9" s="481">
        <f>TUE!K31</f>
        <v>0</v>
      </c>
      <c r="I9" s="481"/>
      <c r="J9" s="481"/>
      <c r="K9" s="481"/>
      <c r="L9" s="494">
        <f>TUE!P32</f>
        <v>0</v>
      </c>
      <c r="M9" s="495"/>
      <c r="N9" s="495"/>
      <c r="O9" s="495"/>
      <c r="P9" s="496"/>
      <c r="Q9" s="573"/>
      <c r="R9" s="574"/>
      <c r="S9" s="574"/>
      <c r="T9" s="574"/>
      <c r="U9" s="575"/>
      <c r="V9" s="599"/>
      <c r="W9" s="600"/>
      <c r="X9" s="600"/>
      <c r="Y9" s="600"/>
      <c r="Z9" s="601"/>
      <c r="AA9" s="626"/>
      <c r="AB9" s="627"/>
      <c r="AC9" s="627"/>
      <c r="AD9" s="628"/>
    </row>
    <row r="10" spans="1:30" ht="20.100000000000001" customHeight="1" x14ac:dyDescent="0.3">
      <c r="A10" s="679"/>
      <c r="B10" s="538" t="s">
        <v>65</v>
      </c>
      <c r="C10" s="539"/>
      <c r="D10" s="502"/>
      <c r="E10" s="538">
        <f>TUE!Q31</f>
        <v>0</v>
      </c>
      <c r="F10" s="539"/>
      <c r="G10" s="502"/>
      <c r="H10" s="511">
        <f>TUE!J31</f>
        <v>0</v>
      </c>
      <c r="I10" s="512"/>
      <c r="J10" s="512"/>
      <c r="K10" s="513"/>
      <c r="L10" s="494">
        <f>TUE!Q32</f>
        <v>0</v>
      </c>
      <c r="M10" s="495"/>
      <c r="N10" s="495"/>
      <c r="O10" s="495"/>
      <c r="P10" s="496"/>
      <c r="Q10" s="576"/>
      <c r="R10" s="577"/>
      <c r="S10" s="577"/>
      <c r="T10" s="577"/>
      <c r="U10" s="578"/>
      <c r="V10" s="602"/>
      <c r="W10" s="603"/>
      <c r="X10" s="603"/>
      <c r="Y10" s="603"/>
      <c r="Z10" s="604"/>
      <c r="AA10" s="629"/>
      <c r="AB10" s="630"/>
      <c r="AC10" s="630"/>
      <c r="AD10" s="631"/>
    </row>
    <row r="11" spans="1:30" ht="20.100000000000001" customHeight="1" x14ac:dyDescent="0.3">
      <c r="A11" s="680"/>
      <c r="B11" s="538" t="s">
        <v>94</v>
      </c>
      <c r="C11" s="539"/>
      <c r="D11" s="502"/>
      <c r="E11" s="538">
        <f>TUE!U16</f>
        <v>25.5</v>
      </c>
      <c r="F11" s="539"/>
      <c r="G11" s="502"/>
      <c r="H11" s="511" t="s">
        <v>95</v>
      </c>
      <c r="I11" s="512"/>
      <c r="J11" s="512"/>
      <c r="K11" s="513"/>
      <c r="L11" s="702">
        <f>TUE!T2</f>
        <v>3</v>
      </c>
      <c r="M11" s="703"/>
      <c r="N11" s="703"/>
      <c r="O11" s="703"/>
      <c r="P11" s="704"/>
      <c r="Q11" s="705"/>
      <c r="R11" s="706"/>
      <c r="S11" s="706"/>
      <c r="T11" s="706"/>
      <c r="U11" s="707"/>
      <c r="V11" s="708"/>
      <c r="W11" s="709"/>
      <c r="X11" s="709"/>
      <c r="Y11" s="709"/>
      <c r="Z11" s="710"/>
      <c r="AA11" s="711"/>
      <c r="AB11" s="712"/>
      <c r="AC11" s="712"/>
      <c r="AD11" s="713"/>
    </row>
    <row r="12" spans="1:30" ht="20.100000000000001" customHeight="1" x14ac:dyDescent="0.3">
      <c r="A12" s="681" t="s">
        <v>68</v>
      </c>
      <c r="B12" s="487" t="s">
        <v>57</v>
      </c>
      <c r="C12" s="487"/>
      <c r="D12" s="298"/>
      <c r="E12" s="298">
        <f>WED!N31</f>
        <v>1</v>
      </c>
      <c r="F12" s="298"/>
      <c r="G12" s="298"/>
      <c r="H12" s="488">
        <f>WED!S31</f>
        <v>70</v>
      </c>
      <c r="I12" s="489"/>
      <c r="J12" s="489"/>
      <c r="K12" s="490"/>
      <c r="L12" s="491">
        <f>WED!N32</f>
        <v>0.24561403508771928</v>
      </c>
      <c r="M12" s="492"/>
      <c r="N12" s="492"/>
      <c r="O12" s="492"/>
      <c r="P12" s="493"/>
      <c r="Q12" s="549">
        <f>SUM(E12:G15)</f>
        <v>3</v>
      </c>
      <c r="R12" s="550"/>
      <c r="S12" s="550"/>
      <c r="T12" s="550"/>
      <c r="U12" s="551"/>
      <c r="V12" s="723">
        <f>SUM(H12,H13,H15)</f>
        <v>285</v>
      </c>
      <c r="W12" s="724"/>
      <c r="X12" s="724"/>
      <c r="Y12" s="724"/>
      <c r="Z12" s="725"/>
      <c r="AA12" s="714">
        <f>V12/Q12</f>
        <v>95</v>
      </c>
      <c r="AB12" s="715"/>
      <c r="AC12" s="715"/>
      <c r="AD12" s="716"/>
    </row>
    <row r="13" spans="1:30" ht="20.100000000000001" customHeight="1" x14ac:dyDescent="0.3">
      <c r="A13" s="682"/>
      <c r="B13" s="487" t="s">
        <v>58</v>
      </c>
      <c r="C13" s="487"/>
      <c r="D13" s="298"/>
      <c r="E13" s="298">
        <f>WED!O31</f>
        <v>2</v>
      </c>
      <c r="F13" s="298"/>
      <c r="G13" s="298"/>
      <c r="H13" s="488">
        <f>WED!S32</f>
        <v>215</v>
      </c>
      <c r="I13" s="489"/>
      <c r="J13" s="489"/>
      <c r="K13" s="490"/>
      <c r="L13" s="491">
        <f>WED!O32</f>
        <v>0.75438596491228072</v>
      </c>
      <c r="M13" s="492"/>
      <c r="N13" s="492"/>
      <c r="O13" s="492"/>
      <c r="P13" s="493"/>
      <c r="Q13" s="552"/>
      <c r="R13" s="553"/>
      <c r="S13" s="553"/>
      <c r="T13" s="553"/>
      <c r="U13" s="554"/>
      <c r="V13" s="726"/>
      <c r="W13" s="727"/>
      <c r="X13" s="727"/>
      <c r="Y13" s="727"/>
      <c r="Z13" s="728"/>
      <c r="AA13" s="717"/>
      <c r="AB13" s="718"/>
      <c r="AC13" s="718"/>
      <c r="AD13" s="719"/>
    </row>
    <row r="14" spans="1:30" ht="20.100000000000001" customHeight="1" x14ac:dyDescent="0.3">
      <c r="A14" s="682"/>
      <c r="B14" s="487" t="s">
        <v>45</v>
      </c>
      <c r="C14" s="487"/>
      <c r="D14" s="298"/>
      <c r="E14" s="298">
        <f>WED!P31</f>
        <v>0</v>
      </c>
      <c r="F14" s="298"/>
      <c r="G14" s="298"/>
      <c r="H14" s="488">
        <f>WED!K31</f>
        <v>0</v>
      </c>
      <c r="I14" s="489"/>
      <c r="J14" s="489"/>
      <c r="K14" s="490"/>
      <c r="L14" s="491">
        <f>WED!P32</f>
        <v>0</v>
      </c>
      <c r="M14" s="492"/>
      <c r="N14" s="492"/>
      <c r="O14" s="492"/>
      <c r="P14" s="493"/>
      <c r="Q14" s="552"/>
      <c r="R14" s="553"/>
      <c r="S14" s="553"/>
      <c r="T14" s="553"/>
      <c r="U14" s="554"/>
      <c r="V14" s="726"/>
      <c r="W14" s="727"/>
      <c r="X14" s="727"/>
      <c r="Y14" s="727"/>
      <c r="Z14" s="728"/>
      <c r="AA14" s="717"/>
      <c r="AB14" s="718"/>
      <c r="AC14" s="718"/>
      <c r="AD14" s="719"/>
    </row>
    <row r="15" spans="1:30" ht="20.100000000000001" customHeight="1" x14ac:dyDescent="0.3">
      <c r="A15" s="682"/>
      <c r="B15" s="504" t="s">
        <v>65</v>
      </c>
      <c r="C15" s="505"/>
      <c r="D15" s="487"/>
      <c r="E15" s="504">
        <f>WED!Q31</f>
        <v>0</v>
      </c>
      <c r="F15" s="505"/>
      <c r="G15" s="487"/>
      <c r="H15" s="488">
        <f>WED!J31</f>
        <v>0</v>
      </c>
      <c r="I15" s="489"/>
      <c r="J15" s="489"/>
      <c r="K15" s="490"/>
      <c r="L15" s="491">
        <f>WED!Q32</f>
        <v>0</v>
      </c>
      <c r="M15" s="492"/>
      <c r="N15" s="492"/>
      <c r="O15" s="492"/>
      <c r="P15" s="493"/>
      <c r="Q15" s="555"/>
      <c r="R15" s="556"/>
      <c r="S15" s="556"/>
      <c r="T15" s="556"/>
      <c r="U15" s="557"/>
      <c r="V15" s="729"/>
      <c r="W15" s="730"/>
      <c r="X15" s="730"/>
      <c r="Y15" s="730"/>
      <c r="Z15" s="731"/>
      <c r="AA15" s="720"/>
      <c r="AB15" s="721"/>
      <c r="AC15" s="721"/>
      <c r="AD15" s="722"/>
    </row>
    <row r="16" spans="1:30" ht="20.100000000000001" customHeight="1" x14ac:dyDescent="0.3">
      <c r="A16" s="683"/>
      <c r="B16" s="504" t="s">
        <v>94</v>
      </c>
      <c r="C16" s="505"/>
      <c r="D16" s="487"/>
      <c r="E16" s="504">
        <f>WED!U16</f>
        <v>17.5</v>
      </c>
      <c r="F16" s="505"/>
      <c r="G16" s="487"/>
      <c r="H16" s="488" t="s">
        <v>95</v>
      </c>
      <c r="I16" s="489"/>
      <c r="J16" s="489"/>
      <c r="K16" s="490"/>
      <c r="L16" s="507">
        <f>WED!T2</f>
        <v>3</v>
      </c>
      <c r="M16" s="508"/>
      <c r="N16" s="508"/>
      <c r="O16" s="508"/>
      <c r="P16" s="509"/>
      <c r="Q16" s="234"/>
      <c r="R16" s="235"/>
      <c r="S16" s="235"/>
      <c r="T16" s="235"/>
      <c r="U16" s="236"/>
      <c r="V16" s="225"/>
      <c r="W16" s="226"/>
      <c r="X16" s="226"/>
      <c r="Y16" s="226"/>
      <c r="Z16" s="227"/>
      <c r="AA16" s="222"/>
      <c r="AB16" s="223"/>
      <c r="AC16" s="223"/>
      <c r="AD16" s="224"/>
    </row>
    <row r="17" spans="1:30" ht="20.100000000000001" customHeight="1" x14ac:dyDescent="0.3">
      <c r="A17" s="684" t="s">
        <v>69</v>
      </c>
      <c r="B17" s="451" t="s">
        <v>57</v>
      </c>
      <c r="C17" s="451"/>
      <c r="D17" s="498"/>
      <c r="E17" s="498">
        <f>THU!N31</f>
        <v>2</v>
      </c>
      <c r="F17" s="498"/>
      <c r="G17" s="498"/>
      <c r="H17" s="506">
        <f>THU!S31</f>
        <v>240</v>
      </c>
      <c r="I17" s="506"/>
      <c r="J17" s="506"/>
      <c r="K17" s="506"/>
      <c r="L17" s="497">
        <f>THU!N32</f>
        <v>0.34042553191489361</v>
      </c>
      <c r="M17" s="497"/>
      <c r="N17" s="497"/>
      <c r="O17" s="497"/>
      <c r="P17" s="497"/>
      <c r="Q17" s="579">
        <f>SUM(E17:G20)</f>
        <v>7</v>
      </c>
      <c r="R17" s="580"/>
      <c r="S17" s="580"/>
      <c r="T17" s="580"/>
      <c r="U17" s="581"/>
      <c r="V17" s="523">
        <f>SUM(H17,H18,H20)</f>
        <v>705</v>
      </c>
      <c r="W17" s="524"/>
      <c r="X17" s="524"/>
      <c r="Y17" s="524"/>
      <c r="Z17" s="525"/>
      <c r="AA17" s="514">
        <f>V17/Q17</f>
        <v>100.71428571428571</v>
      </c>
      <c r="AB17" s="515"/>
      <c r="AC17" s="515"/>
      <c r="AD17" s="516"/>
    </row>
    <row r="18" spans="1:30" ht="20.100000000000001" customHeight="1" x14ac:dyDescent="0.3">
      <c r="A18" s="685"/>
      <c r="B18" s="451" t="s">
        <v>58</v>
      </c>
      <c r="C18" s="451"/>
      <c r="D18" s="498"/>
      <c r="E18" s="498">
        <f>THU!O31</f>
        <v>5</v>
      </c>
      <c r="F18" s="498"/>
      <c r="G18" s="498"/>
      <c r="H18" s="506">
        <f>THU!S32</f>
        <v>465</v>
      </c>
      <c r="I18" s="506"/>
      <c r="J18" s="506"/>
      <c r="K18" s="506"/>
      <c r="L18" s="497">
        <f>THU!O32</f>
        <v>0.65957446808510634</v>
      </c>
      <c r="M18" s="497"/>
      <c r="N18" s="497"/>
      <c r="O18" s="497"/>
      <c r="P18" s="497"/>
      <c r="Q18" s="582"/>
      <c r="R18" s="583"/>
      <c r="S18" s="583"/>
      <c r="T18" s="583"/>
      <c r="U18" s="584"/>
      <c r="V18" s="526"/>
      <c r="W18" s="527"/>
      <c r="X18" s="527"/>
      <c r="Y18" s="527"/>
      <c r="Z18" s="528"/>
      <c r="AA18" s="517"/>
      <c r="AB18" s="518"/>
      <c r="AC18" s="518"/>
      <c r="AD18" s="519"/>
    </row>
    <row r="19" spans="1:30" ht="20.100000000000001" customHeight="1" x14ac:dyDescent="0.3">
      <c r="A19" s="685"/>
      <c r="B19" s="451" t="s">
        <v>45</v>
      </c>
      <c r="C19" s="451"/>
      <c r="D19" s="498"/>
      <c r="E19" s="498">
        <f>THU!P31</f>
        <v>0</v>
      </c>
      <c r="F19" s="498"/>
      <c r="G19" s="498"/>
      <c r="H19" s="506">
        <f>THU!K31</f>
        <v>0</v>
      </c>
      <c r="I19" s="506"/>
      <c r="J19" s="506"/>
      <c r="K19" s="506"/>
      <c r="L19" s="497">
        <f>THU!P32</f>
        <v>0</v>
      </c>
      <c r="M19" s="497"/>
      <c r="N19" s="497"/>
      <c r="O19" s="497"/>
      <c r="P19" s="497"/>
      <c r="Q19" s="582"/>
      <c r="R19" s="583"/>
      <c r="S19" s="583"/>
      <c r="T19" s="583"/>
      <c r="U19" s="584"/>
      <c r="V19" s="526"/>
      <c r="W19" s="527"/>
      <c r="X19" s="527"/>
      <c r="Y19" s="527"/>
      <c r="Z19" s="528"/>
      <c r="AA19" s="517"/>
      <c r="AB19" s="518"/>
      <c r="AC19" s="518"/>
      <c r="AD19" s="519"/>
    </row>
    <row r="20" spans="1:30" ht="20.100000000000001" customHeight="1" x14ac:dyDescent="0.3">
      <c r="A20" s="685"/>
      <c r="B20" s="449" t="s">
        <v>65</v>
      </c>
      <c r="C20" s="450"/>
      <c r="D20" s="451"/>
      <c r="E20" s="449">
        <f>THU!Q31</f>
        <v>0</v>
      </c>
      <c r="F20" s="450"/>
      <c r="G20" s="451"/>
      <c r="H20" s="443">
        <f>THU!J31</f>
        <v>0</v>
      </c>
      <c r="I20" s="444"/>
      <c r="J20" s="444"/>
      <c r="K20" s="445"/>
      <c r="L20" s="499">
        <f>THU!Q32</f>
        <v>0</v>
      </c>
      <c r="M20" s="500"/>
      <c r="N20" s="500"/>
      <c r="O20" s="500"/>
      <c r="P20" s="501"/>
      <c r="Q20" s="585"/>
      <c r="R20" s="586"/>
      <c r="S20" s="586"/>
      <c r="T20" s="586"/>
      <c r="U20" s="587"/>
      <c r="V20" s="529"/>
      <c r="W20" s="530"/>
      <c r="X20" s="530"/>
      <c r="Y20" s="530"/>
      <c r="Z20" s="531"/>
      <c r="AA20" s="520"/>
      <c r="AB20" s="521"/>
      <c r="AC20" s="521"/>
      <c r="AD20" s="522"/>
    </row>
    <row r="21" spans="1:30" ht="20.100000000000001" customHeight="1" x14ac:dyDescent="0.3">
      <c r="A21" s="686"/>
      <c r="B21" s="449" t="s">
        <v>94</v>
      </c>
      <c r="C21" s="450"/>
      <c r="D21" s="451"/>
      <c r="E21" s="449">
        <f>THU!U16</f>
        <v>9.0000000000000018</v>
      </c>
      <c r="F21" s="450"/>
      <c r="G21" s="451"/>
      <c r="H21" s="443" t="s">
        <v>95</v>
      </c>
      <c r="I21" s="444"/>
      <c r="J21" s="444"/>
      <c r="K21" s="445"/>
      <c r="L21" s="408">
        <f>THU!T2</f>
        <v>1</v>
      </c>
      <c r="M21" s="409"/>
      <c r="N21" s="409"/>
      <c r="O21" s="409"/>
      <c r="P21" s="410"/>
      <c r="Q21" s="240"/>
      <c r="R21" s="241"/>
      <c r="S21" s="241"/>
      <c r="T21" s="241"/>
      <c r="U21" s="242"/>
      <c r="V21" s="231"/>
      <c r="W21" s="232"/>
      <c r="X21" s="232"/>
      <c r="Y21" s="232"/>
      <c r="Z21" s="233"/>
      <c r="AA21" s="228"/>
      <c r="AB21" s="229"/>
      <c r="AC21" s="229"/>
      <c r="AD21" s="230"/>
    </row>
    <row r="22" spans="1:30" ht="20.100000000000001" customHeight="1" x14ac:dyDescent="0.3">
      <c r="A22" s="687" t="s">
        <v>93</v>
      </c>
      <c r="B22" s="406" t="s">
        <v>57</v>
      </c>
      <c r="C22" s="406"/>
      <c r="D22" s="407"/>
      <c r="E22" s="407">
        <f>FRI!N31</f>
        <v>2</v>
      </c>
      <c r="F22" s="407"/>
      <c r="G22" s="407"/>
      <c r="H22" s="482">
        <f>FRI!S31</f>
        <v>355</v>
      </c>
      <c r="I22" s="482"/>
      <c r="J22" s="482"/>
      <c r="K22" s="482"/>
      <c r="L22" s="483">
        <f>FRI!N32</f>
        <v>0.33945305029642381</v>
      </c>
      <c r="M22" s="483"/>
      <c r="N22" s="483"/>
      <c r="O22" s="483"/>
      <c r="P22" s="483"/>
      <c r="Q22" s="461">
        <f>SUM(E22:G25)</f>
        <v>7</v>
      </c>
      <c r="R22" s="462"/>
      <c r="S22" s="462"/>
      <c r="T22" s="462"/>
      <c r="U22" s="463"/>
      <c r="V22" s="470">
        <f>SUM(H22,H23,H25)</f>
        <v>1000</v>
      </c>
      <c r="W22" s="471"/>
      <c r="X22" s="471"/>
      <c r="Y22" s="471"/>
      <c r="Z22" s="472"/>
      <c r="AA22" s="414">
        <f>V22/Q22</f>
        <v>142.85714285714286</v>
      </c>
      <c r="AB22" s="415"/>
      <c r="AC22" s="415"/>
      <c r="AD22" s="416"/>
    </row>
    <row r="23" spans="1:30" ht="20.100000000000001" customHeight="1" x14ac:dyDescent="0.3">
      <c r="A23" s="688"/>
      <c r="B23" s="406" t="s">
        <v>58</v>
      </c>
      <c r="C23" s="406"/>
      <c r="D23" s="407"/>
      <c r="E23" s="407">
        <f>FRI!O31</f>
        <v>4</v>
      </c>
      <c r="F23" s="407"/>
      <c r="G23" s="407"/>
      <c r="H23" s="482">
        <f>FRI!S32</f>
        <v>645</v>
      </c>
      <c r="I23" s="482"/>
      <c r="J23" s="482"/>
      <c r="K23" s="482"/>
      <c r="L23" s="483">
        <f>FRI!O32</f>
        <v>0.61675272518646018</v>
      </c>
      <c r="M23" s="483"/>
      <c r="N23" s="483"/>
      <c r="O23" s="483"/>
      <c r="P23" s="483"/>
      <c r="Q23" s="464"/>
      <c r="R23" s="465"/>
      <c r="S23" s="465"/>
      <c r="T23" s="465"/>
      <c r="U23" s="466"/>
      <c r="V23" s="473"/>
      <c r="W23" s="474"/>
      <c r="X23" s="474"/>
      <c r="Y23" s="474"/>
      <c r="Z23" s="475"/>
      <c r="AA23" s="417"/>
      <c r="AB23" s="418"/>
      <c r="AC23" s="418"/>
      <c r="AD23" s="419"/>
    </row>
    <row r="24" spans="1:30" ht="20.100000000000001" customHeight="1" x14ac:dyDescent="0.3">
      <c r="A24" s="688"/>
      <c r="B24" s="406" t="s">
        <v>45</v>
      </c>
      <c r="C24" s="406"/>
      <c r="D24" s="407"/>
      <c r="E24" s="407">
        <f>FRI!P31</f>
        <v>1</v>
      </c>
      <c r="F24" s="407"/>
      <c r="G24" s="407"/>
      <c r="H24" s="482">
        <f>FRI!K31</f>
        <v>45.8</v>
      </c>
      <c r="I24" s="482"/>
      <c r="J24" s="482"/>
      <c r="K24" s="482"/>
      <c r="L24" s="483">
        <f>FRI!P32</f>
        <v>4.3794224517116086E-2</v>
      </c>
      <c r="M24" s="483"/>
      <c r="N24" s="483"/>
      <c r="O24" s="483"/>
      <c r="P24" s="483"/>
      <c r="Q24" s="464"/>
      <c r="R24" s="465"/>
      <c r="S24" s="465"/>
      <c r="T24" s="465"/>
      <c r="U24" s="466"/>
      <c r="V24" s="473"/>
      <c r="W24" s="474"/>
      <c r="X24" s="474"/>
      <c r="Y24" s="474"/>
      <c r="Z24" s="475"/>
      <c r="AA24" s="417"/>
      <c r="AB24" s="418"/>
      <c r="AC24" s="418"/>
      <c r="AD24" s="419"/>
    </row>
    <row r="25" spans="1:30" ht="20.100000000000001" customHeight="1" x14ac:dyDescent="0.3">
      <c r="A25" s="688"/>
      <c r="B25" s="452" t="s">
        <v>65</v>
      </c>
      <c r="C25" s="453"/>
      <c r="D25" s="406"/>
      <c r="E25" s="452">
        <f>FRI!Q31</f>
        <v>0</v>
      </c>
      <c r="F25" s="453"/>
      <c r="G25" s="406"/>
      <c r="H25" s="446">
        <f>FRI!J31</f>
        <v>0</v>
      </c>
      <c r="I25" s="447"/>
      <c r="J25" s="447"/>
      <c r="K25" s="448"/>
      <c r="L25" s="458">
        <f>FRI!Q32</f>
        <v>0</v>
      </c>
      <c r="M25" s="459"/>
      <c r="N25" s="459"/>
      <c r="O25" s="459"/>
      <c r="P25" s="460"/>
      <c r="Q25" s="467"/>
      <c r="R25" s="468"/>
      <c r="S25" s="468"/>
      <c r="T25" s="468"/>
      <c r="U25" s="469"/>
      <c r="V25" s="476"/>
      <c r="W25" s="477"/>
      <c r="X25" s="477"/>
      <c r="Y25" s="477"/>
      <c r="Z25" s="478"/>
      <c r="AA25" s="420"/>
      <c r="AB25" s="421"/>
      <c r="AC25" s="421"/>
      <c r="AD25" s="422"/>
    </row>
    <row r="26" spans="1:30" ht="20.100000000000001" customHeight="1" x14ac:dyDescent="0.3">
      <c r="A26" s="689"/>
      <c r="B26" s="452" t="s">
        <v>94</v>
      </c>
      <c r="C26" s="453"/>
      <c r="D26" s="406"/>
      <c r="E26" s="452">
        <f>FRI!U16</f>
        <v>40</v>
      </c>
      <c r="F26" s="453"/>
      <c r="G26" s="406"/>
      <c r="H26" s="446" t="s">
        <v>95</v>
      </c>
      <c r="I26" s="447"/>
      <c r="J26" s="447"/>
      <c r="K26" s="448"/>
      <c r="L26" s="411">
        <f>FRI!T2</f>
        <v>6</v>
      </c>
      <c r="M26" s="412"/>
      <c r="N26" s="412"/>
      <c r="O26" s="412"/>
      <c r="P26" s="413"/>
      <c r="Q26" s="243"/>
      <c r="R26" s="244"/>
      <c r="S26" s="244"/>
      <c r="T26" s="244"/>
      <c r="U26" s="245"/>
      <c r="V26" s="246"/>
      <c r="W26" s="247"/>
      <c r="X26" s="247"/>
      <c r="Y26" s="247"/>
      <c r="Z26" s="248"/>
      <c r="AA26" s="249"/>
      <c r="AB26" s="250"/>
      <c r="AC26" s="250"/>
      <c r="AD26" s="251"/>
    </row>
    <row r="27" spans="1:30" ht="20.100000000000001" customHeight="1" x14ac:dyDescent="0.3">
      <c r="A27" s="690" t="s">
        <v>70</v>
      </c>
      <c r="B27" s="456" t="s">
        <v>57</v>
      </c>
      <c r="C27" s="456"/>
      <c r="D27" s="441"/>
      <c r="E27" s="441">
        <f>SAT!N31</f>
        <v>1</v>
      </c>
      <c r="F27" s="441"/>
      <c r="G27" s="441"/>
      <c r="H27" s="442">
        <f>SAT!S31</f>
        <v>490</v>
      </c>
      <c r="I27" s="442"/>
      <c r="J27" s="442"/>
      <c r="K27" s="442"/>
      <c r="L27" s="457">
        <f>SAT!N32</f>
        <v>0.20792667402189596</v>
      </c>
      <c r="M27" s="457"/>
      <c r="N27" s="457"/>
      <c r="O27" s="457"/>
      <c r="P27" s="457"/>
      <c r="Q27" s="558">
        <f>SUM(E27:G30)</f>
        <v>15</v>
      </c>
      <c r="R27" s="559"/>
      <c r="S27" s="559"/>
      <c r="T27" s="559"/>
      <c r="U27" s="560"/>
      <c r="V27" s="432">
        <f>SUM(H27,H28,H30)</f>
        <v>2640</v>
      </c>
      <c r="W27" s="433"/>
      <c r="X27" s="433"/>
      <c r="Y27" s="433"/>
      <c r="Z27" s="434"/>
      <c r="AA27" s="423">
        <f>V27/Q27</f>
        <v>176</v>
      </c>
      <c r="AB27" s="424"/>
      <c r="AC27" s="424"/>
      <c r="AD27" s="425"/>
    </row>
    <row r="28" spans="1:30" ht="20.100000000000001" customHeight="1" x14ac:dyDescent="0.3">
      <c r="A28" s="691"/>
      <c r="B28" s="456" t="s">
        <v>58</v>
      </c>
      <c r="C28" s="456"/>
      <c r="D28" s="441"/>
      <c r="E28" s="441">
        <f>SAT!O31</f>
        <v>11</v>
      </c>
      <c r="F28" s="441"/>
      <c r="G28" s="441"/>
      <c r="H28" s="442">
        <f>SAT!S32</f>
        <v>2095</v>
      </c>
      <c r="I28" s="442"/>
      <c r="J28" s="442"/>
      <c r="K28" s="442"/>
      <c r="L28" s="457">
        <f>SAT!O32</f>
        <v>0.72986505983196137</v>
      </c>
      <c r="M28" s="457"/>
      <c r="N28" s="457"/>
      <c r="O28" s="457"/>
      <c r="P28" s="457"/>
      <c r="Q28" s="561"/>
      <c r="R28" s="562"/>
      <c r="S28" s="562"/>
      <c r="T28" s="562"/>
      <c r="U28" s="563"/>
      <c r="V28" s="435"/>
      <c r="W28" s="436"/>
      <c r="X28" s="436"/>
      <c r="Y28" s="436"/>
      <c r="Z28" s="437"/>
      <c r="AA28" s="426"/>
      <c r="AB28" s="427"/>
      <c r="AC28" s="427"/>
      <c r="AD28" s="428"/>
    </row>
    <row r="29" spans="1:30" ht="20.100000000000001" customHeight="1" x14ac:dyDescent="0.3">
      <c r="A29" s="691"/>
      <c r="B29" s="456" t="s">
        <v>45</v>
      </c>
      <c r="C29" s="456"/>
      <c r="D29" s="441"/>
      <c r="E29" s="441">
        <f>SAT!P31</f>
        <v>2</v>
      </c>
      <c r="F29" s="441"/>
      <c r="G29" s="441"/>
      <c r="H29" s="442">
        <f>SAT!K31</f>
        <v>91.6</v>
      </c>
      <c r="I29" s="442"/>
      <c r="J29" s="442"/>
      <c r="K29" s="442"/>
      <c r="L29" s="457">
        <f>SAT!P32</f>
        <v>3.8869557837562588E-2</v>
      </c>
      <c r="M29" s="457"/>
      <c r="N29" s="457"/>
      <c r="O29" s="457"/>
      <c r="P29" s="457"/>
      <c r="Q29" s="561"/>
      <c r="R29" s="562"/>
      <c r="S29" s="562"/>
      <c r="T29" s="562"/>
      <c r="U29" s="563"/>
      <c r="V29" s="435"/>
      <c r="W29" s="436"/>
      <c r="X29" s="436"/>
      <c r="Y29" s="436"/>
      <c r="Z29" s="437"/>
      <c r="AA29" s="426"/>
      <c r="AB29" s="427"/>
      <c r="AC29" s="427"/>
      <c r="AD29" s="428"/>
    </row>
    <row r="30" spans="1:30" ht="20.100000000000001" customHeight="1" x14ac:dyDescent="0.3">
      <c r="A30" s="691"/>
      <c r="B30" s="454" t="s">
        <v>65</v>
      </c>
      <c r="C30" s="455"/>
      <c r="D30" s="456"/>
      <c r="E30" s="454">
        <f>SAT!Q31</f>
        <v>1</v>
      </c>
      <c r="F30" s="455"/>
      <c r="G30" s="456"/>
      <c r="H30" s="735">
        <f>SAT!J31</f>
        <v>55</v>
      </c>
      <c r="I30" s="736"/>
      <c r="J30" s="736"/>
      <c r="K30" s="737"/>
      <c r="L30" s="567">
        <f>SAT!Q32</f>
        <v>2.3338708308580158E-2</v>
      </c>
      <c r="M30" s="568"/>
      <c r="N30" s="568"/>
      <c r="O30" s="568"/>
      <c r="P30" s="569"/>
      <c r="Q30" s="564"/>
      <c r="R30" s="565"/>
      <c r="S30" s="565"/>
      <c r="T30" s="565"/>
      <c r="U30" s="566"/>
      <c r="V30" s="438"/>
      <c r="W30" s="439"/>
      <c r="X30" s="439"/>
      <c r="Y30" s="439"/>
      <c r="Z30" s="440"/>
      <c r="AA30" s="429"/>
      <c r="AB30" s="430"/>
      <c r="AC30" s="430"/>
      <c r="AD30" s="431"/>
    </row>
    <row r="31" spans="1:30" ht="20.100000000000001" customHeight="1" x14ac:dyDescent="0.3">
      <c r="A31" s="692"/>
      <c r="B31" s="454" t="s">
        <v>94</v>
      </c>
      <c r="C31" s="455"/>
      <c r="D31" s="456"/>
      <c r="E31" s="454">
        <f>SAT!U16</f>
        <v>44.25</v>
      </c>
      <c r="F31" s="455"/>
      <c r="G31" s="456"/>
      <c r="H31" s="735" t="s">
        <v>95</v>
      </c>
      <c r="I31" s="736"/>
      <c r="J31" s="736"/>
      <c r="K31" s="737"/>
      <c r="L31" s="732">
        <f>SAT!T2</f>
        <v>6</v>
      </c>
      <c r="M31" s="733"/>
      <c r="N31" s="733"/>
      <c r="O31" s="733"/>
      <c r="P31" s="734"/>
      <c r="Q31" s="237"/>
      <c r="R31" s="238"/>
      <c r="S31" s="238"/>
      <c r="T31" s="238"/>
      <c r="U31" s="239"/>
      <c r="V31" s="255"/>
      <c r="W31" s="256"/>
      <c r="X31" s="256"/>
      <c r="Y31" s="256"/>
      <c r="Z31" s="257"/>
      <c r="AA31" s="252"/>
      <c r="AB31" s="253"/>
      <c r="AC31" s="253"/>
      <c r="AD31" s="254"/>
    </row>
    <row r="32" spans="1:30" ht="20.100000000000001" customHeight="1" x14ac:dyDescent="0.3">
      <c r="A32" s="693" t="s">
        <v>71</v>
      </c>
      <c r="B32" s="377" t="s">
        <v>57</v>
      </c>
      <c r="C32" s="378"/>
      <c r="D32" s="378"/>
      <c r="E32" s="378">
        <f>SUN!N31</f>
        <v>2</v>
      </c>
      <c r="F32" s="378"/>
      <c r="G32" s="378"/>
      <c r="H32" s="403">
        <f>SUN!S31</f>
        <v>295</v>
      </c>
      <c r="I32" s="403"/>
      <c r="J32" s="403"/>
      <c r="K32" s="403"/>
      <c r="L32" s="404">
        <f>SUN!N32</f>
        <v>0.28343581860107608</v>
      </c>
      <c r="M32" s="404"/>
      <c r="N32" s="404"/>
      <c r="O32" s="404"/>
      <c r="P32" s="404"/>
      <c r="Q32" s="405">
        <f>SUM(E32:G35)</f>
        <v>9</v>
      </c>
      <c r="R32" s="405"/>
      <c r="S32" s="405"/>
      <c r="T32" s="405"/>
      <c r="U32" s="405"/>
      <c r="V32" s="376">
        <f>SUM(H32,H33,H35)</f>
        <v>995</v>
      </c>
      <c r="W32" s="376"/>
      <c r="X32" s="376"/>
      <c r="Y32" s="376"/>
      <c r="Z32" s="376"/>
      <c r="AA32" s="395">
        <f>V32/Q32</f>
        <v>110.55555555555556</v>
      </c>
      <c r="AB32" s="396"/>
      <c r="AC32" s="396"/>
      <c r="AD32" s="396"/>
    </row>
    <row r="33" spans="1:30" ht="20.100000000000001" customHeight="1" x14ac:dyDescent="0.3">
      <c r="A33" s="694"/>
      <c r="B33" s="377" t="s">
        <v>58</v>
      </c>
      <c r="C33" s="378"/>
      <c r="D33" s="378"/>
      <c r="E33" s="378">
        <f>SUN!O31</f>
        <v>6</v>
      </c>
      <c r="F33" s="378"/>
      <c r="G33" s="378"/>
      <c r="H33" s="403">
        <f>SUN!S32</f>
        <v>700</v>
      </c>
      <c r="I33" s="403"/>
      <c r="J33" s="403"/>
      <c r="K33" s="403"/>
      <c r="L33" s="404">
        <f>SUN!O32</f>
        <v>0.67255956956187546</v>
      </c>
      <c r="M33" s="404"/>
      <c r="N33" s="404"/>
      <c r="O33" s="404"/>
      <c r="P33" s="404"/>
      <c r="Q33" s="405"/>
      <c r="R33" s="405"/>
      <c r="S33" s="405"/>
      <c r="T33" s="405"/>
      <c r="U33" s="405"/>
      <c r="V33" s="376"/>
      <c r="W33" s="376"/>
      <c r="X33" s="376"/>
      <c r="Y33" s="376"/>
      <c r="Z33" s="376"/>
      <c r="AA33" s="396"/>
      <c r="AB33" s="396"/>
      <c r="AC33" s="396"/>
      <c r="AD33" s="396"/>
    </row>
    <row r="34" spans="1:30" ht="20.100000000000001" customHeight="1" x14ac:dyDescent="0.3">
      <c r="A34" s="694"/>
      <c r="B34" s="377" t="s">
        <v>45</v>
      </c>
      <c r="C34" s="378"/>
      <c r="D34" s="378"/>
      <c r="E34" s="378">
        <f>SUN!P31</f>
        <v>1</v>
      </c>
      <c r="F34" s="378"/>
      <c r="G34" s="378"/>
      <c r="H34" s="403">
        <f>SUN!K31</f>
        <v>45.8</v>
      </c>
      <c r="I34" s="403"/>
      <c r="J34" s="403"/>
      <c r="K34" s="403"/>
      <c r="L34" s="404">
        <f>SUN!P32</f>
        <v>4.4004611837048423E-2</v>
      </c>
      <c r="M34" s="404"/>
      <c r="N34" s="404"/>
      <c r="O34" s="404"/>
      <c r="P34" s="404"/>
      <c r="Q34" s="405"/>
      <c r="R34" s="405"/>
      <c r="S34" s="405"/>
      <c r="T34" s="405"/>
      <c r="U34" s="405"/>
      <c r="V34" s="376"/>
      <c r="W34" s="376"/>
      <c r="X34" s="376"/>
      <c r="Y34" s="376"/>
      <c r="Z34" s="376"/>
      <c r="AA34" s="396"/>
      <c r="AB34" s="396"/>
      <c r="AC34" s="396"/>
      <c r="AD34" s="396"/>
    </row>
    <row r="35" spans="1:30" ht="20.100000000000001" customHeight="1" x14ac:dyDescent="0.3">
      <c r="A35" s="694"/>
      <c r="B35" s="377" t="s">
        <v>65</v>
      </c>
      <c r="C35" s="378"/>
      <c r="D35" s="378"/>
      <c r="E35" s="378">
        <f>SUN!Q31</f>
        <v>0</v>
      </c>
      <c r="F35" s="378"/>
      <c r="G35" s="378"/>
      <c r="H35" s="403">
        <f>SUN!J31</f>
        <v>0</v>
      </c>
      <c r="I35" s="403"/>
      <c r="J35" s="403"/>
      <c r="K35" s="403"/>
      <c r="L35" s="404">
        <f>SUN!Q32</f>
        <v>0</v>
      </c>
      <c r="M35" s="404"/>
      <c r="N35" s="404"/>
      <c r="O35" s="404"/>
      <c r="P35" s="404"/>
      <c r="Q35" s="405"/>
      <c r="R35" s="405"/>
      <c r="S35" s="405"/>
      <c r="T35" s="405"/>
      <c r="U35" s="405"/>
      <c r="V35" s="376"/>
      <c r="W35" s="376"/>
      <c r="X35" s="376"/>
      <c r="Y35" s="376"/>
      <c r="Z35" s="376"/>
      <c r="AA35" s="396"/>
      <c r="AB35" s="396"/>
      <c r="AC35" s="396"/>
      <c r="AD35" s="396"/>
    </row>
    <row r="36" spans="1:30" ht="20.100000000000001" customHeight="1" thickBot="1" x14ac:dyDescent="0.35">
      <c r="A36" s="695"/>
      <c r="B36" s="381" t="s">
        <v>94</v>
      </c>
      <c r="C36" s="382"/>
      <c r="D36" s="383"/>
      <c r="E36" s="381">
        <f>SUN!U16</f>
        <v>30.5</v>
      </c>
      <c r="F36" s="382"/>
      <c r="G36" s="383"/>
      <c r="H36" s="381" t="s">
        <v>95</v>
      </c>
      <c r="I36" s="382"/>
      <c r="J36" s="382"/>
      <c r="K36" s="383"/>
      <c r="L36" s="397">
        <f>SUN!T2</f>
        <v>4</v>
      </c>
      <c r="M36" s="398"/>
      <c r="N36" s="398"/>
      <c r="O36" s="398"/>
      <c r="P36" s="399"/>
      <c r="Q36" s="400"/>
      <c r="R36" s="401"/>
      <c r="S36" s="401"/>
      <c r="T36" s="401"/>
      <c r="U36" s="402"/>
      <c r="V36" s="384"/>
      <c r="W36" s="385"/>
      <c r="X36" s="385"/>
      <c r="Y36" s="385"/>
      <c r="Z36" s="386"/>
      <c r="AA36" s="387"/>
      <c r="AB36" s="388"/>
      <c r="AC36" s="388"/>
      <c r="AD36" s="389"/>
    </row>
    <row r="37" spans="1:30" ht="16.5" customHeight="1" x14ac:dyDescent="0.3">
      <c r="A37" s="367" t="s">
        <v>72</v>
      </c>
      <c r="B37" s="368"/>
      <c r="C37" s="368"/>
      <c r="D37" s="368"/>
      <c r="E37" s="368" t="s">
        <v>73</v>
      </c>
      <c r="F37" s="368"/>
      <c r="G37" s="368"/>
      <c r="H37" s="368"/>
      <c r="I37" s="368"/>
      <c r="J37" s="368"/>
      <c r="K37" s="368" t="s">
        <v>74</v>
      </c>
      <c r="L37" s="368"/>
      <c r="M37" s="368"/>
      <c r="N37" s="368"/>
      <c r="O37" s="368" t="s">
        <v>65</v>
      </c>
      <c r="P37" s="368"/>
      <c r="Q37" s="368"/>
      <c r="R37" s="368"/>
      <c r="S37" s="368"/>
      <c r="T37" s="368" t="s">
        <v>75</v>
      </c>
      <c r="U37" s="368"/>
      <c r="V37" s="368"/>
      <c r="W37" s="368"/>
      <c r="X37" s="368"/>
      <c r="Y37" s="368" t="s">
        <v>76</v>
      </c>
      <c r="Z37" s="368"/>
      <c r="AA37" s="368"/>
      <c r="AB37" s="368"/>
      <c r="AC37" s="368"/>
      <c r="AD37" s="379"/>
    </row>
    <row r="38" spans="1:30" ht="16.5" customHeight="1" x14ac:dyDescent="0.3">
      <c r="A38" s="369"/>
      <c r="B38" s="370"/>
      <c r="C38" s="370"/>
      <c r="D38" s="370"/>
      <c r="E38" s="370"/>
      <c r="F38" s="370"/>
      <c r="G38" s="370"/>
      <c r="H38" s="370"/>
      <c r="I38" s="370"/>
      <c r="J38" s="370"/>
      <c r="K38" s="370"/>
      <c r="L38" s="370"/>
      <c r="M38" s="370"/>
      <c r="N38" s="370"/>
      <c r="O38" s="370"/>
      <c r="P38" s="370"/>
      <c r="Q38" s="370"/>
      <c r="R38" s="370"/>
      <c r="S38" s="370"/>
      <c r="T38" s="370"/>
      <c r="U38" s="370"/>
      <c r="V38" s="370"/>
      <c r="W38" s="370"/>
      <c r="X38" s="370"/>
      <c r="Y38" s="370"/>
      <c r="Z38" s="370"/>
      <c r="AA38" s="370"/>
      <c r="AB38" s="370"/>
      <c r="AC38" s="370"/>
      <c r="AD38" s="380"/>
    </row>
    <row r="39" spans="1:30" ht="16.5" customHeight="1" x14ac:dyDescent="0.3">
      <c r="A39" s="371">
        <f>SUM(Q2:U35)</f>
        <v>58</v>
      </c>
      <c r="B39" s="372"/>
      <c r="C39" s="372"/>
      <c r="D39" s="372"/>
      <c r="E39" s="375">
        <f>SUM(V2:Z35)</f>
        <v>7795</v>
      </c>
      <c r="F39" s="372"/>
      <c r="G39" s="372"/>
      <c r="H39" s="372"/>
      <c r="I39" s="372"/>
      <c r="J39" s="372"/>
      <c r="K39" s="375">
        <f>E39/A39</f>
        <v>134.39655172413794</v>
      </c>
      <c r="L39" s="372"/>
      <c r="M39" s="372"/>
      <c r="N39" s="372"/>
      <c r="O39" s="372">
        <f>SUM(MON:SUN!Q31)</f>
        <v>4</v>
      </c>
      <c r="P39" s="372"/>
      <c r="Q39" s="372"/>
      <c r="R39" s="372"/>
      <c r="S39" s="372"/>
      <c r="T39" s="372">
        <f>SUM(MON:SUN!P31)</f>
        <v>6</v>
      </c>
      <c r="U39" s="372"/>
      <c r="V39" s="372"/>
      <c r="W39" s="372"/>
      <c r="X39" s="372"/>
      <c r="Y39" s="372">
        <f>SUM(MON:SUN!S19)</f>
        <v>2</v>
      </c>
      <c r="Z39" s="372"/>
      <c r="AA39" s="372"/>
      <c r="AB39" s="372"/>
      <c r="AC39" s="372"/>
      <c r="AD39" s="392"/>
    </row>
    <row r="40" spans="1:30" ht="16.5" customHeight="1" x14ac:dyDescent="0.3">
      <c r="A40" s="371"/>
      <c r="B40" s="372"/>
      <c r="C40" s="372"/>
      <c r="D40" s="372"/>
      <c r="E40" s="372"/>
      <c r="F40" s="372"/>
      <c r="G40" s="372"/>
      <c r="H40" s="372"/>
      <c r="I40" s="372"/>
      <c r="J40" s="372"/>
      <c r="K40" s="372"/>
      <c r="L40" s="372"/>
      <c r="M40" s="372"/>
      <c r="N40" s="372"/>
      <c r="O40" s="372"/>
      <c r="P40" s="372"/>
      <c r="Q40" s="372"/>
      <c r="R40" s="372"/>
      <c r="S40" s="372"/>
      <c r="T40" s="372"/>
      <c r="U40" s="372"/>
      <c r="V40" s="372"/>
      <c r="W40" s="372"/>
      <c r="X40" s="372"/>
      <c r="Y40" s="372"/>
      <c r="Z40" s="372"/>
      <c r="AA40" s="372"/>
      <c r="AB40" s="372"/>
      <c r="AC40" s="372"/>
      <c r="AD40" s="392"/>
    </row>
    <row r="41" spans="1:30" ht="16.5" customHeight="1" x14ac:dyDescent="0.3">
      <c r="A41" s="371"/>
      <c r="B41" s="372"/>
      <c r="C41" s="372"/>
      <c r="D41" s="372"/>
      <c r="E41" s="372"/>
      <c r="F41" s="372"/>
      <c r="G41" s="372"/>
      <c r="H41" s="372"/>
      <c r="I41" s="372"/>
      <c r="J41" s="372"/>
      <c r="K41" s="372"/>
      <c r="L41" s="372"/>
      <c r="M41" s="372"/>
      <c r="N41" s="372"/>
      <c r="O41" s="390">
        <f>SUM(MON:SUN!J31)</f>
        <v>275</v>
      </c>
      <c r="P41" s="390"/>
      <c r="Q41" s="390"/>
      <c r="R41" s="390"/>
      <c r="S41" s="390"/>
      <c r="T41" s="390">
        <f>SUM(MON:SUN!K31)</f>
        <v>262.3</v>
      </c>
      <c r="U41" s="390"/>
      <c r="V41" s="390"/>
      <c r="W41" s="390"/>
      <c r="X41" s="390"/>
      <c r="Y41" s="390">
        <f>SUM(MON:SUN!T19)</f>
        <v>850</v>
      </c>
      <c r="Z41" s="390"/>
      <c r="AA41" s="390"/>
      <c r="AB41" s="390"/>
      <c r="AC41" s="390"/>
      <c r="AD41" s="393"/>
    </row>
    <row r="42" spans="1:30" ht="16.5" customHeight="1" thickBot="1" x14ac:dyDescent="0.35">
      <c r="A42" s="373"/>
      <c r="B42" s="374"/>
      <c r="C42" s="374"/>
      <c r="D42" s="374"/>
      <c r="E42" s="374"/>
      <c r="F42" s="374"/>
      <c r="G42" s="374"/>
      <c r="H42" s="374"/>
      <c r="I42" s="374"/>
      <c r="J42" s="374"/>
      <c r="K42" s="374"/>
      <c r="L42" s="374"/>
      <c r="M42" s="374"/>
      <c r="N42" s="374"/>
      <c r="O42" s="391"/>
      <c r="P42" s="391"/>
      <c r="Q42" s="391"/>
      <c r="R42" s="391"/>
      <c r="S42" s="391"/>
      <c r="T42" s="391"/>
      <c r="U42" s="391"/>
      <c r="V42" s="391"/>
      <c r="W42" s="391"/>
      <c r="X42" s="391"/>
      <c r="Y42" s="391"/>
      <c r="Z42" s="391"/>
      <c r="AA42" s="391"/>
      <c r="AB42" s="391"/>
      <c r="AC42" s="391"/>
      <c r="AD42" s="394"/>
    </row>
    <row r="43" spans="1:30" ht="17.45" customHeight="1" x14ac:dyDescent="0.3">
      <c r="A43" s="650" t="s">
        <v>84</v>
      </c>
      <c r="B43" s="651"/>
      <c r="C43" s="651"/>
      <c r="D43" s="651"/>
      <c r="E43" s="652"/>
      <c r="F43" s="650" t="s">
        <v>85</v>
      </c>
      <c r="G43" s="651"/>
      <c r="H43" s="651"/>
      <c r="I43" s="651"/>
      <c r="J43" s="652"/>
      <c r="K43" s="650" t="s">
        <v>86</v>
      </c>
      <c r="L43" s="651"/>
      <c r="M43" s="651"/>
      <c r="N43" s="651"/>
      <c r="O43" s="652"/>
      <c r="P43" s="650" t="s">
        <v>87</v>
      </c>
      <c r="Q43" s="651"/>
      <c r="R43" s="651"/>
      <c r="S43" s="651"/>
      <c r="T43" s="652"/>
      <c r="U43" s="650" t="s">
        <v>90</v>
      </c>
      <c r="V43" s="651"/>
      <c r="W43" s="651"/>
      <c r="X43" s="651"/>
      <c r="Y43" s="652"/>
      <c r="Z43" s="656" t="s">
        <v>95</v>
      </c>
      <c r="AA43" s="657"/>
      <c r="AB43" s="657"/>
      <c r="AC43" s="657"/>
      <c r="AD43" s="658"/>
    </row>
    <row r="44" spans="1:30" ht="17.45" customHeight="1" x14ac:dyDescent="0.3">
      <c r="A44" s="653"/>
      <c r="B44" s="654"/>
      <c r="C44" s="654"/>
      <c r="D44" s="654"/>
      <c r="E44" s="655"/>
      <c r="F44" s="653"/>
      <c r="G44" s="654"/>
      <c r="H44" s="654"/>
      <c r="I44" s="654"/>
      <c r="J44" s="655"/>
      <c r="K44" s="653"/>
      <c r="L44" s="654"/>
      <c r="M44" s="654"/>
      <c r="N44" s="654"/>
      <c r="O44" s="655"/>
      <c r="P44" s="653"/>
      <c r="Q44" s="654"/>
      <c r="R44" s="654"/>
      <c r="S44" s="654"/>
      <c r="T44" s="655"/>
      <c r="U44" s="653"/>
      <c r="V44" s="654"/>
      <c r="W44" s="654"/>
      <c r="X44" s="654"/>
      <c r="Y44" s="655"/>
      <c r="Z44" s="659"/>
      <c r="AA44" s="660"/>
      <c r="AB44" s="660"/>
      <c r="AC44" s="660"/>
      <c r="AD44" s="661"/>
    </row>
    <row r="45" spans="1:30" x14ac:dyDescent="0.3">
      <c r="A45" s="662">
        <f>SUM(H2,H7,H12,H17,H22,H27,H32)</f>
        <v>1575</v>
      </c>
      <c r="B45" s="663"/>
      <c r="C45" s="663"/>
      <c r="D45" s="663"/>
      <c r="E45" s="664"/>
      <c r="F45" s="662">
        <f>SUM(,H3,H8,H13,H18,H23,H28,H33)</f>
        <v>5945</v>
      </c>
      <c r="G45" s="663"/>
      <c r="H45" s="663"/>
      <c r="I45" s="663"/>
      <c r="J45" s="664"/>
      <c r="K45" s="662">
        <f>SUM(H5,H10,H15,H20,H25,H30,H35)</f>
        <v>275</v>
      </c>
      <c r="L45" s="663"/>
      <c r="M45" s="663"/>
      <c r="N45" s="663"/>
      <c r="O45" s="664"/>
      <c r="P45" s="662">
        <f>SUM(H4,H9,H14,H19,H24,H29,H34)</f>
        <v>262.3</v>
      </c>
      <c r="Q45" s="663"/>
      <c r="R45" s="663"/>
      <c r="S45" s="663"/>
      <c r="T45" s="664"/>
      <c r="U45" s="671">
        <f>SUM(E6,E11,E16,E21,E26,E31,E36)</f>
        <v>200.25</v>
      </c>
      <c r="V45" s="663"/>
      <c r="W45" s="663"/>
      <c r="X45" s="663"/>
      <c r="Y45" s="664"/>
      <c r="Z45" s="671">
        <f>SUM(L6,L11,L16,L21,L26,L31,L36)</f>
        <v>27</v>
      </c>
      <c r="AA45" s="663"/>
      <c r="AB45" s="663"/>
      <c r="AC45" s="663"/>
      <c r="AD45" s="672"/>
    </row>
    <row r="46" spans="1:30" x14ac:dyDescent="0.3">
      <c r="A46" s="665"/>
      <c r="B46" s="666"/>
      <c r="C46" s="666"/>
      <c r="D46" s="666"/>
      <c r="E46" s="667"/>
      <c r="F46" s="665"/>
      <c r="G46" s="666"/>
      <c r="H46" s="666"/>
      <c r="I46" s="666"/>
      <c r="J46" s="667"/>
      <c r="K46" s="665"/>
      <c r="L46" s="666"/>
      <c r="M46" s="666"/>
      <c r="N46" s="666"/>
      <c r="O46" s="667"/>
      <c r="P46" s="665"/>
      <c r="Q46" s="666"/>
      <c r="R46" s="666"/>
      <c r="S46" s="666"/>
      <c r="T46" s="667"/>
      <c r="U46" s="665"/>
      <c r="V46" s="666"/>
      <c r="W46" s="666"/>
      <c r="X46" s="666"/>
      <c r="Y46" s="667"/>
      <c r="Z46" s="665"/>
      <c r="AA46" s="666"/>
      <c r="AB46" s="666"/>
      <c r="AC46" s="666"/>
      <c r="AD46" s="673"/>
    </row>
    <row r="47" spans="1:30" x14ac:dyDescent="0.3">
      <c r="A47" s="665"/>
      <c r="B47" s="666"/>
      <c r="C47" s="666"/>
      <c r="D47" s="666"/>
      <c r="E47" s="667"/>
      <c r="F47" s="665"/>
      <c r="G47" s="666"/>
      <c r="H47" s="666"/>
      <c r="I47" s="666"/>
      <c r="J47" s="667"/>
      <c r="K47" s="665"/>
      <c r="L47" s="666"/>
      <c r="M47" s="666"/>
      <c r="N47" s="666"/>
      <c r="O47" s="667"/>
      <c r="P47" s="665"/>
      <c r="Q47" s="666"/>
      <c r="R47" s="666"/>
      <c r="S47" s="666"/>
      <c r="T47" s="667"/>
      <c r="U47" s="665"/>
      <c r="V47" s="666"/>
      <c r="W47" s="666"/>
      <c r="X47" s="666"/>
      <c r="Y47" s="667"/>
      <c r="Z47" s="665"/>
      <c r="AA47" s="666"/>
      <c r="AB47" s="666"/>
      <c r="AC47" s="666"/>
      <c r="AD47" s="673"/>
    </row>
    <row r="48" spans="1:30" ht="17.25" thickBot="1" x14ac:dyDescent="0.35">
      <c r="A48" s="668"/>
      <c r="B48" s="669"/>
      <c r="C48" s="669"/>
      <c r="D48" s="669"/>
      <c r="E48" s="670"/>
      <c r="F48" s="668"/>
      <c r="G48" s="669"/>
      <c r="H48" s="669"/>
      <c r="I48" s="669"/>
      <c r="J48" s="670"/>
      <c r="K48" s="668"/>
      <c r="L48" s="669"/>
      <c r="M48" s="669"/>
      <c r="N48" s="669"/>
      <c r="O48" s="670"/>
      <c r="P48" s="668"/>
      <c r="Q48" s="669"/>
      <c r="R48" s="669"/>
      <c r="S48" s="669"/>
      <c r="T48" s="670"/>
      <c r="U48" s="668"/>
      <c r="V48" s="669"/>
      <c r="W48" s="669"/>
      <c r="X48" s="669"/>
      <c r="Y48" s="670"/>
      <c r="Z48" s="668"/>
      <c r="AA48" s="669"/>
      <c r="AB48" s="669"/>
      <c r="AC48" s="669"/>
      <c r="AD48" s="674"/>
    </row>
    <row r="49" spans="1:30" ht="17.45" customHeight="1" x14ac:dyDescent="0.3">
      <c r="A49" s="632">
        <f>A45/E39</f>
        <v>0.2020525978191148</v>
      </c>
      <c r="B49" s="633"/>
      <c r="C49" s="633"/>
      <c r="D49" s="633"/>
      <c r="E49" s="634"/>
      <c r="F49" s="632">
        <f>F45/E39</f>
        <v>0.76266837716484925</v>
      </c>
      <c r="G49" s="633"/>
      <c r="H49" s="633"/>
      <c r="I49" s="633"/>
      <c r="J49" s="634"/>
      <c r="K49" s="632">
        <f>K45/E39</f>
        <v>3.5279025016035921E-2</v>
      </c>
      <c r="L49" s="633"/>
      <c r="M49" s="633"/>
      <c r="N49" s="633"/>
      <c r="O49" s="634"/>
      <c r="P49" s="632">
        <f>P45/E39</f>
        <v>3.3649775497113538E-2</v>
      </c>
      <c r="Q49" s="633"/>
      <c r="R49" s="633"/>
      <c r="S49" s="633"/>
      <c r="T49" s="634"/>
      <c r="U49" s="641">
        <f>U45/7</f>
        <v>28.607142857142858</v>
      </c>
      <c r="V49" s="642"/>
      <c r="W49" s="642"/>
      <c r="X49" s="642"/>
      <c r="Y49" s="643"/>
      <c r="Z49" s="641">
        <f>U45/Z45</f>
        <v>7.416666666666667</v>
      </c>
      <c r="AA49" s="642"/>
      <c r="AB49" s="642"/>
      <c r="AC49" s="642"/>
      <c r="AD49" s="643"/>
    </row>
    <row r="50" spans="1:30" ht="17.45" customHeight="1" x14ac:dyDescent="0.3">
      <c r="A50" s="635"/>
      <c r="B50" s="636"/>
      <c r="C50" s="636"/>
      <c r="D50" s="636"/>
      <c r="E50" s="637"/>
      <c r="F50" s="635"/>
      <c r="G50" s="636"/>
      <c r="H50" s="636"/>
      <c r="I50" s="636"/>
      <c r="J50" s="637"/>
      <c r="K50" s="635"/>
      <c r="L50" s="636"/>
      <c r="M50" s="636"/>
      <c r="N50" s="636"/>
      <c r="O50" s="637"/>
      <c r="P50" s="635"/>
      <c r="Q50" s="636"/>
      <c r="R50" s="636"/>
      <c r="S50" s="636"/>
      <c r="T50" s="637"/>
      <c r="U50" s="644"/>
      <c r="V50" s="645"/>
      <c r="W50" s="645"/>
      <c r="X50" s="645"/>
      <c r="Y50" s="646"/>
      <c r="Z50" s="644"/>
      <c r="AA50" s="645"/>
      <c r="AB50" s="645"/>
      <c r="AC50" s="645"/>
      <c r="AD50" s="646"/>
    </row>
    <row r="51" spans="1:30" ht="17.45" customHeight="1" x14ac:dyDescent="0.3">
      <c r="A51" s="635"/>
      <c r="B51" s="636"/>
      <c r="C51" s="636"/>
      <c r="D51" s="636"/>
      <c r="E51" s="637"/>
      <c r="F51" s="635"/>
      <c r="G51" s="636"/>
      <c r="H51" s="636"/>
      <c r="I51" s="636"/>
      <c r="J51" s="637"/>
      <c r="K51" s="635"/>
      <c r="L51" s="636"/>
      <c r="M51" s="636"/>
      <c r="N51" s="636"/>
      <c r="O51" s="637"/>
      <c r="P51" s="635"/>
      <c r="Q51" s="636"/>
      <c r="R51" s="636"/>
      <c r="S51" s="636"/>
      <c r="T51" s="637"/>
      <c r="U51" s="644"/>
      <c r="V51" s="645"/>
      <c r="W51" s="645"/>
      <c r="X51" s="645"/>
      <c r="Y51" s="646"/>
      <c r="Z51" s="644"/>
      <c r="AA51" s="645"/>
      <c r="AB51" s="645"/>
      <c r="AC51" s="645"/>
      <c r="AD51" s="646"/>
    </row>
    <row r="52" spans="1:30" ht="18" customHeight="1" thickBot="1" x14ac:dyDescent="0.35">
      <c r="A52" s="638"/>
      <c r="B52" s="639"/>
      <c r="C52" s="639"/>
      <c r="D52" s="639"/>
      <c r="E52" s="640"/>
      <c r="F52" s="638"/>
      <c r="G52" s="639"/>
      <c r="H52" s="639"/>
      <c r="I52" s="639"/>
      <c r="J52" s="640"/>
      <c r="K52" s="638"/>
      <c r="L52" s="639"/>
      <c r="M52" s="639"/>
      <c r="N52" s="639"/>
      <c r="O52" s="640"/>
      <c r="P52" s="638"/>
      <c r="Q52" s="639"/>
      <c r="R52" s="639"/>
      <c r="S52" s="639"/>
      <c r="T52" s="640"/>
      <c r="U52" s="647"/>
      <c r="V52" s="648"/>
      <c r="W52" s="648"/>
      <c r="X52" s="648"/>
      <c r="Y52" s="649"/>
      <c r="Z52" s="647"/>
      <c r="AA52" s="648"/>
      <c r="AB52" s="648"/>
      <c r="AC52" s="648"/>
      <c r="AD52" s="649"/>
    </row>
  </sheetData>
  <mergeCells count="217">
    <mergeCell ref="AA12:AD15"/>
    <mergeCell ref="V12:Z15"/>
    <mergeCell ref="L31:P31"/>
    <mergeCell ref="H18:K18"/>
    <mergeCell ref="E18:G18"/>
    <mergeCell ref="E34:G34"/>
    <mergeCell ref="H34:K34"/>
    <mergeCell ref="L34:P34"/>
    <mergeCell ref="E33:G33"/>
    <mergeCell ref="H33:K33"/>
    <mergeCell ref="L33:P33"/>
    <mergeCell ref="E32:G32"/>
    <mergeCell ref="H32:K32"/>
    <mergeCell ref="L32:P32"/>
    <mergeCell ref="H24:K24"/>
    <mergeCell ref="L24:P24"/>
    <mergeCell ref="H30:K30"/>
    <mergeCell ref="H31:K31"/>
    <mergeCell ref="E19:G19"/>
    <mergeCell ref="H19:K19"/>
    <mergeCell ref="L19:P19"/>
    <mergeCell ref="L28:P28"/>
    <mergeCell ref="E27:G27"/>
    <mergeCell ref="E31:G31"/>
    <mergeCell ref="V6:Z6"/>
    <mergeCell ref="AA6:AD6"/>
    <mergeCell ref="E11:G11"/>
    <mergeCell ref="H11:K11"/>
    <mergeCell ref="L11:P11"/>
    <mergeCell ref="Q11:U11"/>
    <mergeCell ref="V11:Z11"/>
    <mergeCell ref="AA11:AD11"/>
    <mergeCell ref="E9:G9"/>
    <mergeCell ref="H9:K9"/>
    <mergeCell ref="L9:P9"/>
    <mergeCell ref="A2:A6"/>
    <mergeCell ref="A7:A11"/>
    <mergeCell ref="A12:A16"/>
    <mergeCell ref="A17:A21"/>
    <mergeCell ref="A22:A26"/>
    <mergeCell ref="A27:A31"/>
    <mergeCell ref="A32:A36"/>
    <mergeCell ref="B6:D6"/>
    <mergeCell ref="B11:D11"/>
    <mergeCell ref="B16:D16"/>
    <mergeCell ref="B21:D21"/>
    <mergeCell ref="B26:D26"/>
    <mergeCell ref="B31:D31"/>
    <mergeCell ref="B36:D36"/>
    <mergeCell ref="B12:D12"/>
    <mergeCell ref="B34:D34"/>
    <mergeCell ref="B33:D33"/>
    <mergeCell ref="B32:D32"/>
    <mergeCell ref="B23:D23"/>
    <mergeCell ref="B30:D30"/>
    <mergeCell ref="B28:D28"/>
    <mergeCell ref="B19:D19"/>
    <mergeCell ref="B29:D29"/>
    <mergeCell ref="B27:D27"/>
    <mergeCell ref="A49:E52"/>
    <mergeCell ref="F49:J52"/>
    <mergeCell ref="K49:O52"/>
    <mergeCell ref="P49:T52"/>
    <mergeCell ref="U49:Y52"/>
    <mergeCell ref="Z49:AD52"/>
    <mergeCell ref="A43:E44"/>
    <mergeCell ref="F43:J44"/>
    <mergeCell ref="K43:O44"/>
    <mergeCell ref="P43:T44"/>
    <mergeCell ref="U43:Y44"/>
    <mergeCell ref="Z43:AD44"/>
    <mergeCell ref="A45:E48"/>
    <mergeCell ref="F45:J48"/>
    <mergeCell ref="K45:O48"/>
    <mergeCell ref="P45:T48"/>
    <mergeCell ref="U45:Y48"/>
    <mergeCell ref="Z45:AD48"/>
    <mergeCell ref="AA1:AD1"/>
    <mergeCell ref="H7:K7"/>
    <mergeCell ref="L7:P7"/>
    <mergeCell ref="B4:D4"/>
    <mergeCell ref="E2:G2"/>
    <mergeCell ref="B2:D2"/>
    <mergeCell ref="B3:D3"/>
    <mergeCell ref="Q1:U1"/>
    <mergeCell ref="V1:Z1"/>
    <mergeCell ref="A1:D1"/>
    <mergeCell ref="B7:D7"/>
    <mergeCell ref="E7:G7"/>
    <mergeCell ref="E4:G4"/>
    <mergeCell ref="H4:K4"/>
    <mergeCell ref="L4:P4"/>
    <mergeCell ref="E1:G1"/>
    <mergeCell ref="H1:K1"/>
    <mergeCell ref="L1:P1"/>
    <mergeCell ref="V7:Z10"/>
    <mergeCell ref="V2:Z5"/>
    <mergeCell ref="AA2:AD5"/>
    <mergeCell ref="AA7:AD10"/>
    <mergeCell ref="B10:D10"/>
    <mergeCell ref="B9:D9"/>
    <mergeCell ref="E28:G28"/>
    <mergeCell ref="H28:K28"/>
    <mergeCell ref="E23:G23"/>
    <mergeCell ref="AA17:AD20"/>
    <mergeCell ref="V17:Z20"/>
    <mergeCell ref="E5:G5"/>
    <mergeCell ref="H5:K5"/>
    <mergeCell ref="L5:P5"/>
    <mergeCell ref="E10:G10"/>
    <mergeCell ref="E15:G15"/>
    <mergeCell ref="H15:K15"/>
    <mergeCell ref="L15:P15"/>
    <mergeCell ref="Q2:U5"/>
    <mergeCell ref="Q12:U15"/>
    <mergeCell ref="Q27:U30"/>
    <mergeCell ref="L30:P30"/>
    <mergeCell ref="Q7:U10"/>
    <mergeCell ref="Q17:U20"/>
    <mergeCell ref="L13:P13"/>
    <mergeCell ref="E12:G12"/>
    <mergeCell ref="E6:G6"/>
    <mergeCell ref="H6:K6"/>
    <mergeCell ref="L6:P6"/>
    <mergeCell ref="Q6:U6"/>
    <mergeCell ref="L17:P17"/>
    <mergeCell ref="L10:P10"/>
    <mergeCell ref="L16:P16"/>
    <mergeCell ref="E16:G16"/>
    <mergeCell ref="H12:K12"/>
    <mergeCell ref="L12:P12"/>
    <mergeCell ref="H16:K16"/>
    <mergeCell ref="E3:G3"/>
    <mergeCell ref="H3:K3"/>
    <mergeCell ref="L3:P3"/>
    <mergeCell ref="H10:K10"/>
    <mergeCell ref="H20:K20"/>
    <mergeCell ref="E20:G20"/>
    <mergeCell ref="B20:D20"/>
    <mergeCell ref="B8:D8"/>
    <mergeCell ref="E8:G8"/>
    <mergeCell ref="B15:D15"/>
    <mergeCell ref="B17:D17"/>
    <mergeCell ref="E17:G17"/>
    <mergeCell ref="H17:K17"/>
    <mergeCell ref="V22:Z25"/>
    <mergeCell ref="H27:K27"/>
    <mergeCell ref="L27:P27"/>
    <mergeCell ref="H2:K2"/>
    <mergeCell ref="L2:P2"/>
    <mergeCell ref="H8:K8"/>
    <mergeCell ref="H23:K23"/>
    <mergeCell ref="L23:P23"/>
    <mergeCell ref="B22:D22"/>
    <mergeCell ref="E22:G22"/>
    <mergeCell ref="B5:D5"/>
    <mergeCell ref="B14:D14"/>
    <mergeCell ref="E14:G14"/>
    <mergeCell ref="H14:K14"/>
    <mergeCell ref="L14:P14"/>
    <mergeCell ref="B13:D13"/>
    <mergeCell ref="L8:P8"/>
    <mergeCell ref="E13:G13"/>
    <mergeCell ref="H13:K13"/>
    <mergeCell ref="L18:P18"/>
    <mergeCell ref="B18:D18"/>
    <mergeCell ref="H22:K22"/>
    <mergeCell ref="L22:P22"/>
    <mergeCell ref="L20:P20"/>
    <mergeCell ref="Q36:U36"/>
    <mergeCell ref="H35:K35"/>
    <mergeCell ref="L35:P35"/>
    <mergeCell ref="Q32:U35"/>
    <mergeCell ref="B24:D24"/>
    <mergeCell ref="E24:G24"/>
    <mergeCell ref="L21:P21"/>
    <mergeCell ref="L26:P26"/>
    <mergeCell ref="AA22:AD25"/>
    <mergeCell ref="AA27:AD30"/>
    <mergeCell ref="V27:Z30"/>
    <mergeCell ref="E29:G29"/>
    <mergeCell ref="H29:K29"/>
    <mergeCell ref="H21:K21"/>
    <mergeCell ref="H26:K26"/>
    <mergeCell ref="E21:G21"/>
    <mergeCell ref="E26:G26"/>
    <mergeCell ref="E30:G30"/>
    <mergeCell ref="L29:P29"/>
    <mergeCell ref="B25:D25"/>
    <mergeCell ref="E25:G25"/>
    <mergeCell ref="H25:K25"/>
    <mergeCell ref="L25:P25"/>
    <mergeCell ref="Q22:U25"/>
    <mergeCell ref="A37:D38"/>
    <mergeCell ref="A39:D42"/>
    <mergeCell ref="E37:J38"/>
    <mergeCell ref="E39:J42"/>
    <mergeCell ref="K37:N38"/>
    <mergeCell ref="K39:N42"/>
    <mergeCell ref="O37:S38"/>
    <mergeCell ref="T37:X38"/>
    <mergeCell ref="V32:Z35"/>
    <mergeCell ref="B35:D35"/>
    <mergeCell ref="E35:G35"/>
    <mergeCell ref="Y37:AD38"/>
    <mergeCell ref="O39:S40"/>
    <mergeCell ref="E36:G36"/>
    <mergeCell ref="V36:Z36"/>
    <mergeCell ref="AA36:AD36"/>
    <mergeCell ref="O41:S42"/>
    <mergeCell ref="T41:X42"/>
    <mergeCell ref="T39:X40"/>
    <mergeCell ref="Y39:AD40"/>
    <mergeCell ref="Y41:AD42"/>
    <mergeCell ref="AA32:AD35"/>
    <mergeCell ref="H36:K36"/>
    <mergeCell ref="L36:P36"/>
  </mergeCells>
  <phoneticPr fontId="4" type="noConversion"/>
  <pageMargins left="0.7" right="0.7" top="0.75" bottom="0.75" header="0.3" footer="0.3"/>
  <pageSetup paperSize="9" orientation="portrait" horizontalDpi="300" verticalDpi="3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E7C993F691F6C49B0487567A23C9AEB" ma:contentTypeVersion="13" ma:contentTypeDescription="Create a new document." ma:contentTypeScope="" ma:versionID="8cb72715d010d1b6e424b5a5924125a8">
  <xsd:schema xmlns:xsd="http://www.w3.org/2001/XMLSchema" xmlns:xs="http://www.w3.org/2001/XMLSchema" xmlns:p="http://schemas.microsoft.com/office/2006/metadata/properties" xmlns:ns2="bdfe0167-4a7f-485a-b4c5-dbf2607eadbd" xmlns:ns3="ba5a031c-41e6-4fc2-b410-ab25c1d9a5be" targetNamespace="http://schemas.microsoft.com/office/2006/metadata/properties" ma:root="true" ma:fieldsID="e4f66d483d906c8df9c1bb5c31afa7b3" ns2:_="" ns3:_="">
    <xsd:import namespace="bdfe0167-4a7f-485a-b4c5-dbf2607eadbd"/>
    <xsd:import namespace="ba5a031c-41e6-4fc2-b410-ab25c1d9a5b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dfe0167-4a7f-485a-b4c5-dbf2607eadb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76711c99-b818-451d-be46-dba5f7fac1e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a5a031c-41e6-4fc2-b410-ab25c1d9a5b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82c1c38-6c3b-4944-ac08-1391b9092413}" ma:internalName="TaxCatchAll" ma:showField="CatchAllData" ma:web="ba5a031c-41e6-4fc2-b410-ab25c1d9a5b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dfe0167-4a7f-485a-b4c5-dbf2607eadbd">
      <Terms xmlns="http://schemas.microsoft.com/office/infopath/2007/PartnerControls"/>
    </lcf76f155ced4ddcb4097134ff3c332f>
    <TaxCatchAll xmlns="ba5a031c-41e6-4fc2-b410-ab25c1d9a5be" xsi:nil="true"/>
  </documentManagement>
</p:properties>
</file>

<file path=customXml/itemProps1.xml><?xml version="1.0" encoding="utf-8"?>
<ds:datastoreItem xmlns:ds="http://schemas.openxmlformats.org/officeDocument/2006/customXml" ds:itemID="{0F6E850C-7BA7-4C86-AB79-DBCE348A03C1}"/>
</file>

<file path=customXml/itemProps2.xml><?xml version="1.0" encoding="utf-8"?>
<ds:datastoreItem xmlns:ds="http://schemas.openxmlformats.org/officeDocument/2006/customXml" ds:itemID="{E57E16C6-F914-44D0-AE37-A17598589E10}"/>
</file>

<file path=customXml/itemProps3.xml><?xml version="1.0" encoding="utf-8"?>
<ds:datastoreItem xmlns:ds="http://schemas.openxmlformats.org/officeDocument/2006/customXml" ds:itemID="{EB2E77EA-DDB7-4B1F-BB9C-82261390899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MON</vt:lpstr>
      <vt:lpstr>TUE</vt:lpstr>
      <vt:lpstr>WED</vt:lpstr>
      <vt:lpstr>THU</vt:lpstr>
      <vt:lpstr>FRI</vt:lpstr>
      <vt:lpstr>SAT</vt:lpstr>
      <vt:lpstr>SUN</vt:lpstr>
      <vt:lpstr>WEEKLY TOTAL</vt:lpstr>
      <vt:lpstr>FRI!Print_Area</vt:lpstr>
      <vt:lpstr>MON!Print_Area</vt:lpstr>
      <vt:lpstr>SAT!Print_Area</vt:lpstr>
      <vt:lpstr>SUN!Print_Area</vt:lpstr>
      <vt:lpstr>THU!Print_Area</vt:lpstr>
      <vt:lpstr>TUE!Print_Area</vt:lpstr>
      <vt:lpstr>WED!Print_Area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Chatswood B2</cp:lastModifiedBy>
  <cp:lastPrinted>2021-12-02T06:53:47Z</cp:lastPrinted>
  <dcterms:created xsi:type="dcterms:W3CDTF">2011-11-24T03:16:40Z</dcterms:created>
  <dcterms:modified xsi:type="dcterms:W3CDTF">2022-03-06T05:58:13Z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0x010100DE7C993F691F6C49B0487567A23C9AEB</vt:lpwstr>
  </property>
</Properties>
</file>