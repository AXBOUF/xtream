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CB1C741A-35A3-4D9D-8772-AD52F0FD29A4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1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M30" i="3"/>
  <c r="L30" i="3"/>
  <c r="L31" i="3" s="1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K30" i="6" s="1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H35" i="8" s="1"/>
  <c r="U16" i="2"/>
  <c r="S16" i="2" s="1"/>
  <c r="J30" i="1"/>
  <c r="J31" i="1" s="1"/>
  <c r="K30" i="1"/>
  <c r="K31" i="1" s="1"/>
  <c r="S16" i="1"/>
  <c r="U16" i="3"/>
  <c r="E26" i="8" s="1"/>
  <c r="S32" i="3"/>
  <c r="H23" i="8" s="1"/>
  <c r="J30" i="3"/>
  <c r="J31" i="3" s="1"/>
  <c r="K30" i="3"/>
  <c r="K31" i="3" s="1"/>
  <c r="U16" i="4"/>
  <c r="S16" i="4" s="1"/>
  <c r="K30" i="4"/>
  <c r="K31" i="4" s="1"/>
  <c r="J30" i="4"/>
  <c r="J31" i="4" s="1"/>
  <c r="J30" i="5"/>
  <c r="J31" i="5" s="1"/>
  <c r="K30" i="5"/>
  <c r="K31" i="5" s="1"/>
  <c r="U16" i="5"/>
  <c r="S16" i="5" s="1"/>
  <c r="J30" i="6"/>
  <c r="J31" i="6" s="1"/>
  <c r="U16" i="6"/>
  <c r="S16" i="6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T31" i="1"/>
  <c r="AD25" i="3"/>
  <c r="AI25" i="3"/>
  <c r="Z32" i="3"/>
  <c r="Z33" i="3" s="1"/>
  <c r="S31" i="3"/>
  <c r="T31" i="3"/>
  <c r="AD25" i="4"/>
  <c r="AI25" i="4"/>
  <c r="Z32" i="4"/>
  <c r="Z33" i="4" s="1"/>
  <c r="S31" i="4"/>
  <c r="Y39" i="8"/>
  <c r="T31" i="4"/>
  <c r="AI25" i="5"/>
  <c r="AD25" i="5"/>
  <c r="S31" i="5"/>
  <c r="Z32" i="5"/>
  <c r="Z33" i="5" s="1"/>
  <c r="T31" i="5"/>
  <c r="R16" i="6"/>
  <c r="K31" i="6"/>
  <c r="AD25" i="6"/>
  <c r="AI25" i="6"/>
  <c r="S31" i="6"/>
  <c r="H7" i="8" s="1"/>
  <c r="Z32" i="6"/>
  <c r="Z33" i="6" s="1"/>
  <c r="T31" i="6"/>
  <c r="H27" i="8"/>
  <c r="H22" i="8"/>
  <c r="H13" i="8"/>
  <c r="H17" i="8"/>
  <c r="H1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C32" i="2"/>
  <c r="O32" i="2" s="1"/>
  <c r="L33" i="8" s="1"/>
  <c r="E36" i="8"/>
  <c r="R16" i="2"/>
  <c r="C32" i="1"/>
  <c r="P32" i="1" s="1"/>
  <c r="E31" i="8"/>
  <c r="R16" i="1"/>
  <c r="R16" i="3"/>
  <c r="S16" i="3"/>
  <c r="C32" i="3"/>
  <c r="O32" i="3" s="1"/>
  <c r="R16" i="4"/>
  <c r="C32" i="4"/>
  <c r="K32" i="4" s="1"/>
  <c r="C32" i="5"/>
  <c r="O32" i="5" s="1"/>
  <c r="R16" i="5"/>
  <c r="E11" i="8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T16" i="2" l="1"/>
  <c r="P32" i="2"/>
  <c r="L34" i="8" s="1"/>
  <c r="K32" i="2"/>
  <c r="N32" i="2"/>
  <c r="L32" i="8" s="1"/>
  <c r="U25" i="2"/>
  <c r="Q32" i="2"/>
  <c r="L35" i="8" s="1"/>
  <c r="K32" i="1"/>
  <c r="Q32" i="1"/>
  <c r="U25" i="1"/>
  <c r="N32" i="1"/>
  <c r="O32" i="1"/>
  <c r="T16" i="1"/>
  <c r="U25" i="3"/>
  <c r="Q32" i="3"/>
  <c r="L25" i="8" s="1"/>
  <c r="P32" i="3"/>
  <c r="L24" i="8" s="1"/>
  <c r="K32" i="3"/>
  <c r="N32" i="3"/>
  <c r="L22" i="8" s="1"/>
  <c r="T16" i="3"/>
  <c r="U25" i="4"/>
  <c r="O32" i="4"/>
  <c r="P32" i="4"/>
  <c r="Q32" i="4"/>
  <c r="T16" i="4"/>
  <c r="N32" i="4"/>
  <c r="N32" i="5"/>
  <c r="U25" i="5"/>
  <c r="P32" i="5"/>
  <c r="Q32" i="5"/>
  <c r="T16" i="5"/>
  <c r="K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<sst xmlns="http://schemas.openxmlformats.org/spreadsheetml/2006/main" count="1570" uniqueCount="334">
  <si>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</si>
  <si>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</si>
  <si>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</si>
  <si>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</si>
  <si>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</si>
  <si>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</si>
  <si>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</si>
  <si>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</si>
  <si>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</si>
  <si>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</si>
  <si>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</si>
  <si>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</si>
  <si>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</si>
  <si>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</si>
  <si>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</si>
  <si>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</si>
  <si>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</si>
  <si>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</si>
  <si>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6" type="noConversion"/>
  </si>
  <si>
    <t>RMKS</t>
    <phoneticPr fontId="6" type="noConversion"/>
  </si>
  <si>
    <t>CARD</t>
    <phoneticPr fontId="6" type="noConversion"/>
  </si>
  <si>
    <t>Docket No</t>
    <phoneticPr fontId="6" type="noConversion"/>
  </si>
  <si>
    <t>CASH</t>
    <phoneticPr fontId="6" type="noConversion"/>
  </si>
  <si>
    <t>ITEM</t>
    <phoneticPr fontId="6" type="noConversion"/>
  </si>
  <si>
    <t>Daily Report</t>
    <phoneticPr fontId="6" type="noConversion"/>
  </si>
  <si>
    <t>TIME</t>
    <phoneticPr fontId="6" type="noConversion"/>
  </si>
  <si>
    <t>NAME</t>
    <phoneticPr fontId="6" type="noConversion"/>
  </si>
  <si>
    <t>B2 card</t>
    <phoneticPr fontId="6" type="noConversion"/>
  </si>
  <si>
    <t>Subtotal</t>
    <phoneticPr fontId="6" type="noConversion"/>
  </si>
  <si>
    <t>Settlement</t>
    <phoneticPr fontId="6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</si>
  <si>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</si>
  <si>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</si>
  <si>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</si>
  <si>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</si>
  <si>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</si>
  <si>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</si>
  <si>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</si>
  <si>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</si>
  <si>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</si>
  <si>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</si>
  <si>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</si>
  <si>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6" type="noConversion"/>
  </si>
  <si>
    <t>EXCL RSL</t>
    <phoneticPr fontId="6" type="noConversion"/>
  </si>
  <si>
    <t>NOV</t>
    <phoneticPr fontId="6" type="noConversion"/>
  </si>
  <si>
    <t>RSL</t>
    <phoneticPr fontId="6" type="noConversion"/>
  </si>
  <si>
    <t>GV</t>
    <phoneticPr fontId="6" type="noConversion"/>
  </si>
  <si>
    <t>GV CARD</t>
    <phoneticPr fontId="6" type="noConversion"/>
  </si>
  <si>
    <t>GV CASH</t>
    <phoneticPr fontId="6" type="noConversion"/>
  </si>
  <si>
    <t>Page total</t>
    <phoneticPr fontId="6" type="noConversion"/>
  </si>
  <si>
    <t>WEATHER</t>
    <phoneticPr fontId="6" type="noConversion"/>
  </si>
  <si>
    <t>REPORT by</t>
    <phoneticPr fontId="6" type="noConversion"/>
  </si>
  <si>
    <t>TOTAL STAFF</t>
    <phoneticPr fontId="6" type="noConversion"/>
  </si>
  <si>
    <t>Page: 3</t>
    <phoneticPr fontId="6" type="noConversion"/>
  </si>
  <si>
    <t>No of Cars</t>
    <phoneticPr fontId="6" type="noConversion"/>
  </si>
  <si>
    <t>Average</t>
    <phoneticPr fontId="6" type="noConversion"/>
  </si>
  <si>
    <t>TOTAL SALES</t>
    <phoneticPr fontId="6" type="noConversion"/>
  </si>
  <si>
    <t>Expense</t>
    <phoneticPr fontId="6" type="noConversion"/>
  </si>
  <si>
    <t>Cash</t>
    <phoneticPr fontId="6" type="noConversion"/>
  </si>
  <si>
    <t>Card</t>
    <phoneticPr fontId="6" type="noConversion"/>
  </si>
  <si>
    <t>CARS</t>
    <phoneticPr fontId="6" type="noConversion"/>
  </si>
  <si>
    <t>AMOUNT</t>
    <phoneticPr fontId="6" type="noConversion"/>
  </si>
  <si>
    <t>PERCENTAGE</t>
    <phoneticPr fontId="6" type="noConversion"/>
  </si>
  <si>
    <t>TOTAL CARS</t>
    <phoneticPr fontId="6" type="noConversion"/>
  </si>
  <si>
    <t>TOTAL AMOUNT</t>
    <phoneticPr fontId="6" type="noConversion"/>
  </si>
  <si>
    <t>AVERAGE</t>
    <phoneticPr fontId="6" type="noConversion"/>
  </si>
  <si>
    <t>RSL</t>
    <phoneticPr fontId="6" type="noConversion"/>
  </si>
  <si>
    <t>MON</t>
    <phoneticPr fontId="6" type="noConversion"/>
  </si>
  <si>
    <t>TUE</t>
    <phoneticPr fontId="6" type="noConversion"/>
  </si>
  <si>
    <t>WED</t>
    <phoneticPr fontId="6" type="noConversion"/>
  </si>
  <si>
    <t>THU</t>
    <phoneticPr fontId="6" type="noConversion"/>
  </si>
  <si>
    <t>SAT</t>
    <phoneticPr fontId="6" type="noConversion"/>
  </si>
  <si>
    <t>SUN</t>
    <phoneticPr fontId="6" type="noConversion"/>
  </si>
  <si>
    <t>TOTAL CARS</t>
  </si>
  <si>
    <t>TOTAL SALES</t>
    <phoneticPr fontId="6" type="noConversion"/>
  </si>
  <si>
    <t>AVERAGE</t>
    <phoneticPr fontId="6" type="noConversion"/>
  </si>
  <si>
    <t>GV</t>
    <phoneticPr fontId="6" type="noConversion"/>
  </si>
  <si>
    <t>GV SOLD</t>
    <phoneticPr fontId="6" type="noConversion"/>
  </si>
  <si>
    <t>B2 Daily Report</t>
    <phoneticPr fontId="6" type="noConversion"/>
  </si>
  <si>
    <t>SMALL</t>
    <phoneticPr fontId="6" type="noConversion"/>
  </si>
  <si>
    <t>MEDIUM</t>
    <phoneticPr fontId="6" type="noConversion"/>
  </si>
  <si>
    <t>LARGE</t>
    <phoneticPr fontId="6" type="noConversion"/>
  </si>
  <si>
    <t>TOTAL</t>
    <phoneticPr fontId="6" type="noConversion"/>
  </si>
  <si>
    <t>CARD CLOSING</t>
    <phoneticPr fontId="6" type="noConversion"/>
  </si>
  <si>
    <t>CASH CLOSING</t>
    <phoneticPr fontId="6" type="noConversion"/>
  </si>
  <si>
    <t>TOTAL CASH</t>
    <phoneticPr fontId="6" type="noConversion"/>
  </si>
  <si>
    <t>TOTAL CARD</t>
    <phoneticPr fontId="6" type="noConversion"/>
  </si>
  <si>
    <t>TOTAL RSL</t>
    <phoneticPr fontId="6" type="noConversion"/>
  </si>
  <si>
    <t>TOTAL GV</t>
    <phoneticPr fontId="6" type="noConversion"/>
  </si>
  <si>
    <t>Mobile</t>
    <phoneticPr fontId="6" type="noConversion"/>
  </si>
  <si>
    <t>Gender</t>
    <phoneticPr fontId="6" type="noConversion"/>
  </si>
  <si>
    <t>STAFF HRS</t>
    <phoneticPr fontId="6" type="noConversion"/>
  </si>
  <si>
    <t>M</t>
    <phoneticPr fontId="6" type="noConversion"/>
  </si>
  <si>
    <t>F</t>
    <phoneticPr fontId="6" type="noConversion"/>
  </si>
  <si>
    <t>FR I</t>
    <phoneticPr fontId="6" type="noConversion"/>
  </si>
  <si>
    <t xml:space="preserve">hrs </t>
    <phoneticPr fontId="6" type="noConversion"/>
  </si>
  <si>
    <t>no. staff</t>
    <phoneticPr fontId="6" type="noConversion"/>
  </si>
  <si>
    <t>REPORT BY</t>
    <phoneticPr fontId="6" type="noConversion"/>
  </si>
  <si>
    <t>B2   7 - 3 - 2022</t>
    <phoneticPr fontId="6" type="noConversion"/>
  </si>
  <si>
    <t>SHOWER</t>
    <phoneticPr fontId="6" type="noConversion"/>
  </si>
  <si>
    <t>HENDRA</t>
    <phoneticPr fontId="6" type="noConversion"/>
  </si>
  <si>
    <t>JUNIOR</t>
    <phoneticPr fontId="6" type="noConversion"/>
  </si>
  <si>
    <t>ARIANTO</t>
    <phoneticPr fontId="6" type="noConversion"/>
  </si>
  <si>
    <t>KUROSH</t>
    <phoneticPr fontId="6" type="noConversion"/>
  </si>
  <si>
    <t>BZ63SD</t>
    <phoneticPr fontId="6" type="noConversion"/>
  </si>
  <si>
    <t>0401093636</t>
    <phoneticPr fontId="6" type="noConversion"/>
  </si>
  <si>
    <t>X</t>
    <phoneticPr fontId="6" type="noConversion"/>
  </si>
  <si>
    <t>CM27HX</t>
    <phoneticPr fontId="6" type="noConversion"/>
  </si>
  <si>
    <t>0481561003</t>
    <phoneticPr fontId="6" type="noConversion"/>
  </si>
  <si>
    <t>IN/ST</t>
    <phoneticPr fontId="6" type="noConversion"/>
  </si>
  <si>
    <t>SMALL CAR</t>
    <phoneticPr fontId="6" type="noConversion"/>
  </si>
  <si>
    <t>B2  08 - 3 - 2022</t>
    <phoneticPr fontId="6" type="noConversion"/>
  </si>
  <si>
    <t>RAIN</t>
    <phoneticPr fontId="6" type="noConversion"/>
  </si>
  <si>
    <t>CHA62S</t>
    <phoneticPr fontId="6" type="noConversion"/>
  </si>
  <si>
    <t>H</t>
    <phoneticPr fontId="6" type="noConversion"/>
  </si>
  <si>
    <t>EAV82Z</t>
    <phoneticPr fontId="6" type="noConversion"/>
  </si>
  <si>
    <t>0450766688</t>
    <phoneticPr fontId="6" type="noConversion"/>
  </si>
  <si>
    <t>DD2018</t>
    <phoneticPr fontId="6" type="noConversion"/>
  </si>
  <si>
    <t>0413880446</t>
    <phoneticPr fontId="6" type="noConversion"/>
  </si>
  <si>
    <t>B2  09 - 3 - 2022</t>
    <phoneticPr fontId="6" type="noConversion"/>
  </si>
  <si>
    <t>JUNIOR GOING TO ALEXANDRIA</t>
    <phoneticPr fontId="6" type="noConversion"/>
  </si>
  <si>
    <t>HEATHER</t>
    <phoneticPr fontId="6" type="noConversion"/>
  </si>
  <si>
    <t>PUNEET</t>
    <phoneticPr fontId="6" type="noConversion"/>
  </si>
  <si>
    <t>BDT862</t>
    <phoneticPr fontId="6" type="noConversion"/>
  </si>
  <si>
    <t>0418387778</t>
    <phoneticPr fontId="6" type="noConversion"/>
  </si>
  <si>
    <t>BZB84A</t>
    <phoneticPr fontId="6" type="noConversion"/>
  </si>
  <si>
    <t>0408969223</t>
    <phoneticPr fontId="6" type="noConversion"/>
  </si>
  <si>
    <t>PCS</t>
    <phoneticPr fontId="6" type="noConversion"/>
  </si>
  <si>
    <t># 210421 6/6</t>
    <phoneticPr fontId="6" type="noConversion"/>
  </si>
  <si>
    <t>DPA86H</t>
    <phoneticPr fontId="6" type="noConversion"/>
  </si>
  <si>
    <t>0409698950</t>
    <phoneticPr fontId="6" type="noConversion"/>
  </si>
  <si>
    <t>D/ENG</t>
    <phoneticPr fontId="6" type="noConversion"/>
  </si>
  <si>
    <t>CDS89H</t>
    <phoneticPr fontId="6" type="noConversion"/>
  </si>
  <si>
    <t>0447514956</t>
    <phoneticPr fontId="6" type="noConversion"/>
  </si>
  <si>
    <t>D</t>
    <phoneticPr fontId="6" type="noConversion"/>
  </si>
  <si>
    <t>RDB417</t>
    <phoneticPr fontId="6" type="noConversion"/>
  </si>
  <si>
    <t>0416177260</t>
    <phoneticPr fontId="6" type="noConversion"/>
  </si>
  <si>
    <t>CJC517</t>
    <phoneticPr fontId="6" type="noConversion"/>
  </si>
  <si>
    <t>0410056303</t>
    <phoneticPr fontId="6" type="noConversion"/>
  </si>
  <si>
    <t>f</t>
    <phoneticPr fontId="6" type="noConversion"/>
  </si>
  <si>
    <t>EED24X</t>
    <phoneticPr fontId="6" type="noConversion"/>
  </si>
  <si>
    <t>0433670519</t>
    <phoneticPr fontId="6" type="noConversion"/>
  </si>
  <si>
    <t>GV3</t>
    <phoneticPr fontId="6" type="noConversion"/>
  </si>
  <si>
    <t>#202798 6/6</t>
    <phoneticPr fontId="6" type="noConversion"/>
  </si>
  <si>
    <t>CIE80T</t>
    <phoneticPr fontId="6" type="noConversion"/>
  </si>
  <si>
    <t>0480212324</t>
    <phoneticPr fontId="6" type="noConversion"/>
  </si>
  <si>
    <t>EMB75S</t>
    <phoneticPr fontId="6" type="noConversion"/>
  </si>
  <si>
    <t>0412650767</t>
    <phoneticPr fontId="6" type="noConversion"/>
  </si>
  <si>
    <t>B2 10 - 3 - 2022</t>
    <phoneticPr fontId="6" type="noConversion"/>
  </si>
  <si>
    <t>CLOUDY</t>
    <phoneticPr fontId="6" type="noConversion"/>
  </si>
  <si>
    <t>ABC789</t>
    <phoneticPr fontId="6" type="noConversion"/>
  </si>
  <si>
    <t>0430880210</t>
    <phoneticPr fontId="6" type="noConversion"/>
  </si>
  <si>
    <t>O</t>
    <phoneticPr fontId="6" type="noConversion"/>
  </si>
  <si>
    <t>NBR48D</t>
    <phoneticPr fontId="6" type="noConversion"/>
  </si>
  <si>
    <t>0407213067</t>
    <phoneticPr fontId="6" type="noConversion"/>
  </si>
  <si>
    <t>FD</t>
    <phoneticPr fontId="6" type="noConversion"/>
  </si>
  <si>
    <t>ND088</t>
    <phoneticPr fontId="6" type="noConversion"/>
  </si>
  <si>
    <t>0432771111</t>
    <phoneticPr fontId="6" type="noConversion"/>
  </si>
  <si>
    <t>EHL11W</t>
    <phoneticPr fontId="6" type="noConversion"/>
  </si>
  <si>
    <t>0404099700</t>
    <phoneticPr fontId="6" type="noConversion"/>
  </si>
  <si>
    <t>TAX</t>
    <phoneticPr fontId="6" type="noConversion"/>
  </si>
  <si>
    <t>8888XS</t>
    <phoneticPr fontId="6" type="noConversion"/>
  </si>
  <si>
    <t>0416383328</t>
    <phoneticPr fontId="6" type="noConversion"/>
  </si>
  <si>
    <t>BL35HU</t>
    <phoneticPr fontId="6" type="noConversion"/>
  </si>
  <si>
    <t>0499148857</t>
    <phoneticPr fontId="6" type="noConversion"/>
  </si>
  <si>
    <t>CYU83D</t>
    <phoneticPr fontId="6" type="noConversion"/>
  </si>
  <si>
    <t>0433100959</t>
    <phoneticPr fontId="6" type="noConversion"/>
  </si>
  <si>
    <t>EEA06J</t>
    <phoneticPr fontId="6" type="noConversion"/>
  </si>
  <si>
    <t>0404095442</t>
    <phoneticPr fontId="6" type="noConversion"/>
  </si>
  <si>
    <t>DNK75K</t>
    <phoneticPr fontId="6" type="noConversion"/>
  </si>
  <si>
    <t>0474333666</t>
    <phoneticPr fontId="6" type="noConversion"/>
  </si>
  <si>
    <t>PCL</t>
    <phoneticPr fontId="6" type="noConversion"/>
  </si>
  <si>
    <t># 21036 2/6 3/6 4/6</t>
    <phoneticPr fontId="6" type="noConversion"/>
  </si>
  <si>
    <t>EGT11K</t>
    <phoneticPr fontId="6" type="noConversion"/>
  </si>
  <si>
    <t>0422892378</t>
    <phoneticPr fontId="6" type="noConversion"/>
  </si>
  <si>
    <t>CI75KA</t>
    <phoneticPr fontId="6" type="noConversion"/>
  </si>
  <si>
    <t>0414899847</t>
    <phoneticPr fontId="6" type="noConversion"/>
  </si>
  <si>
    <t>CHJ77L</t>
    <phoneticPr fontId="6" type="noConversion"/>
  </si>
  <si>
    <t>DGA98Z</t>
    <phoneticPr fontId="6" type="noConversion"/>
  </si>
  <si>
    <t>0413996557</t>
    <phoneticPr fontId="6" type="noConversion"/>
  </si>
  <si>
    <t>ATET</t>
    <phoneticPr fontId="6" type="noConversion"/>
  </si>
  <si>
    <t>NBW54H</t>
    <phoneticPr fontId="6" type="noConversion"/>
  </si>
  <si>
    <t>0413383540</t>
    <phoneticPr fontId="6" type="noConversion"/>
  </si>
  <si>
    <t>AFS888</t>
    <phoneticPr fontId="6" type="noConversion"/>
  </si>
  <si>
    <t>0419800270</t>
    <phoneticPr fontId="6" type="noConversion"/>
  </si>
  <si>
    <t>SEDAN</t>
    <phoneticPr fontId="6" type="noConversion"/>
  </si>
  <si>
    <t>ST/CLAY</t>
    <phoneticPr fontId="6" type="noConversion"/>
  </si>
  <si>
    <t>CEM32R</t>
    <phoneticPr fontId="6" type="noConversion"/>
  </si>
  <si>
    <t>0406710753</t>
    <phoneticPr fontId="6" type="noConversion"/>
  </si>
  <si>
    <t>CXY11Y</t>
    <phoneticPr fontId="6" type="noConversion"/>
  </si>
  <si>
    <t>0412411002</t>
    <phoneticPr fontId="6" type="noConversion"/>
  </si>
  <si>
    <t>B2 11 - 3 - 2022</t>
    <phoneticPr fontId="6" type="noConversion"/>
  </si>
  <si>
    <t>SKY5</t>
    <phoneticPr fontId="6" type="noConversion"/>
  </si>
  <si>
    <t>0406222111</t>
    <phoneticPr fontId="6" type="noConversion"/>
  </si>
  <si>
    <t># 21014 6/6</t>
    <phoneticPr fontId="6" type="noConversion"/>
  </si>
  <si>
    <t>EDC37B</t>
    <phoneticPr fontId="6" type="noConversion"/>
  </si>
  <si>
    <t>0409582765</t>
    <phoneticPr fontId="6" type="noConversion"/>
  </si>
  <si>
    <t>DFP53A</t>
    <phoneticPr fontId="6" type="noConversion"/>
  </si>
  <si>
    <t>0423088065</t>
    <phoneticPr fontId="6" type="noConversion"/>
  </si>
  <si>
    <t>202201048 -50 ,202202022</t>
    <phoneticPr fontId="6" type="noConversion"/>
  </si>
  <si>
    <t>ST</t>
    <phoneticPr fontId="6" type="noConversion"/>
  </si>
  <si>
    <t>DVL59F</t>
    <phoneticPr fontId="6" type="noConversion"/>
  </si>
  <si>
    <t>0416325788</t>
    <phoneticPr fontId="6" type="noConversion"/>
  </si>
  <si>
    <t>EKG74Q</t>
    <phoneticPr fontId="6" type="noConversion"/>
  </si>
  <si>
    <t>0404192266</t>
    <phoneticPr fontId="6" type="noConversion"/>
  </si>
  <si>
    <t>EGJ90D</t>
    <phoneticPr fontId="6" type="noConversion"/>
  </si>
  <si>
    <t>0402558086</t>
    <phoneticPr fontId="6" type="noConversion"/>
  </si>
  <si>
    <t>TRICEP</t>
    <phoneticPr fontId="6" type="noConversion"/>
  </si>
  <si>
    <t>HD093</t>
    <phoneticPr fontId="6" type="noConversion"/>
  </si>
  <si>
    <t>0413750778</t>
    <phoneticPr fontId="6" type="noConversion"/>
  </si>
  <si>
    <t>EQB51L</t>
    <phoneticPr fontId="6" type="noConversion"/>
  </si>
  <si>
    <t>0402034399</t>
    <phoneticPr fontId="6" type="noConversion"/>
  </si>
  <si>
    <t>PCM</t>
    <phoneticPr fontId="6" type="noConversion"/>
  </si>
  <si>
    <t># 20001 3/6</t>
    <phoneticPr fontId="6" type="noConversion"/>
  </si>
  <si>
    <t>EDK81N</t>
    <phoneticPr fontId="6" type="noConversion"/>
  </si>
  <si>
    <t>0425393616</t>
    <phoneticPr fontId="6" type="noConversion"/>
  </si>
  <si>
    <t>CO86WL</t>
    <phoneticPr fontId="6" type="noConversion"/>
  </si>
  <si>
    <t>0431666688</t>
    <phoneticPr fontId="6" type="noConversion"/>
  </si>
  <si>
    <t>NCE15T</t>
    <phoneticPr fontId="6" type="noConversion"/>
  </si>
  <si>
    <t>0452599519</t>
    <phoneticPr fontId="6" type="noConversion"/>
  </si>
  <si>
    <t># 21001 4/6 5/6 6/6</t>
    <phoneticPr fontId="6" type="noConversion"/>
  </si>
  <si>
    <t>EGY75G</t>
    <phoneticPr fontId="6" type="noConversion"/>
  </si>
  <si>
    <t>0433207742</t>
    <phoneticPr fontId="6" type="noConversion"/>
  </si>
  <si>
    <t>SS771</t>
    <phoneticPr fontId="6" type="noConversion"/>
  </si>
  <si>
    <t>0412608274</t>
    <phoneticPr fontId="6" type="noConversion"/>
  </si>
  <si>
    <t>KEN838</t>
    <phoneticPr fontId="6" type="noConversion"/>
  </si>
  <si>
    <t>CLD56E</t>
    <phoneticPr fontId="6" type="noConversion"/>
  </si>
  <si>
    <t>0432665991</t>
    <phoneticPr fontId="6" type="noConversion"/>
  </si>
  <si>
    <t>EGR60R</t>
    <phoneticPr fontId="6" type="noConversion"/>
  </si>
  <si>
    <t>0431525007</t>
    <phoneticPr fontId="6" type="noConversion"/>
  </si>
  <si>
    <t>PCL 22012</t>
    <phoneticPr fontId="6" type="noConversion"/>
  </si>
  <si>
    <t>B2  12 - 3 -  2022</t>
    <phoneticPr fontId="6" type="noConversion"/>
  </si>
  <si>
    <t>KEVIN</t>
    <phoneticPr fontId="6" type="noConversion"/>
  </si>
  <si>
    <t>0403TN</t>
    <phoneticPr fontId="6" type="noConversion"/>
  </si>
  <si>
    <t>0434966886</t>
    <phoneticPr fontId="6" type="noConversion"/>
  </si>
  <si>
    <t>DHV85E</t>
    <phoneticPr fontId="6" type="noConversion"/>
  </si>
  <si>
    <t>0424815121</t>
    <phoneticPr fontId="6" type="noConversion"/>
  </si>
  <si>
    <t>EDF26J</t>
    <phoneticPr fontId="6" type="noConversion"/>
  </si>
  <si>
    <t>0410991225</t>
    <phoneticPr fontId="6" type="noConversion"/>
  </si>
  <si>
    <t>D/ST</t>
    <phoneticPr fontId="6" type="noConversion"/>
  </si>
  <si>
    <t>ECY59N</t>
    <phoneticPr fontId="6" type="noConversion"/>
  </si>
  <si>
    <t>0415555823</t>
    <phoneticPr fontId="6" type="noConversion"/>
  </si>
  <si>
    <t>EGE58Z</t>
    <phoneticPr fontId="6" type="noConversion"/>
  </si>
  <si>
    <t>0468380524</t>
    <phoneticPr fontId="6" type="noConversion"/>
  </si>
  <si>
    <t>BO212</t>
    <phoneticPr fontId="6" type="noConversion"/>
  </si>
  <si>
    <t>0401704628</t>
    <phoneticPr fontId="6" type="noConversion"/>
  </si>
  <si>
    <t>SN1515</t>
    <phoneticPr fontId="6" type="noConversion"/>
  </si>
  <si>
    <t>0407981506</t>
    <phoneticPr fontId="6" type="noConversion"/>
  </si>
  <si>
    <t>YLT038</t>
    <phoneticPr fontId="6" type="noConversion"/>
  </si>
  <si>
    <t>0481988316</t>
    <phoneticPr fontId="6" type="noConversion"/>
  </si>
  <si>
    <t>EDS56A</t>
    <phoneticPr fontId="6" type="noConversion"/>
  </si>
  <si>
    <t>0423321982</t>
    <phoneticPr fontId="6" type="noConversion"/>
  </si>
  <si>
    <t>EHK98G</t>
    <phoneticPr fontId="6" type="noConversion"/>
  </si>
  <si>
    <t>04504920435</t>
    <phoneticPr fontId="6" type="noConversion"/>
  </si>
  <si>
    <t>DQF16M</t>
    <phoneticPr fontId="6" type="noConversion"/>
  </si>
  <si>
    <t>0410499272</t>
    <phoneticPr fontId="6" type="noConversion"/>
  </si>
  <si>
    <t>ESC67C</t>
    <phoneticPr fontId="6" type="noConversion"/>
  </si>
  <si>
    <t>0476222000</t>
    <phoneticPr fontId="6" type="noConversion"/>
  </si>
  <si>
    <t>46M3</t>
    <phoneticPr fontId="6" type="noConversion"/>
  </si>
  <si>
    <t>0412173173</t>
    <phoneticPr fontId="6" type="noConversion"/>
  </si>
  <si>
    <t>DAQ86T</t>
    <phoneticPr fontId="6" type="noConversion"/>
  </si>
  <si>
    <t>0401735062</t>
    <phoneticPr fontId="6" type="noConversion"/>
  </si>
  <si>
    <t>CKA46E</t>
    <phoneticPr fontId="6" type="noConversion"/>
  </si>
  <si>
    <t>#21031 2/6 3/6 4/6</t>
    <phoneticPr fontId="6" type="noConversion"/>
  </si>
  <si>
    <t>DXD52Y</t>
    <phoneticPr fontId="6" type="noConversion"/>
  </si>
  <si>
    <t>0431985509</t>
    <phoneticPr fontId="6" type="noConversion"/>
  </si>
  <si>
    <t>DOA89V</t>
    <phoneticPr fontId="6" type="noConversion"/>
  </si>
  <si>
    <t>CY69SK</t>
    <phoneticPr fontId="6" type="noConversion"/>
  </si>
  <si>
    <t>0433922025</t>
    <phoneticPr fontId="6" type="noConversion"/>
  </si>
  <si>
    <t>EJS34P</t>
    <phoneticPr fontId="6" type="noConversion"/>
  </si>
  <si>
    <t>0431487025</t>
    <phoneticPr fontId="6" type="noConversion"/>
  </si>
  <si>
    <t>CVB82C</t>
    <phoneticPr fontId="6" type="noConversion"/>
  </si>
  <si>
    <t>0474648818</t>
    <phoneticPr fontId="6" type="noConversion"/>
  </si>
  <si>
    <t>DAX52L</t>
    <phoneticPr fontId="6" type="noConversion"/>
  </si>
  <si>
    <t>0432595884</t>
    <phoneticPr fontId="6" type="noConversion"/>
  </si>
  <si>
    <t>COD85B</t>
    <phoneticPr fontId="6" type="noConversion"/>
  </si>
  <si>
    <t>0412996442</t>
    <phoneticPr fontId="6" type="noConversion"/>
  </si>
  <si>
    <t>OSMEN</t>
    <phoneticPr fontId="6" type="noConversion"/>
  </si>
  <si>
    <t>0488181888</t>
    <phoneticPr fontId="6" type="noConversion"/>
  </si>
  <si>
    <t>21068 3 / 6</t>
    <phoneticPr fontId="6" type="noConversion"/>
  </si>
  <si>
    <t>??????</t>
    <phoneticPr fontId="6" type="noConversion"/>
  </si>
  <si>
    <t>???</t>
    <phoneticPr fontId="6" type="noConversion"/>
  </si>
  <si>
    <t>BOOKING small</t>
    <phoneticPr fontId="6" type="noConversion"/>
  </si>
  <si>
    <t>AMAN</t>
    <phoneticPr fontId="6" type="noConversion"/>
  </si>
  <si>
    <t>BIVEK</t>
    <phoneticPr fontId="6" type="noConversion"/>
  </si>
  <si>
    <t>SUMAN</t>
    <phoneticPr fontId="6" type="noConversion"/>
  </si>
  <si>
    <t>HEATHER GOT TRAIN PROBLEM</t>
    <phoneticPr fontId="6" type="noConversion"/>
  </si>
  <si>
    <t>BOOKING</t>
    <phoneticPr fontId="6" type="noConversion"/>
  </si>
  <si>
    <t>B2  13 - 3 - 2022</t>
    <phoneticPr fontId="6" type="noConversion"/>
  </si>
  <si>
    <t>MIX</t>
    <phoneticPr fontId="6" type="noConversion"/>
  </si>
  <si>
    <t>NBV31G</t>
    <phoneticPr fontId="6" type="noConversion"/>
  </si>
  <si>
    <t>0410436988</t>
    <phoneticPr fontId="6" type="noConversion"/>
  </si>
  <si>
    <t>AR41MF</t>
    <phoneticPr fontId="6" type="noConversion"/>
  </si>
  <si>
    <t>MH1668</t>
    <phoneticPr fontId="6" type="noConversion"/>
  </si>
  <si>
    <t>202112015 . 202112046</t>
    <phoneticPr fontId="6" type="noConversion"/>
  </si>
  <si>
    <t>NCD65X</t>
    <phoneticPr fontId="6" type="noConversion"/>
  </si>
  <si>
    <t>0417426070</t>
    <phoneticPr fontId="6" type="noConversion"/>
  </si>
  <si>
    <t>CIR37S</t>
    <phoneticPr fontId="6" type="noConversion"/>
  </si>
  <si>
    <t>0439500301</t>
    <phoneticPr fontId="6" type="noConversion"/>
  </si>
  <si>
    <t>PUNNET</t>
    <phoneticPr fontId="6" type="noConversion"/>
  </si>
  <si>
    <t>EEI65A</t>
    <phoneticPr fontId="6" type="noConversion"/>
  </si>
  <si>
    <t>0416279912</t>
    <phoneticPr fontId="6" type="noConversion"/>
  </si>
  <si>
    <t>DB44VA</t>
    <phoneticPr fontId="6" type="noConversion"/>
  </si>
  <si>
    <t>0466417841</t>
    <phoneticPr fontId="6" type="noConversion"/>
  </si>
  <si>
    <t>ESZ93Y</t>
    <phoneticPr fontId="6" type="noConversion"/>
  </si>
  <si>
    <t>0412335882</t>
    <phoneticPr fontId="6" type="noConversion"/>
  </si>
  <si>
    <t>CED48B</t>
    <phoneticPr fontId="6" type="noConversion"/>
  </si>
  <si>
    <t>0433452907</t>
    <phoneticPr fontId="6" type="noConversion"/>
  </si>
  <si>
    <t>22 AAAA</t>
    <phoneticPr fontId="6" type="noConversion"/>
  </si>
  <si>
    <t>0410437232</t>
    <phoneticPr fontId="6" type="noConversion"/>
  </si>
  <si>
    <t>ARI025</t>
    <phoneticPr fontId="6" type="noConversion"/>
  </si>
  <si>
    <t>0415600925</t>
    <phoneticPr fontId="6" type="noConversion"/>
  </si>
  <si>
    <t>ECS67M</t>
    <phoneticPr fontId="6" type="noConversion"/>
  </si>
  <si>
    <t>0451966315</t>
    <phoneticPr fontId="6" type="noConversion"/>
  </si>
  <si>
    <t>MS0007</t>
    <phoneticPr fontId="6" type="noConversion"/>
  </si>
  <si>
    <t>0422982196</t>
    <phoneticPr fontId="6" type="noConversion"/>
  </si>
  <si>
    <t>EBB88A</t>
    <phoneticPr fontId="6" type="noConversion"/>
  </si>
  <si>
    <t>0432639760</t>
    <phoneticPr fontId="6" type="noConversion"/>
  </si>
  <si>
    <t>HEAYHER</t>
    <phoneticPr fontId="6" type="noConversion"/>
  </si>
  <si>
    <t>0429993999</t>
    <phoneticPr fontId="6" type="noConversion"/>
  </si>
  <si>
    <t>ERK70E</t>
    <phoneticPr fontId="6" type="noConversion"/>
  </si>
  <si>
    <t>0407096249</t>
    <phoneticPr fontId="6" type="noConversion"/>
  </si>
  <si>
    <t>IN</t>
    <phoneticPr fontId="6" type="noConversion"/>
  </si>
  <si>
    <t>EQV35Q</t>
    <phoneticPr fontId="6" type="noConversion"/>
  </si>
  <si>
    <t>0422555677</t>
    <phoneticPr fontId="6" type="noConversion"/>
  </si>
  <si>
    <t>CVR67N</t>
    <phoneticPr fontId="6" type="noConversion"/>
  </si>
  <si>
    <t>0414143102</t>
    <phoneticPr fontId="6" type="noConversion"/>
  </si>
  <si>
    <t>BOOKING SMALL</t>
    <phoneticPr fontId="6" type="noConversion"/>
  </si>
  <si>
    <t>DNY60R</t>
    <phoneticPr fontId="6" type="noConversion"/>
  </si>
  <si>
    <t>0438750855</t>
    <phoneticPr fontId="6" type="noConversion"/>
  </si>
  <si>
    <t>DMG72G</t>
    <phoneticPr fontId="6" type="noConversion"/>
  </si>
  <si>
    <t>0416155851</t>
    <phoneticPr fontId="6" type="noConversion"/>
  </si>
  <si>
    <t>CGX50E</t>
    <phoneticPr fontId="6" type="noConversion"/>
  </si>
  <si>
    <t>0402931116</t>
    <phoneticPr fontId="6" type="noConversion"/>
  </si>
  <si>
    <t>Atet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</si>
</sst>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0" fillId="3" borderId="33" applyNumberFormat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4" borderId="36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</cellStyleXfs>
  <cellXfs count="764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9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8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8" fillId="0" borderId="1" xfId="3" applyFont="1" applyFill="1" applyBorder="1" applyAlignment="1">
      <alignment horizontal="left" shrinkToFit="1"/>
    </xf>
    <xf numFmtId="0" fontId="18" fillId="0" borderId="1" xfId="3" applyFont="1" applyFill="1" applyBorder="1" applyAlignment="1">
      <alignment shrinkToFit="1"/>
    </xf>
    <xf numFmtId="26" fontId="16" fillId="0" borderId="0" xfId="0" applyNumberFormat="1" applyFont="1" applyFill="1" applyBorder="1" applyAlignment="1">
      <alignment shrinkToFit="1"/>
    </xf>
    <xf numFmtId="0" fontId="18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8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7" fillId="0" borderId="1" xfId="0" applyFont="1" applyBorder="1" applyAlignment="1">
      <alignment shrinkToFit="1"/>
    </xf>
    <xf numFmtId="26" fontId="7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3" fillId="0" borderId="1" xfId="0" applyFont="1" applyBorder="1" applyAlignment="1">
      <alignment horizontal="left" shrinkToFit="1"/>
    </xf>
    <xf numFmtId="0" fontId="16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8" fillId="0" borderId="4" xfId="0" applyNumberFormat="1" applyFont="1" applyBorder="1" applyAlignment="1">
      <alignment horizontal="center" shrinkToFit="1"/>
    </xf>
    <xf numFmtId="0" fontId="7" fillId="0" borderId="28" xfId="0" applyFont="1" applyBorder="1" applyAlignment="1">
      <alignment shrinkToFit="1"/>
    </xf>
    <xf numFmtId="176" fontId="9" fillId="0" borderId="1" xfId="0" applyNumberFormat="1" applyFont="1" applyBorder="1" applyAlignment="1">
      <alignment vertical="center" shrinkToFit="1"/>
    </xf>
    <xf numFmtId="176" fontId="9" fillId="0" borderId="15" xfId="0" applyNumberFormat="1" applyFont="1" applyBorder="1" applyAlignment="1">
      <alignment vertical="center" shrinkToFit="1"/>
    </xf>
    <xf numFmtId="26" fontId="9" fillId="0" borderId="1" xfId="0" applyNumberFormat="1" applyFont="1" applyBorder="1" applyAlignment="1">
      <alignment vertical="center" shrinkToFit="1"/>
    </xf>
    <xf numFmtId="26" fontId="9" fillId="0" borderId="15" xfId="0" applyNumberFormat="1" applyFont="1" applyBorder="1" applyAlignment="1">
      <alignment vertical="center" shrinkToFit="1"/>
    </xf>
    <xf numFmtId="24" fontId="9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9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9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7" fillId="6" borderId="12" xfId="0" applyNumberFormat="1" applyFont="1" applyFill="1" applyBorder="1" applyAlignment="1">
      <alignment shrinkToFit="1"/>
    </xf>
    <xf numFmtId="178" fontId="7" fillId="6" borderId="12" xfId="0" applyNumberFormat="1" applyFont="1" applyFill="1" applyBorder="1" applyAlignment="1">
      <alignment horizontal="center" shrinkToFit="1"/>
    </xf>
    <xf numFmtId="177" fontId="7" fillId="6" borderId="12" xfId="0" applyNumberFormat="1" applyFont="1" applyFill="1" applyBorder="1" applyAlignment="1">
      <alignment shrinkToFit="1"/>
    </xf>
    <xf numFmtId="177" fontId="7" fillId="6" borderId="12" xfId="0" applyNumberFormat="1" applyFont="1" applyFill="1" applyBorder="1" applyAlignment="1">
      <alignment horizontal="center" shrinkToFit="1"/>
    </xf>
    <xf numFmtId="0" fontId="7" fillId="6" borderId="41" xfId="0" applyFont="1" applyFill="1" applyBorder="1" applyAlignment="1">
      <alignment horizontal="center" shrinkToFit="1"/>
    </xf>
    <xf numFmtId="177" fontId="7" fillId="6" borderId="41" xfId="0" applyNumberFormat="1" applyFont="1" applyFill="1" applyBorder="1" applyAlignment="1">
      <alignment horizontal="center" shrinkToFit="1"/>
    </xf>
    <xf numFmtId="178" fontId="7" fillId="6" borderId="41" xfId="0" applyNumberFormat="1" applyFont="1" applyFill="1" applyBorder="1" applyAlignment="1">
      <alignment horizontal="center" shrinkToFit="1"/>
    </xf>
    <xf numFmtId="178" fontId="18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6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6" fillId="6" borderId="52" xfId="0" applyFont="1" applyFill="1" applyBorder="1" applyAlignment="1">
      <alignment horizontal="left" shrinkToFit="1"/>
    </xf>
    <xf numFmtId="179" fontId="16" fillId="6" borderId="50" xfId="0" applyNumberFormat="1" applyFont="1" applyFill="1" applyBorder="1" applyAlignment="1">
      <alignment horizontal="center" vertical="center" shrinkToFit="1"/>
    </xf>
    <xf numFmtId="179" fontId="13" fillId="6" borderId="53" xfId="0" applyNumberFormat="1" applyFont="1" applyFill="1" applyBorder="1" applyAlignment="1">
      <alignment horizontal="left" shrinkToFit="1"/>
    </xf>
    <xf numFmtId="0" fontId="7" fillId="6" borderId="28" xfId="0" applyFont="1" applyFill="1" applyBorder="1" applyAlignment="1">
      <alignment horizontal="center" shrinkToFit="1"/>
    </xf>
    <xf numFmtId="178" fontId="7" fillId="6" borderId="1" xfId="0" applyNumberFormat="1" applyFont="1" applyFill="1" applyBorder="1" applyAlignment="1">
      <alignment horizontal="center" shrinkToFit="1"/>
    </xf>
    <xf numFmtId="176" fontId="7" fillId="6" borderId="13" xfId="0" applyNumberFormat="1" applyFont="1" applyFill="1" applyBorder="1" applyAlignment="1">
      <alignment horizontal="center" vertical="center" shrinkToFit="1"/>
    </xf>
    <xf numFmtId="176" fontId="7" fillId="6" borderId="10" xfId="0" applyNumberFormat="1" applyFont="1" applyFill="1" applyBorder="1" applyAlignment="1">
      <alignment horizontal="center" vertical="center" shrinkToFit="1"/>
    </xf>
    <xf numFmtId="0" fontId="16" fillId="6" borderId="19" xfId="0" applyFont="1" applyFill="1" applyBorder="1" applyAlignment="1">
      <alignment horizontal="center" shrinkToFit="1"/>
    </xf>
    <xf numFmtId="0" fontId="16" fillId="6" borderId="4" xfId="0" applyFont="1" applyFill="1" applyBorder="1" applyAlignment="1">
      <alignment horizontal="center" shrinkToFit="1"/>
    </xf>
    <xf numFmtId="0" fontId="17" fillId="6" borderId="3" xfId="0" applyFont="1" applyFill="1" applyBorder="1" applyAlignment="1">
      <alignment horizontal="center" shrinkToFit="1"/>
    </xf>
    <xf numFmtId="180" fontId="7" fillId="6" borderId="1" xfId="0" applyNumberFormat="1" applyFont="1" applyFill="1" applyBorder="1" applyAlignment="1">
      <alignment horizontal="center" shrinkToFit="1"/>
    </xf>
    <xf numFmtId="179" fontId="7" fillId="6" borderId="1" xfId="0" applyNumberFormat="1" applyFont="1" applyFill="1" applyBorder="1" applyAlignment="1">
      <alignment horizontal="center" shrinkToFit="1"/>
    </xf>
    <xf numFmtId="180" fontId="7" fillId="6" borderId="14" xfId="0" applyNumberFormat="1" applyFont="1" applyFill="1" applyBorder="1" applyAlignment="1">
      <alignment horizontal="center" shrinkToFit="1"/>
    </xf>
    <xf numFmtId="178" fontId="7" fillId="6" borderId="14" xfId="0" applyNumberFormat="1" applyFont="1" applyFill="1" applyBorder="1" applyAlignment="1">
      <alignment horizontal="center" shrinkToFit="1"/>
    </xf>
    <xf numFmtId="176" fontId="7" fillId="6" borderId="3" xfId="0" applyNumberFormat="1" applyFont="1" applyFill="1" applyBorder="1" applyAlignment="1">
      <alignment horizontal="center" shrinkToFit="1"/>
    </xf>
    <xf numFmtId="180" fontId="7" fillId="6" borderId="3" xfId="0" applyNumberFormat="1" applyFont="1" applyFill="1" applyBorder="1" applyAlignment="1">
      <alignment horizontal="center" shrinkToFit="1"/>
    </xf>
    <xf numFmtId="179" fontId="11" fillId="6" borderId="3" xfId="1" applyNumberFormat="1" applyFont="1" applyFill="1" applyBorder="1" applyAlignment="1">
      <alignment horizontal="center" vertical="center"/>
    </xf>
    <xf numFmtId="9" fontId="7" fillId="6" borderId="5" xfId="0" applyNumberFormat="1" applyFont="1" applyFill="1" applyBorder="1" applyAlignment="1">
      <alignment horizontal="center" shrinkToFit="1"/>
    </xf>
    <xf numFmtId="178" fontId="19" fillId="6" borderId="28" xfId="0" applyNumberFormat="1" applyFont="1" applyFill="1" applyBorder="1" applyAlignment="1">
      <alignment horizontal="center" vertical="center" shrinkToFit="1"/>
    </xf>
    <xf numFmtId="180" fontId="17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6" fillId="6" borderId="50" xfId="0" applyNumberFormat="1" applyFont="1" applyFill="1" applyBorder="1" applyAlignment="1">
      <alignment shrinkToFit="1"/>
    </xf>
    <xf numFmtId="179" fontId="7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0" fontId="16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3" fillId="0" borderId="4" xfId="0" applyFont="1" applyBorder="1" applyAlignment="1">
      <alignment horizontal="center" shrinkToFit="1"/>
    </xf>
    <xf numFmtId="178" fontId="18" fillId="0" borderId="1" xfId="3" applyNumberFormat="1" applyFont="1" applyFill="1" applyBorder="1" applyAlignment="1">
      <alignment horizontal="center" shrinkToFit="1"/>
    </xf>
    <xf numFmtId="178" fontId="4" fillId="0" borderId="4" xfId="0" applyNumberFormat="1" applyFont="1" applyBorder="1" applyAlignment="1">
      <alignment horizontal="center" shrinkToFit="1"/>
    </xf>
    <xf numFmtId="178" fontId="4" fillId="0" borderId="1" xfId="0" applyNumberFormat="1" applyFont="1" applyBorder="1" applyAlignment="1">
      <alignment horizontal="center" shrinkToFit="1"/>
    </xf>
    <xf numFmtId="178" fontId="18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5" fillId="0" borderId="19" xfId="0" applyFont="1" applyBorder="1" applyAlignment="1">
      <alignment horizontal="center" shrinkToFit="1"/>
    </xf>
    <xf numFmtId="0" fontId="4" fillId="2" borderId="4" xfId="0" applyFont="1" applyFill="1" applyBorder="1" applyAlignment="1">
      <alignment horizontal="center" shrinkToFit="1"/>
    </xf>
    <xf numFmtId="178" fontId="4" fillId="6" borderId="4" xfId="0" applyNumberFormat="1" applyFont="1" applyFill="1" applyBorder="1" applyAlignment="1">
      <alignment horizontal="center" shrinkToFit="1"/>
    </xf>
    <xf numFmtId="178" fontId="18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4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left" shrinkToFit="1"/>
    </xf>
    <xf numFmtId="0" fontId="5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6" fillId="0" borderId="13" xfId="0" applyFont="1" applyBorder="1" applyAlignment="1">
      <alignment horizontal="left" shrinkToFit="1"/>
    </xf>
    <xf numFmtId="179" fontId="16" fillId="0" borderId="14" xfId="0" applyNumberFormat="1" applyFont="1" applyBorder="1" applyAlignment="1">
      <alignment horizontal="center" vertical="center" shrinkToFit="1"/>
    </xf>
    <xf numFmtId="26" fontId="16" fillId="0" borderId="14" xfId="0" applyNumberFormat="1" applyFont="1" applyBorder="1" applyAlignment="1">
      <alignment shrinkToFit="1"/>
    </xf>
    <xf numFmtId="179" fontId="9" fillId="0" borderId="28" xfId="0" applyNumberFormat="1" applyFont="1" applyBorder="1" applyAlignment="1">
      <alignment vertical="center" shrinkToFit="1"/>
    </xf>
    <xf numFmtId="178" fontId="4" fillId="2" borderId="1" xfId="0" applyNumberFormat="1" applyFont="1" applyFill="1" applyBorder="1" applyAlignment="1">
      <alignment horizontal="center" shrinkToFit="1"/>
    </xf>
    <xf numFmtId="0" fontId="5" fillId="2" borderId="9" xfId="0" applyFont="1" applyFill="1" applyBorder="1" applyAlignment="1">
      <alignment horizontal="center" shrinkToFit="1"/>
    </xf>
    <xf numFmtId="0" fontId="19" fillId="6" borderId="7" xfId="0" applyFont="1" applyFill="1" applyBorder="1" applyAlignment="1">
      <alignment horizontal="center" shrinkToFit="1"/>
    </xf>
    <xf numFmtId="0" fontId="19" fillId="6" borderId="8" xfId="0" applyFont="1" applyFill="1" applyBorder="1" applyAlignment="1">
      <alignment horizontal="center" shrinkToFit="1"/>
    </xf>
    <xf numFmtId="178" fontId="7" fillId="6" borderId="48" xfId="0" applyNumberFormat="1" applyFont="1" applyFill="1" applyBorder="1" applyAlignment="1">
      <alignment vertical="center" shrinkToFit="1"/>
    </xf>
    <xf numFmtId="178" fontId="16" fillId="0" borderId="47" xfId="0" applyNumberFormat="1" applyFont="1" applyBorder="1" applyAlignment="1">
      <alignment shrinkToFit="1"/>
    </xf>
    <xf numFmtId="0" fontId="5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8" fillId="0" borderId="40" xfId="0" applyNumberFormat="1" applyFont="1" applyBorder="1" applyAlignment="1">
      <alignment horizontal="center" shrinkToFit="1"/>
    </xf>
    <xf numFmtId="178" fontId="16" fillId="0" borderId="17" xfId="0" applyNumberFormat="1" applyFont="1" applyBorder="1" applyAlignment="1">
      <alignment shrinkToFit="1"/>
    </xf>
    <xf numFmtId="178" fontId="16" fillId="0" borderId="49" xfId="0" applyNumberFormat="1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25" fillId="0" borderId="1" xfId="0" applyFont="1" applyBorder="1" applyAlignment="1">
      <alignment horizontal="center"/>
    </xf>
    <xf numFmtId="0" fontId="19" fillId="13" borderId="7" xfId="0" applyFont="1" applyFill="1" applyBorder="1" applyAlignment="1">
      <alignment horizontal="center" shrinkToFit="1"/>
    </xf>
    <xf numFmtId="177" fontId="19" fillId="13" borderId="8" xfId="0" applyNumberFormat="1" applyFont="1" applyFill="1" applyBorder="1" applyAlignment="1">
      <alignment horizontal="center" shrinkToFit="1"/>
    </xf>
    <xf numFmtId="178" fontId="19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9" fillId="13" borderId="50" xfId="0" applyFont="1" applyFill="1" applyBorder="1" applyAlignment="1">
      <alignment horizontal="center" shrinkToFit="1"/>
    </xf>
    <xf numFmtId="178" fontId="4" fillId="0" borderId="26" xfId="0" applyNumberFormat="1" applyFont="1" applyBorder="1" applyAlignment="1">
      <alignment horizontal="center" shrinkToFit="1"/>
    </xf>
    <xf numFmtId="178" fontId="18" fillId="0" borderId="61" xfId="3" applyNumberFormat="1" applyFont="1" applyFill="1" applyBorder="1" applyAlignment="1">
      <alignment horizontal="center" shrinkToFit="1"/>
    </xf>
    <xf numFmtId="179" fontId="9" fillId="0" borderId="39" xfId="0" applyNumberFormat="1" applyFont="1" applyBorder="1" applyAlignment="1">
      <alignment horizontal="left"/>
    </xf>
    <xf numFmtId="179" fontId="9" fillId="0" borderId="26" xfId="0" applyNumberFormat="1" applyFont="1" applyBorder="1" applyAlignment="1">
      <alignment horizontal="left"/>
    </xf>
    <xf numFmtId="179" fontId="16" fillId="0" borderId="26" xfId="0" applyNumberFormat="1" applyFont="1" applyBorder="1" applyAlignment="1">
      <alignment horizontal="left"/>
    </xf>
    <xf numFmtId="0" fontId="16" fillId="0" borderId="26" xfId="0" applyFont="1" applyBorder="1" applyAlignment="1">
      <alignment horizontal="left" shrinkToFit="1"/>
    </xf>
    <xf numFmtId="0" fontId="9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8" fillId="0" borderId="26" xfId="3" applyFont="1" applyFill="1" applyBorder="1" applyAlignment="1">
      <alignment horizontal="left" shrinkToFit="1"/>
    </xf>
    <xf numFmtId="0" fontId="18" fillId="0" borderId="46" xfId="3" applyFont="1" applyFill="1" applyBorder="1" applyAlignment="1">
      <alignment horizontal="left" shrinkToFit="1"/>
    </xf>
    <xf numFmtId="0" fontId="9" fillId="0" borderId="26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8" fillId="0" borderId="2" xfId="3" applyNumberFormat="1" applyFont="1" applyFill="1" applyBorder="1" applyAlignment="1">
      <alignment horizontal="left" shrinkToFit="1"/>
    </xf>
    <xf numFmtId="49" fontId="13" fillId="0" borderId="2" xfId="0" applyNumberFormat="1" applyFont="1" applyBorder="1" applyAlignment="1">
      <alignment horizontal="left" shrinkToFit="1"/>
    </xf>
    <xf numFmtId="49" fontId="18" fillId="0" borderId="2" xfId="3" applyNumberFormat="1" applyFont="1" applyFill="1" applyBorder="1" applyAlignment="1">
      <alignment shrinkToFit="1"/>
    </xf>
    <xf numFmtId="49" fontId="16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8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9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7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8" fillId="0" borderId="40" xfId="3" applyNumberFormat="1" applyFont="1" applyFill="1" applyBorder="1" applyAlignment="1">
      <alignment horizontal="left" shrinkToFit="1"/>
    </xf>
    <xf numFmtId="49" fontId="18" fillId="0" borderId="45" xfId="3" applyNumberFormat="1" applyFont="1" applyFill="1" applyBorder="1" applyAlignment="1">
      <alignment horizontal="left" shrinkToFit="1"/>
    </xf>
    <xf numFmtId="49" fontId="27" fillId="0" borderId="2" xfId="0" applyNumberFormat="1" applyFont="1" applyBorder="1" applyAlignment="1">
      <alignment horizontal="left"/>
    </xf>
    <xf numFmtId="49" fontId="28" fillId="0" borderId="2" xfId="0" applyNumberFormat="1" applyFont="1" applyBorder="1" applyAlignment="1">
      <alignment horizontal="left" shrinkToFit="1"/>
    </xf>
    <xf numFmtId="49" fontId="28" fillId="0" borderId="2" xfId="3" applyNumberFormat="1" applyFont="1" applyFill="1" applyBorder="1" applyAlignment="1">
      <alignment shrinkToFit="1"/>
    </xf>
    <xf numFmtId="49" fontId="27" fillId="0" borderId="29" xfId="0" applyNumberFormat="1" applyFont="1" applyBorder="1"/>
    <xf numFmtId="49" fontId="28" fillId="0" borderId="2" xfId="0" applyNumberFormat="1" applyFont="1" applyBorder="1" applyAlignment="1">
      <alignment shrinkToFit="1"/>
    </xf>
    <xf numFmtId="49" fontId="27" fillId="0" borderId="37" xfId="0" applyNumberFormat="1" applyFont="1" applyBorder="1" applyAlignment="1">
      <alignment horizontal="left" shrinkToFit="1"/>
    </xf>
    <xf numFmtId="49" fontId="27" fillId="0" borderId="2" xfId="0" applyNumberFormat="1" applyFont="1" applyBorder="1" applyAlignment="1">
      <alignment shrinkToFit="1"/>
    </xf>
    <xf numFmtId="49" fontId="27" fillId="2" borderId="2" xfId="0" applyNumberFormat="1" applyFont="1" applyFill="1" applyBorder="1" applyAlignment="1">
      <alignment shrinkToFit="1"/>
    </xf>
    <xf numFmtId="49" fontId="27" fillId="0" borderId="2" xfId="0" applyNumberFormat="1" applyFont="1" applyBorder="1" applyAlignment="1">
      <alignment horizontal="left" shrinkToFit="1"/>
    </xf>
    <xf numFmtId="49" fontId="28" fillId="0" borderId="2" xfId="3" applyNumberFormat="1" applyFont="1" applyFill="1" applyBorder="1" applyAlignment="1">
      <alignment horizontal="left" shrinkToFit="1"/>
    </xf>
    <xf numFmtId="49" fontId="28" fillId="0" borderId="29" xfId="3" applyNumberFormat="1" applyFont="1" applyFill="1" applyBorder="1" applyAlignment="1">
      <alignment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9" fillId="13" borderId="8" xfId="0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178" fontId="26" fillId="2" borderId="4" xfId="4" applyNumberFormat="1" applyFill="1" applyBorder="1" applyAlignment="1">
      <alignment horizontal="center" shrinkToFit="1"/>
    </xf>
    <xf numFmtId="178" fontId="26" fillId="2" borderId="6" xfId="4" applyNumberFormat="1" applyFill="1" applyBorder="1" applyAlignment="1">
      <alignment horizontal="center" shrinkToFit="1"/>
    </xf>
    <xf numFmtId="178" fontId="13" fillId="6" borderId="4" xfId="4" applyNumberFormat="1" applyFont="1" applyFill="1" applyBorder="1" applyAlignment="1">
      <alignment horizontal="center" shrinkToFit="1"/>
    </xf>
    <xf numFmtId="26" fontId="23" fillId="6" borderId="45" xfId="0" applyNumberFormat="1" applyFont="1" applyFill="1" applyBorder="1" applyAlignment="1">
      <alignment horizontal="center" vertical="center" shrinkToFit="1"/>
    </xf>
    <xf numFmtId="26" fontId="23" fillId="6" borderId="0" xfId="0" applyNumberFormat="1" applyFont="1" applyFill="1" applyBorder="1" applyAlignment="1">
      <alignment horizontal="center" vertical="center" shrinkToFit="1"/>
    </xf>
    <xf numFmtId="26" fontId="23" fillId="6" borderId="46" xfId="0" applyNumberFormat="1" applyFont="1" applyFill="1" applyBorder="1" applyAlignment="1">
      <alignment horizontal="center" vertical="center" shrinkToFit="1"/>
    </xf>
    <xf numFmtId="183" fontId="23" fillId="6" borderId="45" xfId="0" applyNumberFormat="1" applyFont="1" applyFill="1" applyBorder="1" applyAlignment="1">
      <alignment horizontal="center" vertical="center" shrinkToFit="1"/>
    </xf>
    <xf numFmtId="183" fontId="23" fillId="6" borderId="0" xfId="0" applyNumberFormat="1" applyFont="1" applyFill="1" applyBorder="1" applyAlignment="1">
      <alignment horizontal="center" vertical="center" shrinkToFit="1"/>
    </xf>
    <xf numFmtId="183" fontId="23" fillId="6" borderId="46" xfId="0" applyNumberFormat="1" applyFont="1" applyFill="1" applyBorder="1" applyAlignment="1">
      <alignment horizontal="center" vertical="center" shrinkToFit="1"/>
    </xf>
    <xf numFmtId="26" fontId="23" fillId="10" borderId="45" xfId="0" applyNumberFormat="1" applyFont="1" applyFill="1" applyBorder="1" applyAlignment="1">
      <alignment horizontal="center" vertical="center" shrinkToFit="1"/>
    </xf>
    <xf numFmtId="26" fontId="23" fillId="10" borderId="0" xfId="0" applyNumberFormat="1" applyFont="1" applyFill="1" applyBorder="1" applyAlignment="1">
      <alignment horizontal="center" vertical="center" shrinkToFit="1"/>
    </xf>
    <xf numFmtId="26" fontId="23" fillId="10" borderId="46" xfId="0" applyNumberFormat="1" applyFont="1" applyFill="1" applyBorder="1" applyAlignment="1">
      <alignment horizontal="center" vertical="center" shrinkToFit="1"/>
    </xf>
    <xf numFmtId="183" fontId="23" fillId="10" borderId="45" xfId="0" applyNumberFormat="1" applyFont="1" applyFill="1" applyBorder="1" applyAlignment="1">
      <alignment horizontal="center" vertical="center" shrinkToFit="1"/>
    </xf>
    <xf numFmtId="183" fontId="23" fillId="10" borderId="0" xfId="0" applyNumberFormat="1" applyFont="1" applyFill="1" applyBorder="1" applyAlignment="1">
      <alignment horizontal="center" vertical="center" shrinkToFit="1"/>
    </xf>
    <xf numFmtId="183" fontId="23" fillId="10" borderId="46" xfId="0" applyNumberFormat="1" applyFont="1" applyFill="1" applyBorder="1" applyAlignment="1">
      <alignment horizontal="center" vertical="center" shrinkToFit="1"/>
    </xf>
    <xf numFmtId="0" fontId="22" fillId="6" borderId="45" xfId="0" applyFont="1" applyFill="1" applyBorder="1" applyAlignment="1">
      <alignment horizontal="center" vertical="center" shrinkToFit="1"/>
    </xf>
    <xf numFmtId="0" fontId="22" fillId="6" borderId="0" xfId="0" applyFont="1" applyFill="1" applyBorder="1" applyAlignment="1">
      <alignment horizontal="center" vertical="center" shrinkToFit="1"/>
    </xf>
    <xf numFmtId="0" fontId="22" fillId="6" borderId="46" xfId="0" applyFont="1" applyFill="1" applyBorder="1" applyAlignment="1">
      <alignment horizontal="center" vertical="center" shrinkToFit="1"/>
    </xf>
    <xf numFmtId="0" fontId="22" fillId="11" borderId="6" xfId="0" applyFont="1" applyFill="1" applyBorder="1" applyAlignment="1">
      <alignment horizontal="center" vertical="center" shrinkToFit="1"/>
    </xf>
    <xf numFmtId="0" fontId="22" fillId="11" borderId="37" xfId="0" applyFont="1" applyFill="1" applyBorder="1" applyAlignment="1">
      <alignment horizontal="center" vertical="center" shrinkToFit="1"/>
    </xf>
    <xf numFmtId="0" fontId="22" fillId="11" borderId="39" xfId="0" applyFont="1" applyFill="1" applyBorder="1" applyAlignment="1">
      <alignment horizontal="center" vertical="center" shrinkToFit="1"/>
    </xf>
    <xf numFmtId="0" fontId="22" fillId="10" borderId="45" xfId="0" applyFont="1" applyFill="1" applyBorder="1" applyAlignment="1">
      <alignment horizontal="center" vertical="center" shrinkToFit="1"/>
    </xf>
    <xf numFmtId="0" fontId="22" fillId="10" borderId="0" xfId="0" applyFont="1" applyFill="1" applyBorder="1" applyAlignment="1">
      <alignment horizontal="center" vertical="center" shrinkToFit="1"/>
    </xf>
    <xf numFmtId="0" fontId="22" fillId="10" borderId="46" xfId="0" applyFont="1" applyFill="1" applyBorder="1" applyAlignment="1">
      <alignment horizontal="center" vertical="center" shrinkToFit="1"/>
    </xf>
    <xf numFmtId="0" fontId="22" fillId="7" borderId="4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46" xfId="0" applyFont="1" applyFill="1" applyBorder="1" applyAlignment="1">
      <alignment horizontal="center" vertical="center" shrinkToFit="1"/>
    </xf>
    <xf numFmtId="183" fontId="23" fillId="7" borderId="45" xfId="0" applyNumberFormat="1" applyFont="1" applyFill="1" applyBorder="1" applyAlignment="1">
      <alignment horizontal="center" vertical="center" shrinkToFit="1"/>
    </xf>
    <xf numFmtId="183" fontId="23" fillId="7" borderId="0" xfId="0" applyNumberFormat="1" applyFont="1" applyFill="1" applyBorder="1" applyAlignment="1">
      <alignment horizontal="center" vertical="center" shrinkToFit="1"/>
    </xf>
    <xf numFmtId="183" fontId="23" fillId="7" borderId="46" xfId="0" applyNumberFormat="1" applyFont="1" applyFill="1" applyBorder="1" applyAlignment="1">
      <alignment horizontal="center" vertical="center" shrinkToFit="1"/>
    </xf>
    <xf numFmtId="26" fontId="23" fillId="7" borderId="45" xfId="0" applyNumberFormat="1" applyFont="1" applyFill="1" applyBorder="1" applyAlignment="1">
      <alignment horizontal="center" vertical="center" shrinkToFit="1"/>
    </xf>
    <xf numFmtId="26" fontId="23" fillId="7" borderId="0" xfId="0" applyNumberFormat="1" applyFont="1" applyFill="1" applyBorder="1" applyAlignment="1">
      <alignment horizontal="center" vertical="center" shrinkToFit="1"/>
    </xf>
    <xf numFmtId="26" fontId="23" fillId="7" borderId="46" xfId="0" applyNumberFormat="1" applyFont="1" applyFill="1" applyBorder="1" applyAlignment="1">
      <alignment horizontal="center" vertical="center" shrinkToFit="1"/>
    </xf>
    <xf numFmtId="26" fontId="23" fillId="11" borderId="6" xfId="0" applyNumberFormat="1" applyFont="1" applyFill="1" applyBorder="1" applyAlignment="1">
      <alignment horizontal="center" vertical="center" shrinkToFit="1"/>
    </xf>
    <xf numFmtId="26" fontId="23" fillId="11" borderId="37" xfId="0" applyNumberFormat="1" applyFont="1" applyFill="1" applyBorder="1" applyAlignment="1">
      <alignment horizontal="center" vertical="center" shrinkToFit="1"/>
    </xf>
    <xf numFmtId="26" fontId="23" fillId="11" borderId="39" xfId="0" applyNumberFormat="1" applyFont="1" applyFill="1" applyBorder="1" applyAlignment="1">
      <alignment horizontal="center" vertical="center" shrinkToFit="1"/>
    </xf>
    <xf numFmtId="183" fontId="23" fillId="11" borderId="6" xfId="0" applyNumberFormat="1" applyFont="1" applyFill="1" applyBorder="1" applyAlignment="1">
      <alignment horizontal="center" vertical="center" shrinkToFit="1"/>
    </xf>
    <xf numFmtId="183" fontId="23" fillId="11" borderId="37" xfId="0" applyNumberFormat="1" applyFont="1" applyFill="1" applyBorder="1" applyAlignment="1">
      <alignment horizontal="center" vertical="center" shrinkToFit="1"/>
    </xf>
    <xf numFmtId="183" fontId="23" fillId="11" borderId="39" xfId="0" applyNumberFormat="1" applyFont="1" applyFill="1" applyBorder="1" applyAlignment="1">
      <alignment horizontal="center" vertical="center" shrinkToFit="1"/>
    </xf>
    <xf numFmtId="49" fontId="31" fillId="0" borderId="2" xfId="0" applyNumberFormat="1" applyFont="1" applyBorder="1"/>
    <xf numFmtId="0" fontId="19" fillId="13" borderId="8" xfId="0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shrinkToFit="1"/>
    </xf>
    <xf numFmtId="0" fontId="26" fillId="14" borderId="19" xfId="4" applyBorder="1" applyAlignment="1">
      <alignment horizontal="center" shrinkToFit="1"/>
    </xf>
    <xf numFmtId="0" fontId="26" fillId="14" borderId="1" xfId="4" applyBorder="1" applyAlignment="1">
      <alignment horizontal="center" shrinkToFit="1"/>
    </xf>
    <xf numFmtId="0" fontId="26" fillId="14" borderId="1" xfId="4" applyBorder="1" applyAlignment="1">
      <alignment horizontal="left"/>
    </xf>
    <xf numFmtId="49" fontId="26" fillId="14" borderId="2" xfId="4" applyNumberFormat="1" applyBorder="1" applyAlignment="1">
      <alignment horizontal="left"/>
    </xf>
    <xf numFmtId="0" fontId="26" fillId="14" borderId="62" xfId="4" applyBorder="1" applyAlignment="1">
      <alignment horizontal="center" shrinkToFit="1"/>
    </xf>
    <xf numFmtId="179" fontId="26" fillId="14" borderId="26" xfId="4" applyNumberFormat="1" applyBorder="1" applyAlignment="1">
      <alignment horizontal="left"/>
    </xf>
    <xf numFmtId="0" fontId="26" fillId="14" borderId="4" xfId="4" applyBorder="1" applyAlignment="1">
      <alignment horizontal="center" shrinkToFit="1"/>
    </xf>
    <xf numFmtId="178" fontId="26" fillId="14" borderId="4" xfId="4" applyNumberFormat="1" applyBorder="1" applyAlignment="1">
      <alignment horizontal="center" shrinkToFit="1"/>
    </xf>
    <xf numFmtId="178" fontId="26" fillId="14" borderId="6" xfId="4" applyNumberFormat="1" applyBorder="1" applyAlignment="1">
      <alignment horizontal="center" shrinkToFit="1"/>
    </xf>
    <xf numFmtId="0" fontId="26" fillId="14" borderId="1" xfId="4" applyBorder="1" applyAlignment="1">
      <alignment horizontal="left" shrinkToFit="1"/>
    </xf>
    <xf numFmtId="0" fontId="26" fillId="14" borderId="9" xfId="4" applyBorder="1" applyAlignment="1">
      <alignment horizontal="center" shrinkToFit="1"/>
    </xf>
    <xf numFmtId="0" fontId="26" fillId="14" borderId="1" xfId="4" applyBorder="1" applyAlignment="1">
      <alignment shrinkToFit="1"/>
    </xf>
    <xf numFmtId="49" fontId="26" fillId="14" borderId="2" xfId="4" applyNumberFormat="1" applyBorder="1" applyAlignment="1">
      <alignment shrinkToFit="1"/>
    </xf>
    <xf numFmtId="0" fontId="26" fillId="14" borderId="26" xfId="4" applyBorder="1" applyAlignment="1">
      <alignment horizontal="left" shrinkToFit="1"/>
    </xf>
    <xf numFmtId="0" fontId="26" fillId="14" borderId="1" xfId="4" applyBorder="1" applyAlignment="1">
      <alignment horizontal="center" vertical="center" shrinkToFit="1"/>
    </xf>
    <xf numFmtId="178" fontId="26" fillId="14" borderId="1" xfId="4" applyNumberFormat="1" applyBorder="1" applyAlignment="1">
      <alignment horizontal="center" shrinkToFit="1"/>
    </xf>
    <xf numFmtId="0" fontId="26" fillId="14" borderId="26" xfId="4" applyBorder="1" applyAlignment="1"/>
    <xf numFmtId="49" fontId="26" fillId="14" borderId="29" xfId="4" applyNumberFormat="1" applyBorder="1" applyAlignment="1"/>
    <xf numFmtId="0" fontId="26" fillId="14" borderId="26" xfId="4" applyBorder="1" applyAlignment="1">
      <alignment horizontal="left"/>
    </xf>
    <xf numFmtId="0" fontId="26" fillId="14" borderId="1" xfId="4" applyBorder="1" applyAlignment="1">
      <alignment horizontal="center"/>
    </xf>
    <xf numFmtId="178" fontId="2" fillId="0" borderId="4" xfId="0" applyNumberFormat="1" applyFont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26" fillId="14" borderId="2" xfId="4" applyBorder="1" applyAlignment="1">
      <alignment horizontal="center" shrinkToFit="1"/>
    </xf>
    <xf numFmtId="0" fontId="26" fillId="14" borderId="29" xfId="4" applyBorder="1" applyAlignment="1">
      <alignment horizontal="center" shrinkToFit="1"/>
    </xf>
    <xf numFmtId="0" fontId="26" fillId="14" borderId="17" xfId="4" applyBorder="1" applyAlignment="1">
      <alignment horizontal="center" shrinkToFit="1"/>
    </xf>
    <xf numFmtId="0" fontId="26" fillId="14" borderId="39" xfId="4" applyBorder="1" applyAlignment="1">
      <alignment horizontal="left" shrinkToFit="1"/>
    </xf>
    <xf numFmtId="49" fontId="26" fillId="14" borderId="37" xfId="4" applyNumberFormat="1" applyBorder="1" applyAlignment="1">
      <alignment horizontal="left" shrinkToFit="1"/>
    </xf>
    <xf numFmtId="0" fontId="26" fillId="14" borderId="39" xfId="4" applyBorder="1" applyAlignment="1">
      <alignment horizontal="left"/>
    </xf>
    <xf numFmtId="16" fontId="0" fillId="0" borderId="26" xfId="0" applyNumberFormat="1" applyBorder="1"/>
    <xf numFmtId="0" fontId="7" fillId="0" borderId="34" xfId="0" applyFont="1" applyBorder="1" applyAlignment="1">
      <alignment horizontal="center" shrinkToFit="1"/>
    </xf>
    <xf numFmtId="0" fontId="7" fillId="0" borderId="35" xfId="0" applyFont="1" applyBorder="1" applyAlignment="1">
      <alignment horizontal="center" shrinkToFit="1"/>
    </xf>
    <xf numFmtId="0" fontId="7" fillId="0" borderId="18" xfId="0" applyFont="1" applyBorder="1" applyAlignment="1">
      <alignment horizontal="center" shrinkToFit="1"/>
    </xf>
    <xf numFmtId="0" fontId="7" fillId="6" borderId="18" xfId="0" applyFont="1" applyFill="1" applyBorder="1" applyAlignment="1">
      <alignment horizontal="center" shrinkToFit="1"/>
    </xf>
    <xf numFmtId="0" fontId="7" fillId="6" borderId="34" xfId="0" applyFont="1" applyFill="1" applyBorder="1" applyAlignment="1">
      <alignment horizontal="center" shrinkToFit="1"/>
    </xf>
    <xf numFmtId="0" fontId="7" fillId="6" borderId="35" xfId="0" applyFont="1" applyFill="1" applyBorder="1" applyAlignment="1">
      <alignment horizontal="center" shrinkToFit="1"/>
    </xf>
    <xf numFmtId="179" fontId="7" fillId="0" borderId="12" xfId="0" applyNumberFormat="1" applyFont="1" applyBorder="1" applyAlignment="1">
      <alignment horizontal="center" shrinkToFit="1"/>
    </xf>
    <xf numFmtId="0" fontId="18" fillId="0" borderId="2" xfId="0" applyFont="1" applyBorder="1" applyAlignment="1">
      <alignment horizontal="center" shrinkToFit="1"/>
    </xf>
    <xf numFmtId="0" fontId="18" fillId="0" borderId="29" xfId="0" applyFont="1" applyBorder="1" applyAlignment="1">
      <alignment horizontal="center" shrinkToFit="1"/>
    </xf>
    <xf numFmtId="0" fontId="18" fillId="0" borderId="17" xfId="0" applyFont="1" applyBorder="1" applyAlignment="1">
      <alignment horizontal="center" shrinkToFit="1"/>
    </xf>
    <xf numFmtId="0" fontId="19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6" fontId="16" fillId="0" borderId="0" xfId="0" applyNumberFormat="1" applyFont="1" applyFill="1" applyBorder="1" applyAlignment="1">
      <alignment horizontal="center" shrinkToFit="1"/>
    </xf>
    <xf numFmtId="26" fontId="16" fillId="0" borderId="0" xfId="0" applyNumberFormat="1" applyFont="1" applyFill="1" applyBorder="1" applyAlignment="1">
      <alignment horizontal="center" shrinkToFit="1"/>
    </xf>
    <xf numFmtId="0" fontId="26" fillId="2" borderId="2" xfId="4" applyFill="1" applyBorder="1" applyAlignment="1">
      <alignment horizontal="center" shrinkToFit="1"/>
    </xf>
    <xf numFmtId="0" fontId="26" fillId="2" borderId="29" xfId="4" applyFill="1" applyBorder="1" applyAlignment="1">
      <alignment horizontal="center" shrinkToFit="1"/>
    </xf>
    <xf numFmtId="179" fontId="7" fillId="6" borderId="53" xfId="0" applyNumberFormat="1" applyFont="1" applyFill="1" applyBorder="1" applyAlignment="1">
      <alignment horizontal="center" vertical="center" shrinkToFit="1"/>
    </xf>
    <xf numFmtId="179" fontId="7" fillId="6" borderId="55" xfId="0" applyNumberFormat="1" applyFont="1" applyFill="1" applyBorder="1" applyAlignment="1">
      <alignment horizontal="center" vertical="center" shrinkToFit="1"/>
    </xf>
    <xf numFmtId="0" fontId="17" fillId="0" borderId="51" xfId="0" applyFont="1" applyBorder="1" applyAlignment="1">
      <alignment horizontal="left" shrinkToFit="1"/>
    </xf>
    <xf numFmtId="0" fontId="17" fillId="0" borderId="37" xfId="0" applyFont="1" applyBorder="1" applyAlignment="1">
      <alignment horizontal="left" shrinkToFit="1"/>
    </xf>
    <xf numFmtId="0" fontId="17" fillId="0" borderId="47" xfId="0" applyFont="1" applyBorder="1" applyAlignment="1">
      <alignment horizontal="left" shrinkToFit="1"/>
    </xf>
    <xf numFmtId="0" fontId="7" fillId="6" borderId="10" xfId="0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 shrinkToFit="1"/>
    </xf>
    <xf numFmtId="179" fontId="7" fillId="6" borderId="3" xfId="0" applyNumberFormat="1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0" fontId="20" fillId="6" borderId="34" xfId="0" applyFont="1" applyFill="1" applyBorder="1" applyAlignment="1">
      <alignment horizontal="center" shrinkToFit="1"/>
    </xf>
    <xf numFmtId="0" fontId="20" fillId="6" borderId="35" xfId="0" applyFont="1" applyFill="1" applyBorder="1" applyAlignment="1">
      <alignment horizontal="center" shrinkToFit="1"/>
    </xf>
    <xf numFmtId="0" fontId="20" fillId="6" borderId="18" xfId="0" applyFont="1" applyFill="1" applyBorder="1" applyAlignment="1">
      <alignment horizontal="center" shrinkToFit="1"/>
    </xf>
    <xf numFmtId="0" fontId="7" fillId="0" borderId="21" xfId="0" applyFont="1" applyBorder="1" applyAlignment="1">
      <alignment horizontal="center" shrinkToFit="1"/>
    </xf>
    <xf numFmtId="0" fontId="7" fillId="0" borderId="22" xfId="0" applyFont="1" applyBorder="1" applyAlignment="1">
      <alignment horizontal="center" shrinkToFit="1"/>
    </xf>
    <xf numFmtId="178" fontId="19" fillId="6" borderId="25" xfId="0" applyNumberFormat="1" applyFont="1" applyFill="1" applyBorder="1" applyAlignment="1">
      <alignment horizontal="center" vertical="center" shrinkToFit="1"/>
    </xf>
    <xf numFmtId="178" fontId="19" fillId="6" borderId="24" xfId="0" applyNumberFormat="1" applyFont="1" applyFill="1" applyBorder="1" applyAlignment="1">
      <alignment horizontal="center" vertical="center" shrinkToFit="1"/>
    </xf>
    <xf numFmtId="178" fontId="19" fillId="6" borderId="22" xfId="0" applyNumberFormat="1" applyFont="1" applyFill="1" applyBorder="1" applyAlignment="1">
      <alignment horizontal="center" vertical="center" shrinkToFit="1"/>
    </xf>
    <xf numFmtId="178" fontId="19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7" fillId="0" borderId="42" xfId="0" applyFont="1" applyBorder="1" applyAlignment="1">
      <alignment horizontal="left" shrinkToFit="1"/>
    </xf>
    <xf numFmtId="0" fontId="17" fillId="0" borderId="29" xfId="0" applyFont="1" applyBorder="1" applyAlignment="1">
      <alignment horizontal="left" shrinkToFit="1"/>
    </xf>
    <xf numFmtId="0" fontId="17" fillId="0" borderId="17" xfId="0" applyFont="1" applyBorder="1" applyAlignment="1">
      <alignment horizontal="left" shrinkToFit="1"/>
    </xf>
    <xf numFmtId="0" fontId="7" fillId="6" borderId="13" xfId="0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4" xfId="0" applyFont="1" applyFill="1" applyBorder="1" applyAlignment="1">
      <alignment horizontal="center" shrinkToFit="1"/>
    </xf>
    <xf numFmtId="0" fontId="17" fillId="0" borderId="43" xfId="0" applyFont="1" applyBorder="1" applyAlignment="1">
      <alignment horizontal="left" shrinkToFit="1"/>
    </xf>
    <xf numFmtId="0" fontId="17" fillId="0" borderId="49" xfId="0" applyFont="1" applyBorder="1" applyAlignment="1">
      <alignment horizontal="left" shrinkToFit="1"/>
    </xf>
    <xf numFmtId="0" fontId="7" fillId="6" borderId="9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7" fillId="6" borderId="13" xfId="0" applyFont="1" applyFill="1" applyBorder="1" applyAlignment="1">
      <alignment horizontal="center" vertical="center"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9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0" fontId="7" fillId="6" borderId="10" xfId="0" applyFont="1" applyFill="1" applyBorder="1" applyAlignment="1">
      <alignment horizontal="center" vertical="center" shrinkToFit="1"/>
    </xf>
    <xf numFmtId="0" fontId="7" fillId="6" borderId="3" xfId="0" applyFont="1" applyFill="1" applyBorder="1" applyAlignment="1">
      <alignment horizontal="center" vertical="center" shrinkToFit="1"/>
    </xf>
    <xf numFmtId="180" fontId="7" fillId="6" borderId="14" xfId="0" applyNumberFormat="1" applyFont="1" applyFill="1" applyBorder="1" applyAlignment="1">
      <alignment horizontal="center" vertical="center" shrinkToFit="1"/>
    </xf>
    <xf numFmtId="180" fontId="7" fillId="6" borderId="1" xfId="0" applyNumberFormat="1" applyFont="1" applyFill="1" applyBorder="1" applyAlignment="1">
      <alignment horizontal="center" vertical="center" shrinkToFit="1"/>
    </xf>
    <xf numFmtId="180" fontId="7" fillId="6" borderId="3" xfId="0" applyNumberFormat="1" applyFont="1" applyFill="1" applyBorder="1" applyAlignment="1">
      <alignment horizontal="center" vertical="center" shrinkToFit="1"/>
    </xf>
    <xf numFmtId="178" fontId="7" fillId="6" borderId="14" xfId="0" applyNumberFormat="1" applyFont="1" applyFill="1" applyBorder="1" applyAlignment="1">
      <alignment horizontal="center" vertical="center" shrinkToFit="1"/>
    </xf>
    <xf numFmtId="178" fontId="7" fillId="6" borderId="1" xfId="0" applyNumberFormat="1" applyFont="1" applyFill="1" applyBorder="1" applyAlignment="1">
      <alignment horizontal="center" vertical="center" shrinkToFit="1"/>
    </xf>
    <xf numFmtId="178" fontId="7" fillId="6" borderId="3" xfId="0" applyNumberFormat="1" applyFont="1" applyFill="1" applyBorder="1" applyAlignment="1">
      <alignment horizontal="center" vertical="center" shrinkToFit="1"/>
    </xf>
    <xf numFmtId="178" fontId="7" fillId="6" borderId="28" xfId="0" applyNumberFormat="1" applyFont="1" applyFill="1" applyBorder="1" applyAlignment="1">
      <alignment horizontal="center" vertical="center" shrinkToFit="1"/>
    </xf>
    <xf numFmtId="178" fontId="7" fillId="6" borderId="15" xfId="0" applyNumberFormat="1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7" fillId="0" borderId="27" xfId="0" applyFont="1" applyBorder="1" applyAlignment="1">
      <alignment horizontal="center" shrinkToFit="1"/>
    </xf>
    <xf numFmtId="0" fontId="7" fillId="0" borderId="25" xfId="0" applyFont="1" applyBorder="1" applyAlignment="1">
      <alignment horizontal="center" shrinkToFit="1"/>
    </xf>
    <xf numFmtId="0" fontId="7" fillId="0" borderId="24" xfId="0" applyFont="1" applyBorder="1" applyAlignment="1">
      <alignment horizontal="center" shrinkToFit="1"/>
    </xf>
    <xf numFmtId="0" fontId="7" fillId="0" borderId="3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0" borderId="32" xfId="0" applyFont="1" applyBorder="1" applyAlignment="1">
      <alignment horizontal="center" shrinkToFit="1"/>
    </xf>
    <xf numFmtId="0" fontId="7" fillId="0" borderId="23" xfId="0" applyFont="1" applyBorder="1" applyAlignment="1">
      <alignment horizontal="center" shrinkToFit="1"/>
    </xf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center" shrinkToFit="1"/>
    </xf>
    <xf numFmtId="0" fontId="26" fillId="14" borderId="2" xfId="4" applyBorder="1" applyAlignment="1">
      <alignment horizontal="center" vertical="center" shrinkToFit="1"/>
    </xf>
    <xf numFmtId="0" fontId="26" fillId="14" borderId="29" xfId="4" applyBorder="1" applyAlignment="1">
      <alignment horizontal="center" vertical="center" shrinkToFit="1"/>
    </xf>
    <xf numFmtId="0" fontId="26" fillId="14" borderId="17" xfId="4" applyBorder="1" applyAlignment="1">
      <alignment horizontal="center" vertical="center" shrinkToFit="1"/>
    </xf>
    <xf numFmtId="0" fontId="26" fillId="14" borderId="2" xfId="4" applyBorder="1" applyAlignment="1">
      <alignment horizontal="center" shrinkToFit="1"/>
    </xf>
    <xf numFmtId="0" fontId="26" fillId="14" borderId="29" xfId="4" applyBorder="1" applyAlignment="1">
      <alignment horizontal="center" shrinkToFit="1"/>
    </xf>
    <xf numFmtId="0" fontId="26" fillId="14" borderId="17" xfId="4" applyBorder="1" applyAlignment="1">
      <alignment horizontal="center" shrinkToFit="1"/>
    </xf>
    <xf numFmtId="0" fontId="26" fillId="14" borderId="0" xfId="4" applyAlignment="1"/>
    <xf numFmtId="12" fontId="0" fillId="0" borderId="2" xfId="0" applyNumberFormat="1" applyBorder="1" applyAlignment="1">
      <alignment horizontal="center" shrinkToFit="1"/>
    </xf>
    <xf numFmtId="26" fontId="23" fillId="6" borderId="30" xfId="0" applyNumberFormat="1" applyFont="1" applyFill="1" applyBorder="1" applyAlignment="1">
      <alignment horizontal="center" vertical="center" shrinkToFit="1"/>
    </xf>
    <xf numFmtId="26" fontId="23" fillId="6" borderId="43" xfId="0" applyNumberFormat="1" applyFont="1" applyFill="1" applyBorder="1" applyAlignment="1">
      <alignment horizontal="center" vertical="center" shrinkToFit="1"/>
    </xf>
    <xf numFmtId="26" fontId="23" fillId="6" borderId="44" xfId="0" applyNumberFormat="1" applyFont="1" applyFill="1" applyBorder="1" applyAlignment="1">
      <alignment horizontal="center" vertical="center" shrinkToFit="1"/>
    </xf>
    <xf numFmtId="26" fontId="23" fillId="6" borderId="45" xfId="0" applyNumberFormat="1" applyFont="1" applyFill="1" applyBorder="1" applyAlignment="1">
      <alignment horizontal="center" vertical="center" shrinkToFit="1"/>
    </xf>
    <xf numFmtId="26" fontId="23" fillId="6" borderId="0" xfId="0" applyNumberFormat="1" applyFont="1" applyFill="1" applyBorder="1" applyAlignment="1">
      <alignment horizontal="center" vertical="center" shrinkToFit="1"/>
    </xf>
    <xf numFmtId="26" fontId="23" fillId="6" borderId="46" xfId="0" applyNumberFormat="1" applyFont="1" applyFill="1" applyBorder="1" applyAlignment="1">
      <alignment horizontal="center" vertical="center" shrinkToFit="1"/>
    </xf>
    <xf numFmtId="26" fontId="23" fillId="6" borderId="6" xfId="0" applyNumberFormat="1" applyFont="1" applyFill="1" applyBorder="1" applyAlignment="1">
      <alignment horizontal="center" vertical="center" shrinkToFit="1"/>
    </xf>
    <xf numFmtId="26" fontId="23" fillId="6" borderId="37" xfId="0" applyNumberFormat="1" applyFont="1" applyFill="1" applyBorder="1" applyAlignment="1">
      <alignment horizontal="center" vertical="center" shrinkToFit="1"/>
    </xf>
    <xf numFmtId="26" fontId="23" fillId="6" borderId="39" xfId="0" applyNumberFormat="1" applyFont="1" applyFill="1" applyBorder="1" applyAlignment="1">
      <alignment horizontal="center" vertical="center" shrinkToFit="1"/>
    </xf>
    <xf numFmtId="183" fontId="23" fillId="6" borderId="30" xfId="0" applyNumberFormat="1" applyFont="1" applyFill="1" applyBorder="1" applyAlignment="1">
      <alignment horizontal="center" vertical="center" shrinkToFit="1"/>
    </xf>
    <xf numFmtId="183" fontId="23" fillId="6" borderId="43" xfId="0" applyNumberFormat="1" applyFont="1" applyFill="1" applyBorder="1" applyAlignment="1">
      <alignment horizontal="center" vertical="center" shrinkToFit="1"/>
    </xf>
    <xf numFmtId="183" fontId="23" fillId="6" borderId="44" xfId="0" applyNumberFormat="1" applyFont="1" applyFill="1" applyBorder="1" applyAlignment="1">
      <alignment horizontal="center" vertical="center" shrinkToFit="1"/>
    </xf>
    <xf numFmtId="183" fontId="23" fillId="6" borderId="45" xfId="0" applyNumberFormat="1" applyFont="1" applyFill="1" applyBorder="1" applyAlignment="1">
      <alignment horizontal="center" vertical="center" shrinkToFit="1"/>
    </xf>
    <xf numFmtId="183" fontId="23" fillId="6" borderId="0" xfId="0" applyNumberFormat="1" applyFont="1" applyFill="1" applyBorder="1" applyAlignment="1">
      <alignment horizontal="center" vertical="center" shrinkToFit="1"/>
    </xf>
    <xf numFmtId="183" fontId="23" fillId="6" borderId="46" xfId="0" applyNumberFormat="1" applyFont="1" applyFill="1" applyBorder="1" applyAlignment="1">
      <alignment horizontal="center" vertical="center" shrinkToFit="1"/>
    </xf>
    <xf numFmtId="183" fontId="23" fillId="6" borderId="6" xfId="0" applyNumberFormat="1" applyFont="1" applyFill="1" applyBorder="1" applyAlignment="1">
      <alignment horizontal="center" vertical="center" shrinkToFit="1"/>
    </xf>
    <xf numFmtId="183" fontId="23" fillId="6" borderId="37" xfId="0" applyNumberFormat="1" applyFont="1" applyFill="1" applyBorder="1" applyAlignment="1">
      <alignment horizontal="center" vertical="center" shrinkToFit="1"/>
    </xf>
    <xf numFmtId="183" fontId="23" fillId="6" borderId="39" xfId="0" applyNumberFormat="1" applyFont="1" applyFill="1" applyBorder="1" applyAlignment="1">
      <alignment horizontal="center" vertical="center" shrinkToFit="1"/>
    </xf>
    <xf numFmtId="0" fontId="30" fillId="11" borderId="2" xfId="0" applyFont="1" applyFill="1" applyBorder="1" applyAlignment="1">
      <alignment horizontal="center" vertical="center" shrinkToFit="1"/>
    </xf>
    <xf numFmtId="0" fontId="30" fillId="11" borderId="29" xfId="0" applyFont="1" applyFill="1" applyBorder="1" applyAlignment="1">
      <alignment horizontal="center" vertical="center" shrinkToFit="1"/>
    </xf>
    <xf numFmtId="0" fontId="30" fillId="11" borderId="26" xfId="0" applyFont="1" applyFill="1" applyBorder="1" applyAlignment="1">
      <alignment horizontal="center" vertical="center" shrinkToFit="1"/>
    </xf>
    <xf numFmtId="176" fontId="7" fillId="10" borderId="1" xfId="0" applyNumberFormat="1" applyFont="1" applyFill="1" applyBorder="1" applyAlignment="1">
      <alignment horizontal="center" vertical="center" shrinkToFit="1"/>
    </xf>
    <xf numFmtId="0" fontId="7" fillId="10" borderId="1" xfId="0" applyFont="1" applyFill="1" applyBorder="1" applyAlignment="1">
      <alignment horizontal="center" vertical="center" shrinkToFit="1"/>
    </xf>
    <xf numFmtId="0" fontId="7" fillId="12" borderId="1" xfId="0" applyFont="1" applyFill="1" applyBorder="1" applyAlignment="1">
      <alignment horizontal="center" vertical="center" shrinkToFit="1"/>
    </xf>
    <xf numFmtId="176" fontId="7" fillId="12" borderId="1" xfId="0" applyNumberFormat="1" applyFont="1" applyFill="1" applyBorder="1" applyAlignment="1">
      <alignment horizontal="center" vertical="center" shrinkToFit="1"/>
    </xf>
    <xf numFmtId="9" fontId="7" fillId="12" borderId="1" xfId="0" applyNumberFormat="1" applyFont="1" applyFill="1" applyBorder="1" applyAlignment="1">
      <alignment horizontal="center" vertical="center" shrinkToFit="1"/>
    </xf>
    <xf numFmtId="176" fontId="7" fillId="7" borderId="1" xfId="0" applyNumberFormat="1" applyFont="1" applyFill="1" applyBorder="1" applyAlignment="1">
      <alignment horizontal="center" vertical="center" shrinkToFit="1"/>
    </xf>
    <xf numFmtId="9" fontId="7" fillId="7" borderId="1" xfId="0" applyNumberFormat="1" applyFont="1" applyFill="1" applyBorder="1" applyAlignment="1">
      <alignment horizontal="center" vertical="center" shrinkToFit="1"/>
    </xf>
    <xf numFmtId="176" fontId="7" fillId="11" borderId="2" xfId="0" applyNumberFormat="1" applyFont="1" applyFill="1" applyBorder="1" applyAlignment="1">
      <alignment horizontal="center" vertical="center" shrinkToFit="1"/>
    </xf>
    <xf numFmtId="176" fontId="7" fillId="11" borderId="29" xfId="0" applyNumberFormat="1" applyFont="1" applyFill="1" applyBorder="1" applyAlignment="1">
      <alignment horizontal="center" vertical="center" shrinkToFit="1"/>
    </xf>
    <xf numFmtId="176" fontId="7" fillId="11" borderId="26" xfId="0" applyNumberFormat="1" applyFont="1" applyFill="1" applyBorder="1" applyAlignment="1">
      <alignment horizontal="center" vertical="center" shrinkToFit="1"/>
    </xf>
    <xf numFmtId="9" fontId="7" fillId="10" borderId="1" xfId="0" applyNumberFormat="1" applyFont="1" applyFill="1" applyBorder="1" applyAlignment="1">
      <alignment horizontal="center" vertical="center" shrinkToFit="1"/>
    </xf>
    <xf numFmtId="9" fontId="7" fillId="11" borderId="1" xfId="0" applyNumberFormat="1" applyFont="1" applyFill="1" applyBorder="1" applyAlignment="1">
      <alignment horizontal="center" vertical="center" shrinkToFit="1"/>
    </xf>
    <xf numFmtId="0" fontId="7" fillId="11" borderId="1" xfId="0" applyFont="1" applyFill="1" applyBorder="1" applyAlignment="1">
      <alignment horizontal="center" vertical="center" shrinkToFit="1"/>
    </xf>
    <xf numFmtId="0" fontId="7" fillId="11" borderId="2" xfId="0" applyFont="1" applyFill="1" applyBorder="1" applyAlignment="1">
      <alignment horizontal="center" vertical="center" shrinkToFit="1"/>
    </xf>
    <xf numFmtId="0" fontId="7" fillId="11" borderId="29" xfId="0" applyFont="1" applyFill="1" applyBorder="1" applyAlignment="1">
      <alignment horizontal="center" vertical="center" shrinkToFit="1"/>
    </xf>
    <xf numFmtId="0" fontId="7" fillId="11" borderId="26" xfId="0" applyFont="1" applyFill="1" applyBorder="1" applyAlignment="1">
      <alignment horizontal="center" vertical="center" shrinkToFit="1"/>
    </xf>
    <xf numFmtId="183" fontId="23" fillId="9" borderId="2" xfId="0" applyNumberFormat="1" applyFont="1" applyFill="1" applyBorder="1" applyAlignment="1">
      <alignment horizontal="center" vertical="center" shrinkToFit="1"/>
    </xf>
    <xf numFmtId="183" fontId="23" fillId="9" borderId="29" xfId="0" applyNumberFormat="1" applyFont="1" applyFill="1" applyBorder="1" applyAlignment="1">
      <alignment horizontal="center" vertical="center" shrinkToFit="1"/>
    </xf>
    <xf numFmtId="183" fontId="23" fillId="9" borderId="26" xfId="0" applyNumberFormat="1" applyFont="1" applyFill="1" applyBorder="1" applyAlignment="1">
      <alignment horizontal="center" vertical="center" shrinkToFit="1"/>
    </xf>
    <xf numFmtId="26" fontId="23" fillId="9" borderId="2" xfId="0" applyNumberFormat="1" applyFont="1" applyFill="1" applyBorder="1" applyAlignment="1">
      <alignment horizontal="center" vertical="center" shrinkToFit="1"/>
    </xf>
    <xf numFmtId="26" fontId="23" fillId="9" borderId="29" xfId="0" applyNumberFormat="1" applyFont="1" applyFill="1" applyBorder="1" applyAlignment="1">
      <alignment horizontal="center" vertical="center" shrinkToFit="1"/>
    </xf>
    <xf numFmtId="26" fontId="23" fillId="9" borderId="26" xfId="0" applyNumberFormat="1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horizontal="center" vertical="center" shrinkToFit="1"/>
    </xf>
    <xf numFmtId="0" fontId="7" fillId="5" borderId="29" xfId="0" applyFont="1" applyFill="1" applyBorder="1" applyAlignment="1">
      <alignment horizontal="center" vertical="center" shrinkToFit="1"/>
    </xf>
    <xf numFmtId="0" fontId="7" fillId="5" borderId="26" xfId="0" applyFont="1" applyFill="1" applyBorder="1" applyAlignment="1">
      <alignment horizontal="center" vertical="center" shrinkToFit="1"/>
    </xf>
    <xf numFmtId="176" fontId="7" fillId="5" borderId="2" xfId="0" applyNumberFormat="1" applyFont="1" applyFill="1" applyBorder="1" applyAlignment="1">
      <alignment horizontal="center" vertical="center" shrinkToFit="1"/>
    </xf>
    <xf numFmtId="176" fontId="7" fillId="5" borderId="29" xfId="0" applyNumberFormat="1" applyFont="1" applyFill="1" applyBorder="1" applyAlignment="1">
      <alignment horizontal="center" vertical="center" shrinkToFit="1"/>
    </xf>
    <xf numFmtId="176" fontId="7" fillId="5" borderId="26" xfId="0" applyNumberFormat="1" applyFont="1" applyFill="1" applyBorder="1" applyAlignment="1">
      <alignment horizontal="center" vertical="center" shrinkToFit="1"/>
    </xf>
    <xf numFmtId="0" fontId="30" fillId="5" borderId="2" xfId="0" applyFont="1" applyFill="1" applyBorder="1" applyAlignment="1">
      <alignment horizontal="center" vertical="center" shrinkToFit="1"/>
    </xf>
    <xf numFmtId="0" fontId="30" fillId="5" borderId="29" xfId="0" applyFont="1" applyFill="1" applyBorder="1" applyAlignment="1">
      <alignment horizontal="center" vertical="center" shrinkToFit="1"/>
    </xf>
    <xf numFmtId="0" fontId="30" fillId="5" borderId="26" xfId="0" applyFont="1" applyFill="1" applyBorder="1" applyAlignment="1">
      <alignment horizontal="center" vertical="center" shrinkToFit="1"/>
    </xf>
    <xf numFmtId="0" fontId="22" fillId="5" borderId="2" xfId="0" applyFont="1" applyFill="1" applyBorder="1" applyAlignment="1">
      <alignment horizontal="center" vertical="center" shrinkToFit="1"/>
    </xf>
    <xf numFmtId="0" fontId="22" fillId="5" borderId="29" xfId="0" applyFont="1" applyFill="1" applyBorder="1" applyAlignment="1">
      <alignment horizontal="center" vertical="center" shrinkToFit="1"/>
    </xf>
    <xf numFmtId="0" fontId="22" fillId="5" borderId="26" xfId="0" applyFont="1" applyFill="1" applyBorder="1" applyAlignment="1">
      <alignment horizontal="center" vertical="center" shrinkToFit="1"/>
    </xf>
    <xf numFmtId="183" fontId="23" fillId="5" borderId="2" xfId="0" applyNumberFormat="1" applyFont="1" applyFill="1" applyBorder="1" applyAlignment="1">
      <alignment horizontal="center" vertical="center" shrinkToFit="1"/>
    </xf>
    <xf numFmtId="183" fontId="23" fillId="5" borderId="29" xfId="0" applyNumberFormat="1" applyFont="1" applyFill="1" applyBorder="1" applyAlignment="1">
      <alignment horizontal="center" vertical="center" shrinkToFit="1"/>
    </xf>
    <xf numFmtId="183" fontId="23" fillId="5" borderId="26" xfId="0" applyNumberFormat="1" applyFont="1" applyFill="1" applyBorder="1" applyAlignment="1">
      <alignment horizontal="center" vertical="center" shrinkToFit="1"/>
    </xf>
    <xf numFmtId="26" fontId="23" fillId="5" borderId="2" xfId="0" applyNumberFormat="1" applyFont="1" applyFill="1" applyBorder="1" applyAlignment="1">
      <alignment horizontal="center" vertical="center" shrinkToFit="1"/>
    </xf>
    <xf numFmtId="26" fontId="23" fillId="5" borderId="29" xfId="0" applyNumberFormat="1" applyFont="1" applyFill="1" applyBorder="1" applyAlignment="1">
      <alignment horizontal="center" vertical="center" shrinkToFit="1"/>
    </xf>
    <xf numFmtId="26" fontId="23" fillId="5" borderId="26" xfId="0" applyNumberFormat="1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shrinkToFit="1"/>
    </xf>
    <xf numFmtId="176" fontId="7" fillId="5" borderId="1" xfId="0" applyNumberFormat="1" applyFont="1" applyFill="1" applyBorder="1" applyAlignment="1">
      <alignment horizontal="center" vertical="center" shrinkToFit="1"/>
    </xf>
    <xf numFmtId="9" fontId="7" fillId="5" borderId="2" xfId="0" applyNumberFormat="1" applyFont="1" applyFill="1" applyBorder="1" applyAlignment="1">
      <alignment horizontal="center" vertical="center" shrinkToFit="1"/>
    </xf>
    <xf numFmtId="9" fontId="7" fillId="5" borderId="29" xfId="0" applyNumberFormat="1" applyFont="1" applyFill="1" applyBorder="1" applyAlignment="1">
      <alignment horizontal="center" vertical="center" shrinkToFit="1"/>
    </xf>
    <xf numFmtId="9" fontId="7" fillId="5" borderId="26" xfId="0" applyNumberFormat="1" applyFont="1" applyFill="1" applyBorder="1" applyAlignment="1">
      <alignment horizontal="center" vertical="center" shrinkToFit="1"/>
    </xf>
    <xf numFmtId="0" fontId="7" fillId="9" borderId="11" xfId="0" applyFont="1" applyFill="1" applyBorder="1" applyAlignment="1">
      <alignment horizontal="center" vertical="center" wrapText="1" shrinkToFit="1"/>
    </xf>
    <xf numFmtId="0" fontId="7" fillId="9" borderId="40" xfId="0" applyFont="1" applyFill="1" applyBorder="1" applyAlignment="1">
      <alignment horizontal="center" vertical="center" wrapText="1" shrinkToFit="1"/>
    </xf>
    <xf numFmtId="0" fontId="7" fillId="9" borderId="4" xfId="0" applyFont="1" applyFill="1" applyBorder="1" applyAlignment="1">
      <alignment horizontal="center" vertical="center" wrapText="1" shrinkToFit="1"/>
    </xf>
    <xf numFmtId="0" fontId="7" fillId="5" borderId="11" xfId="0" applyFont="1" applyFill="1" applyBorder="1" applyAlignment="1">
      <alignment horizontal="center" vertical="center" wrapText="1" shrinkToFit="1"/>
    </xf>
    <xf numFmtId="0" fontId="7" fillId="5" borderId="40" xfId="0" applyFont="1" applyFill="1" applyBorder="1" applyAlignment="1">
      <alignment horizontal="center" vertical="center" wrapText="1" shrinkToFit="1"/>
    </xf>
    <xf numFmtId="0" fontId="7" fillId="5" borderId="4" xfId="0" applyFont="1" applyFill="1" applyBorder="1" applyAlignment="1">
      <alignment horizontal="center" vertical="center" wrapText="1" shrinkToFit="1"/>
    </xf>
    <xf numFmtId="0" fontId="7" fillId="6" borderId="11" xfId="0" applyFont="1" applyFill="1" applyBorder="1" applyAlignment="1">
      <alignment horizontal="center" vertical="center" wrapText="1" shrinkToFit="1"/>
    </xf>
    <xf numFmtId="0" fontId="7" fillId="6" borderId="40" xfId="0" applyFont="1" applyFill="1" applyBorder="1" applyAlignment="1">
      <alignment horizontal="center" vertical="center" wrapText="1" shrinkToFit="1"/>
    </xf>
    <xf numFmtId="0" fontId="7" fillId="6" borderId="4" xfId="0" applyFont="1" applyFill="1" applyBorder="1" applyAlignment="1">
      <alignment horizontal="center" vertical="center" wrapText="1" shrinkToFit="1"/>
    </xf>
    <xf numFmtId="0" fontId="7" fillId="10" borderId="11" xfId="0" applyFont="1" applyFill="1" applyBorder="1" applyAlignment="1">
      <alignment horizontal="center" vertical="center" wrapText="1" shrinkToFit="1"/>
    </xf>
    <xf numFmtId="0" fontId="7" fillId="10" borderId="40" xfId="0" applyFont="1" applyFill="1" applyBorder="1" applyAlignment="1">
      <alignment horizontal="center" vertical="center" wrapText="1" shrinkToFit="1"/>
    </xf>
    <xf numFmtId="0" fontId="7" fillId="10" borderId="4" xfId="0" applyFont="1" applyFill="1" applyBorder="1" applyAlignment="1">
      <alignment horizontal="center" vertical="center" wrapText="1" shrinkToFit="1"/>
    </xf>
    <xf numFmtId="0" fontId="7" fillId="7" borderId="11" xfId="0" applyFont="1" applyFill="1" applyBorder="1" applyAlignment="1">
      <alignment horizontal="center" vertical="center" wrapText="1" shrinkToFit="1"/>
    </xf>
    <xf numFmtId="0" fontId="7" fillId="7" borderId="40" xfId="0" applyFont="1" applyFill="1" applyBorder="1" applyAlignment="1">
      <alignment horizontal="center" vertical="center" wrapText="1" shrinkToFit="1"/>
    </xf>
    <xf numFmtId="0" fontId="7" fillId="7" borderId="4" xfId="0" applyFont="1" applyFill="1" applyBorder="1" applyAlignment="1">
      <alignment horizontal="center" vertical="center" wrapText="1" shrinkToFit="1"/>
    </xf>
    <xf numFmtId="0" fontId="7" fillId="11" borderId="11" xfId="0" applyFont="1" applyFill="1" applyBorder="1" applyAlignment="1">
      <alignment horizontal="center" vertical="center" wrapText="1" shrinkToFit="1"/>
    </xf>
    <xf numFmtId="0" fontId="7" fillId="11" borderId="40" xfId="0" applyFont="1" applyFill="1" applyBorder="1" applyAlignment="1">
      <alignment horizontal="center" vertical="center" wrapText="1" shrinkToFit="1"/>
    </xf>
    <xf numFmtId="0" fontId="7" fillId="11" borderId="4" xfId="0" applyFont="1" applyFill="1" applyBorder="1" applyAlignment="1">
      <alignment horizontal="center" vertical="center" wrapText="1" shrinkToFit="1"/>
    </xf>
    <xf numFmtId="0" fontId="7" fillId="12" borderId="44" xfId="0" applyFont="1" applyFill="1" applyBorder="1" applyAlignment="1">
      <alignment horizontal="center" vertical="center" wrapText="1" shrinkToFit="1"/>
    </xf>
    <xf numFmtId="0" fontId="7" fillId="12" borderId="46" xfId="0" applyFont="1" applyFill="1" applyBorder="1" applyAlignment="1">
      <alignment horizontal="center" vertical="center" wrapText="1" shrinkToFit="1"/>
    </xf>
    <xf numFmtId="0" fontId="7" fillId="12" borderId="39" xfId="0" applyFont="1" applyFill="1" applyBorder="1" applyAlignment="1">
      <alignment horizontal="center" vertical="center" wrapText="1" shrinkToFit="1"/>
    </xf>
    <xf numFmtId="0" fontId="7" fillId="9" borderId="2" xfId="0" applyFont="1" applyFill="1" applyBorder="1" applyAlignment="1">
      <alignment horizontal="center" vertical="center" shrinkToFit="1"/>
    </xf>
    <xf numFmtId="0" fontId="7" fillId="9" borderId="29" xfId="0" applyFont="1" applyFill="1" applyBorder="1" applyAlignment="1">
      <alignment horizontal="center" vertical="center" shrinkToFit="1"/>
    </xf>
    <xf numFmtId="0" fontId="7" fillId="9" borderId="26" xfId="0" applyFont="1" applyFill="1" applyBorder="1" applyAlignment="1">
      <alignment horizontal="center" vertical="center" shrinkToFit="1"/>
    </xf>
    <xf numFmtId="0" fontId="7" fillId="6" borderId="2" xfId="0" applyFont="1" applyFill="1" applyBorder="1" applyAlignment="1">
      <alignment horizontal="center" vertical="center" shrinkToFit="1"/>
    </xf>
    <xf numFmtId="0" fontId="7" fillId="6" borderId="29" xfId="0" applyFont="1" applyFill="1" applyBorder="1" applyAlignment="1">
      <alignment horizontal="center" vertical="center" shrinkToFit="1"/>
    </xf>
    <xf numFmtId="0" fontId="7" fillId="6" borderId="26" xfId="0" applyFont="1" applyFill="1" applyBorder="1" applyAlignment="1">
      <alignment horizontal="center" vertical="center" shrinkToFit="1"/>
    </xf>
    <xf numFmtId="0" fontId="7" fillId="10" borderId="2" xfId="0" applyFont="1" applyFill="1" applyBorder="1" applyAlignment="1">
      <alignment horizontal="center" vertical="center" shrinkToFit="1"/>
    </xf>
    <xf numFmtId="0" fontId="7" fillId="10" borderId="29" xfId="0" applyFont="1" applyFill="1" applyBorder="1" applyAlignment="1">
      <alignment horizontal="center" vertical="center" shrinkToFit="1"/>
    </xf>
    <xf numFmtId="0" fontId="7" fillId="10" borderId="26" xfId="0" applyFont="1" applyFill="1" applyBorder="1" applyAlignment="1">
      <alignment horizontal="center" vertical="center" shrinkToFit="1"/>
    </xf>
    <xf numFmtId="0" fontId="7" fillId="7" borderId="2" xfId="0" applyFont="1" applyFill="1" applyBorder="1" applyAlignment="1">
      <alignment horizontal="center" vertical="center" shrinkToFit="1"/>
    </xf>
    <xf numFmtId="0" fontId="7" fillId="7" borderId="29" xfId="0" applyFont="1" applyFill="1" applyBorder="1" applyAlignment="1">
      <alignment horizontal="center" vertical="center" shrinkToFit="1"/>
    </xf>
    <xf numFmtId="0" fontId="7" fillId="7" borderId="26" xfId="0" applyFont="1" applyFill="1" applyBorder="1" applyAlignment="1">
      <alignment horizontal="center" vertical="center" shrinkToFit="1"/>
    </xf>
    <xf numFmtId="0" fontId="7" fillId="12" borderId="5" xfId="0" applyFont="1" applyFill="1" applyBorder="1" applyAlignment="1">
      <alignment horizontal="center" vertical="center" shrinkToFit="1"/>
    </xf>
    <xf numFmtId="0" fontId="7" fillId="12" borderId="56" xfId="0" applyFont="1" applyFill="1" applyBorder="1" applyAlignment="1">
      <alignment horizontal="center" vertical="center" shrinkToFit="1"/>
    </xf>
    <xf numFmtId="0" fontId="7" fillId="12" borderId="64" xfId="0" applyFont="1" applyFill="1" applyBorder="1" applyAlignment="1">
      <alignment horizontal="center" vertical="center" shrinkToFit="1"/>
    </xf>
    <xf numFmtId="0" fontId="7" fillId="12" borderId="26" xfId="0" applyFont="1" applyFill="1" applyBorder="1" applyAlignment="1">
      <alignment horizontal="center" vertical="center" shrinkToFit="1"/>
    </xf>
    <xf numFmtId="0" fontId="7" fillId="7" borderId="1" xfId="0" applyFont="1" applyFill="1" applyBorder="1" applyAlignment="1">
      <alignment horizontal="center" vertical="center" shrinkToFit="1"/>
    </xf>
    <xf numFmtId="10" fontId="23" fillId="0" borderId="58" xfId="0" applyNumberFormat="1" applyFont="1" applyBorder="1" applyAlignment="1">
      <alignment horizontal="center" vertical="center" shrinkToFit="1"/>
    </xf>
    <xf numFmtId="10" fontId="23" fillId="0" borderId="43" xfId="0" applyNumberFormat="1" applyFont="1" applyBorder="1" applyAlignment="1">
      <alignment horizontal="center" vertical="center" shrinkToFit="1"/>
    </xf>
    <xf numFmtId="10" fontId="23" fillId="0" borderId="44" xfId="0" applyNumberFormat="1" applyFont="1" applyBorder="1" applyAlignment="1">
      <alignment horizontal="center" vertical="center" shrinkToFit="1"/>
    </xf>
    <xf numFmtId="10" fontId="23" fillId="0" borderId="31" xfId="0" applyNumberFormat="1" applyFont="1" applyBorder="1" applyAlignment="1">
      <alignment horizontal="center" vertical="center" shrinkToFit="1"/>
    </xf>
    <xf numFmtId="10" fontId="23" fillId="0" borderId="0" xfId="0" applyNumberFormat="1" applyFont="1" applyAlignment="1">
      <alignment horizontal="center" vertical="center" shrinkToFit="1"/>
    </xf>
    <xf numFmtId="10" fontId="23" fillId="0" borderId="46" xfId="0" applyNumberFormat="1" applyFont="1" applyBorder="1" applyAlignment="1">
      <alignment horizontal="center" vertical="center" shrinkToFit="1"/>
    </xf>
    <xf numFmtId="10" fontId="23" fillId="0" borderId="21" xfId="0" applyNumberFormat="1" applyFont="1" applyBorder="1" applyAlignment="1">
      <alignment horizontal="center" vertical="center" shrinkToFit="1"/>
    </xf>
    <xf numFmtId="10" fontId="23" fillId="0" borderId="22" xfId="0" applyNumberFormat="1" applyFont="1" applyBorder="1" applyAlignment="1">
      <alignment horizontal="center" vertical="center" shrinkToFit="1"/>
    </xf>
    <xf numFmtId="10" fontId="23" fillId="0" borderId="60" xfId="0" applyNumberFormat="1" applyFont="1" applyBorder="1" applyAlignment="1">
      <alignment horizontal="center" vertical="center" shrinkToFit="1"/>
    </xf>
    <xf numFmtId="180" fontId="23" fillId="0" borderId="58" xfId="0" applyNumberFormat="1" applyFont="1" applyBorder="1" applyAlignment="1">
      <alignment horizontal="center" vertical="center" shrinkToFit="1"/>
    </xf>
    <xf numFmtId="180" fontId="23" fillId="0" borderId="43" xfId="0" applyNumberFormat="1" applyFont="1" applyBorder="1" applyAlignment="1">
      <alignment horizontal="center" vertical="center" shrinkToFit="1"/>
    </xf>
    <xf numFmtId="180" fontId="23" fillId="0" borderId="59" xfId="0" applyNumberFormat="1" applyFont="1" applyBorder="1" applyAlignment="1">
      <alignment horizontal="center" vertical="center" shrinkToFit="1"/>
    </xf>
    <xf numFmtId="180" fontId="23" fillId="0" borderId="31" xfId="0" applyNumberFormat="1" applyFont="1" applyBorder="1" applyAlignment="1">
      <alignment horizontal="center" vertical="center" shrinkToFit="1"/>
    </xf>
    <xf numFmtId="180" fontId="23" fillId="0" borderId="0" xfId="0" applyNumberFormat="1" applyFont="1" applyAlignment="1">
      <alignment horizontal="center" vertical="center" shrinkToFit="1"/>
    </xf>
    <xf numFmtId="180" fontId="23" fillId="0" borderId="32" xfId="0" applyNumberFormat="1" applyFont="1" applyBorder="1" applyAlignment="1">
      <alignment horizontal="center" vertical="center" shrinkToFit="1"/>
    </xf>
    <xf numFmtId="180" fontId="23" fillId="0" borderId="21" xfId="0" applyNumberFormat="1" applyFont="1" applyBorder="1" applyAlignment="1">
      <alignment horizontal="center" vertical="center" shrinkToFit="1"/>
    </xf>
    <xf numFmtId="180" fontId="23" fillId="0" borderId="22" xfId="0" applyNumberFormat="1" applyFont="1" applyBorder="1" applyAlignment="1">
      <alignment horizontal="center" vertical="center" shrinkToFit="1"/>
    </xf>
    <xf numFmtId="180" fontId="23" fillId="0" borderId="23" xfId="0" applyNumberFormat="1" applyFont="1" applyBorder="1" applyAlignment="1">
      <alignment horizontal="center" vertical="center" shrinkToFit="1"/>
    </xf>
    <xf numFmtId="0" fontId="24" fillId="8" borderId="27" xfId="0" applyFont="1" applyFill="1" applyBorder="1" applyAlignment="1">
      <alignment horizontal="center" vertical="center" shrinkToFit="1"/>
    </xf>
    <xf numFmtId="0" fontId="24" fillId="8" borderId="25" xfId="0" applyFont="1" applyFill="1" applyBorder="1" applyAlignment="1">
      <alignment horizontal="center" vertical="center" shrinkToFit="1"/>
    </xf>
    <xf numFmtId="0" fontId="24" fillId="8" borderId="57" xfId="0" applyFont="1" applyFill="1" applyBorder="1" applyAlignment="1">
      <alignment horizontal="center" vertical="center" shrinkToFit="1"/>
    </xf>
    <xf numFmtId="0" fontId="24" fillId="8" borderId="51" xfId="0" applyFont="1" applyFill="1" applyBorder="1" applyAlignment="1">
      <alignment horizontal="center" vertical="center" shrinkToFit="1"/>
    </xf>
    <xf numFmtId="0" fontId="24" fillId="8" borderId="37" xfId="0" applyFont="1" applyFill="1" applyBorder="1" applyAlignment="1">
      <alignment horizontal="center" vertical="center" shrinkToFit="1"/>
    </xf>
    <xf numFmtId="0" fontId="24" fillId="8" borderId="39" xfId="0" applyFont="1" applyFill="1" applyBorder="1" applyAlignment="1">
      <alignment horizontal="center" vertical="center" shrinkToFit="1"/>
    </xf>
    <xf numFmtId="0" fontId="29" fillId="8" borderId="27" xfId="0" applyFont="1" applyFill="1" applyBorder="1" applyAlignment="1">
      <alignment horizontal="center" vertical="center" shrinkToFit="1"/>
    </xf>
    <xf numFmtId="0" fontId="29" fillId="8" borderId="25" xfId="0" applyFont="1" applyFill="1" applyBorder="1" applyAlignment="1">
      <alignment horizontal="center" vertical="center" shrinkToFit="1"/>
    </xf>
    <xf numFmtId="0" fontId="29" fillId="8" borderId="24" xfId="0" applyFont="1" applyFill="1" applyBorder="1" applyAlignment="1">
      <alignment horizontal="center" vertical="center" shrinkToFit="1"/>
    </xf>
    <xf numFmtId="0" fontId="29" fillId="8" borderId="51" xfId="0" applyFont="1" applyFill="1" applyBorder="1" applyAlignment="1">
      <alignment horizontal="center" vertical="center" shrinkToFit="1"/>
    </xf>
    <xf numFmtId="0" fontId="29" fillId="8" borderId="37" xfId="0" applyFont="1" applyFill="1" applyBorder="1" applyAlignment="1">
      <alignment horizontal="center" vertical="center" shrinkToFit="1"/>
    </xf>
    <xf numFmtId="0" fontId="29" fillId="8" borderId="47" xfId="0" applyFont="1" applyFill="1" applyBorder="1" applyAlignment="1">
      <alignment horizontal="center" vertical="center" shrinkToFit="1"/>
    </xf>
    <xf numFmtId="176" fontId="23" fillId="0" borderId="58" xfId="0" applyNumberFormat="1" applyFont="1" applyBorder="1" applyAlignment="1">
      <alignment horizontal="center" vertical="center" shrinkToFit="1"/>
    </xf>
    <xf numFmtId="0" fontId="23" fillId="0" borderId="43" xfId="0" applyFont="1" applyBorder="1" applyAlignment="1">
      <alignment horizontal="center" vertical="center" shrinkToFit="1"/>
    </xf>
    <xf numFmtId="0" fontId="23" fillId="0" borderId="44" xfId="0" applyFont="1" applyBorder="1" applyAlignment="1">
      <alignment horizontal="center" vertical="center" shrinkToFit="1"/>
    </xf>
    <xf numFmtId="0" fontId="23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60" xfId="0" applyFont="1" applyBorder="1" applyAlignment="1">
      <alignment horizontal="center" vertical="center" shrinkToFit="1"/>
    </xf>
    <xf numFmtId="0" fontId="23" fillId="0" borderId="58" xfId="0" applyFont="1" applyBorder="1" applyAlignment="1">
      <alignment horizontal="center" vertical="center" shrinkToFit="1"/>
    </xf>
    <xf numFmtId="0" fontId="23" fillId="0" borderId="59" xfId="0" applyFont="1" applyBorder="1" applyAlignment="1">
      <alignment horizontal="center" vertical="center" shrinkToFit="1"/>
    </xf>
    <xf numFmtId="0" fontId="23" fillId="0" borderId="32" xfId="0" applyFont="1" applyBorder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7" fillId="9" borderId="1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shrinkToFit="1"/>
    </xf>
    <xf numFmtId="176" fontId="7" fillId="9" borderId="1" xfId="0" applyNumberFormat="1" applyFont="1" applyFill="1" applyBorder="1" applyAlignment="1">
      <alignment horizontal="center" vertical="center" shrinkToFit="1"/>
    </xf>
    <xf numFmtId="9" fontId="7" fillId="9" borderId="1" xfId="0" applyNumberFormat="1" applyFont="1" applyFill="1" applyBorder="1" applyAlignment="1">
      <alignment horizontal="center" vertical="center" shrinkToFit="1"/>
    </xf>
    <xf numFmtId="183" fontId="23" fillId="5" borderId="30" xfId="0" applyNumberFormat="1" applyFont="1" applyFill="1" applyBorder="1" applyAlignment="1">
      <alignment horizontal="center" vertical="center" shrinkToFit="1"/>
    </xf>
    <xf numFmtId="183" fontId="23" fillId="5" borderId="43" xfId="0" applyNumberFormat="1" applyFont="1" applyFill="1" applyBorder="1" applyAlignment="1">
      <alignment horizontal="center" vertical="center" shrinkToFit="1"/>
    </xf>
    <xf numFmtId="183" fontId="23" fillId="5" borderId="44" xfId="0" applyNumberFormat="1" applyFont="1" applyFill="1" applyBorder="1" applyAlignment="1">
      <alignment horizontal="center" vertical="center" shrinkToFit="1"/>
    </xf>
    <xf numFmtId="183" fontId="23" fillId="5" borderId="45" xfId="0" applyNumberFormat="1" applyFont="1" applyFill="1" applyBorder="1" applyAlignment="1">
      <alignment horizontal="center" vertical="center" shrinkToFit="1"/>
    </xf>
    <xf numFmtId="183" fontId="23" fillId="5" borderId="0" xfId="0" applyNumberFormat="1" applyFont="1" applyFill="1" applyBorder="1" applyAlignment="1">
      <alignment horizontal="center" vertical="center" shrinkToFit="1"/>
    </xf>
    <xf numFmtId="183" fontId="23" fillId="5" borderId="46" xfId="0" applyNumberFormat="1" applyFont="1" applyFill="1" applyBorder="1" applyAlignment="1">
      <alignment horizontal="center" vertical="center" shrinkToFit="1"/>
    </xf>
    <xf numFmtId="183" fontId="23" fillId="5" borderId="6" xfId="0" applyNumberFormat="1" applyFont="1" applyFill="1" applyBorder="1" applyAlignment="1">
      <alignment horizontal="center" vertical="center" shrinkToFit="1"/>
    </xf>
    <xf numFmtId="183" fontId="23" fillId="5" borderId="37" xfId="0" applyNumberFormat="1" applyFont="1" applyFill="1" applyBorder="1" applyAlignment="1">
      <alignment horizontal="center" vertical="center" shrinkToFit="1"/>
    </xf>
    <xf numFmtId="183" fontId="23" fillId="5" borderId="39" xfId="0" applyNumberFormat="1" applyFont="1" applyFill="1" applyBorder="1" applyAlignment="1">
      <alignment horizontal="center" vertical="center" shrinkToFit="1"/>
    </xf>
    <xf numFmtId="183" fontId="23" fillId="9" borderId="30" xfId="0" applyNumberFormat="1" applyFont="1" applyFill="1" applyBorder="1" applyAlignment="1">
      <alignment horizontal="center" vertical="center" shrinkToFit="1"/>
    </xf>
    <xf numFmtId="183" fontId="23" fillId="9" borderId="43" xfId="0" applyNumberFormat="1" applyFont="1" applyFill="1" applyBorder="1" applyAlignment="1">
      <alignment horizontal="center" vertical="center" shrinkToFit="1"/>
    </xf>
    <xf numFmtId="183" fontId="23" fillId="9" borderId="44" xfId="0" applyNumberFormat="1" applyFont="1" applyFill="1" applyBorder="1" applyAlignment="1">
      <alignment horizontal="center" vertical="center" shrinkToFit="1"/>
    </xf>
    <xf numFmtId="183" fontId="23" fillId="9" borderId="45" xfId="0" applyNumberFormat="1" applyFont="1" applyFill="1" applyBorder="1" applyAlignment="1">
      <alignment horizontal="center" vertical="center" shrinkToFit="1"/>
    </xf>
    <xf numFmtId="183" fontId="23" fillId="9" borderId="0" xfId="0" applyNumberFormat="1" applyFont="1" applyFill="1" applyBorder="1" applyAlignment="1">
      <alignment horizontal="center" vertical="center" shrinkToFit="1"/>
    </xf>
    <xf numFmtId="183" fontId="23" fillId="9" borderId="46" xfId="0" applyNumberFormat="1" applyFont="1" applyFill="1" applyBorder="1" applyAlignment="1">
      <alignment horizontal="center" vertical="center" shrinkToFit="1"/>
    </xf>
    <xf numFmtId="183" fontId="23" fillId="9" borderId="6" xfId="0" applyNumberFormat="1" applyFont="1" applyFill="1" applyBorder="1" applyAlignment="1">
      <alignment horizontal="center" vertical="center" shrinkToFit="1"/>
    </xf>
    <xf numFmtId="183" fontId="23" fillId="9" borderId="37" xfId="0" applyNumberFormat="1" applyFont="1" applyFill="1" applyBorder="1" applyAlignment="1">
      <alignment horizontal="center" vertical="center" shrinkToFit="1"/>
    </xf>
    <xf numFmtId="183" fontId="23" fillId="9" borderId="39" xfId="0" applyNumberFormat="1" applyFont="1" applyFill="1" applyBorder="1" applyAlignment="1">
      <alignment horizontal="center" vertical="center" shrinkToFit="1"/>
    </xf>
    <xf numFmtId="26" fontId="23" fillId="9" borderId="30" xfId="0" applyNumberFormat="1" applyFont="1" applyFill="1" applyBorder="1" applyAlignment="1">
      <alignment horizontal="center" vertical="center" shrinkToFit="1"/>
    </xf>
    <xf numFmtId="26" fontId="23" fillId="9" borderId="43" xfId="0" applyNumberFormat="1" applyFont="1" applyFill="1" applyBorder="1" applyAlignment="1">
      <alignment horizontal="center" vertical="center" shrinkToFit="1"/>
    </xf>
    <xf numFmtId="26" fontId="23" fillId="9" borderId="44" xfId="0" applyNumberFormat="1" applyFont="1" applyFill="1" applyBorder="1" applyAlignment="1">
      <alignment horizontal="center" vertical="center" shrinkToFit="1"/>
    </xf>
    <xf numFmtId="26" fontId="23" fillId="9" borderId="45" xfId="0" applyNumberFormat="1" applyFont="1" applyFill="1" applyBorder="1" applyAlignment="1">
      <alignment horizontal="center" vertical="center" shrinkToFit="1"/>
    </xf>
    <xf numFmtId="26" fontId="23" fillId="9" borderId="0" xfId="0" applyNumberFormat="1" applyFont="1" applyFill="1" applyBorder="1" applyAlignment="1">
      <alignment horizontal="center" vertical="center" shrinkToFit="1"/>
    </xf>
    <xf numFmtId="26" fontId="23" fillId="9" borderId="46" xfId="0" applyNumberFormat="1" applyFont="1" applyFill="1" applyBorder="1" applyAlignment="1">
      <alignment horizontal="center" vertical="center" shrinkToFit="1"/>
    </xf>
    <xf numFmtId="26" fontId="23" fillId="9" borderId="6" xfId="0" applyNumberFormat="1" applyFont="1" applyFill="1" applyBorder="1" applyAlignment="1">
      <alignment horizontal="center" vertical="center" shrinkToFit="1"/>
    </xf>
    <xf numFmtId="26" fontId="23" fillId="9" borderId="37" xfId="0" applyNumberFormat="1" applyFont="1" applyFill="1" applyBorder="1" applyAlignment="1">
      <alignment horizontal="center" vertical="center" shrinkToFit="1"/>
    </xf>
    <xf numFmtId="26" fontId="23" fillId="9" borderId="39" xfId="0" applyNumberFormat="1" applyFont="1" applyFill="1" applyBorder="1" applyAlignment="1">
      <alignment horizontal="center" vertical="center" shrinkToFit="1"/>
    </xf>
    <xf numFmtId="26" fontId="23" fillId="5" borderId="30" xfId="0" applyNumberFormat="1" applyFont="1" applyFill="1" applyBorder="1" applyAlignment="1">
      <alignment horizontal="center" vertical="center" shrinkToFit="1"/>
    </xf>
    <xf numFmtId="26" fontId="23" fillId="5" borderId="43" xfId="0" applyNumberFormat="1" applyFont="1" applyFill="1" applyBorder="1" applyAlignment="1">
      <alignment horizontal="center" vertical="center" shrinkToFit="1"/>
    </xf>
    <xf numFmtId="26" fontId="23" fillId="5" borderId="44" xfId="0" applyNumberFormat="1" applyFont="1" applyFill="1" applyBorder="1" applyAlignment="1">
      <alignment horizontal="center" vertical="center" shrinkToFit="1"/>
    </xf>
    <xf numFmtId="26" fontId="23" fillId="5" borderId="45" xfId="0" applyNumberFormat="1" applyFont="1" applyFill="1" applyBorder="1" applyAlignment="1">
      <alignment horizontal="center" vertical="center" shrinkToFit="1"/>
    </xf>
    <xf numFmtId="26" fontId="23" fillId="5" borderId="0" xfId="0" applyNumberFormat="1" applyFont="1" applyFill="1" applyBorder="1" applyAlignment="1">
      <alignment horizontal="center" vertical="center" shrinkToFit="1"/>
    </xf>
    <xf numFmtId="26" fontId="23" fillId="5" borderId="46" xfId="0" applyNumberFormat="1" applyFont="1" applyFill="1" applyBorder="1" applyAlignment="1">
      <alignment horizontal="center" vertical="center" shrinkToFit="1"/>
    </xf>
    <xf numFmtId="26" fontId="23" fillId="5" borderId="6" xfId="0" applyNumberFormat="1" applyFont="1" applyFill="1" applyBorder="1" applyAlignment="1">
      <alignment horizontal="center" vertical="center" shrinkToFit="1"/>
    </xf>
    <xf numFmtId="26" fontId="23" fillId="5" borderId="37" xfId="0" applyNumberFormat="1" applyFont="1" applyFill="1" applyBorder="1" applyAlignment="1">
      <alignment horizontal="center" vertical="center" shrinkToFit="1"/>
    </xf>
    <xf numFmtId="26" fontId="23" fillId="5" borderId="39" xfId="0" applyNumberFormat="1" applyFont="1" applyFill="1" applyBorder="1" applyAlignment="1">
      <alignment horizontal="center" vertical="center" shrinkToFit="1"/>
    </xf>
    <xf numFmtId="176" fontId="7" fillId="11" borderId="1" xfId="0" applyNumberFormat="1" applyFont="1" applyFill="1" applyBorder="1" applyAlignment="1">
      <alignment horizontal="center" vertical="center" shrinkToFit="1"/>
    </xf>
    <xf numFmtId="26" fontId="23" fillId="10" borderId="30" xfId="0" applyNumberFormat="1" applyFont="1" applyFill="1" applyBorder="1" applyAlignment="1">
      <alignment horizontal="center" vertical="center" shrinkToFit="1"/>
    </xf>
    <xf numFmtId="26" fontId="23" fillId="10" borderId="43" xfId="0" applyNumberFormat="1" applyFont="1" applyFill="1" applyBorder="1" applyAlignment="1">
      <alignment horizontal="center" vertical="center" shrinkToFit="1"/>
    </xf>
    <xf numFmtId="26" fontId="23" fillId="10" borderId="44" xfId="0" applyNumberFormat="1" applyFont="1" applyFill="1" applyBorder="1" applyAlignment="1">
      <alignment horizontal="center" vertical="center" shrinkToFit="1"/>
    </xf>
    <xf numFmtId="26" fontId="23" fillId="10" borderId="45" xfId="0" applyNumberFormat="1" applyFont="1" applyFill="1" applyBorder="1" applyAlignment="1">
      <alignment horizontal="center" vertical="center" shrinkToFit="1"/>
    </xf>
    <xf numFmtId="26" fontId="23" fillId="10" borderId="0" xfId="0" applyNumberFormat="1" applyFont="1" applyFill="1" applyBorder="1" applyAlignment="1">
      <alignment horizontal="center" vertical="center" shrinkToFit="1"/>
    </xf>
    <xf numFmtId="26" fontId="23" fillId="10" borderId="46" xfId="0" applyNumberFormat="1" applyFont="1" applyFill="1" applyBorder="1" applyAlignment="1">
      <alignment horizontal="center" vertical="center" shrinkToFit="1"/>
    </xf>
    <xf numFmtId="26" fontId="23" fillId="10" borderId="6" xfId="0" applyNumberFormat="1" applyFont="1" applyFill="1" applyBorder="1" applyAlignment="1">
      <alignment horizontal="center" vertical="center" shrinkToFit="1"/>
    </xf>
    <xf numFmtId="26" fontId="23" fillId="10" borderId="37" xfId="0" applyNumberFormat="1" applyFont="1" applyFill="1" applyBorder="1" applyAlignment="1">
      <alignment horizontal="center" vertical="center" shrinkToFit="1"/>
    </xf>
    <xf numFmtId="26" fontId="23" fillId="10" borderId="39" xfId="0" applyNumberFormat="1" applyFont="1" applyFill="1" applyBorder="1" applyAlignment="1">
      <alignment horizontal="center" vertical="center" shrinkToFit="1"/>
    </xf>
    <xf numFmtId="183" fontId="23" fillId="10" borderId="30" xfId="0" applyNumberFormat="1" applyFont="1" applyFill="1" applyBorder="1" applyAlignment="1">
      <alignment horizontal="center" vertical="center" shrinkToFit="1"/>
    </xf>
    <xf numFmtId="183" fontId="23" fillId="10" borderId="43" xfId="0" applyNumberFormat="1" applyFont="1" applyFill="1" applyBorder="1" applyAlignment="1">
      <alignment horizontal="center" vertical="center" shrinkToFit="1"/>
    </xf>
    <xf numFmtId="183" fontId="23" fillId="10" borderId="44" xfId="0" applyNumberFormat="1" applyFont="1" applyFill="1" applyBorder="1" applyAlignment="1">
      <alignment horizontal="center" vertical="center" shrinkToFit="1"/>
    </xf>
    <xf numFmtId="183" fontId="23" fillId="10" borderId="45" xfId="0" applyNumberFormat="1" applyFont="1" applyFill="1" applyBorder="1" applyAlignment="1">
      <alignment horizontal="center" vertical="center" shrinkToFit="1"/>
    </xf>
    <xf numFmtId="183" fontId="23" fillId="10" borderId="0" xfId="0" applyNumberFormat="1" applyFont="1" applyFill="1" applyBorder="1" applyAlignment="1">
      <alignment horizontal="center" vertical="center" shrinkToFit="1"/>
    </xf>
    <xf numFmtId="183" fontId="23" fillId="10" borderId="46" xfId="0" applyNumberFormat="1" applyFont="1" applyFill="1" applyBorder="1" applyAlignment="1">
      <alignment horizontal="center" vertical="center" shrinkToFit="1"/>
    </xf>
    <xf numFmtId="183" fontId="23" fillId="10" borderId="6" xfId="0" applyNumberFormat="1" applyFont="1" applyFill="1" applyBorder="1" applyAlignment="1">
      <alignment horizontal="center" vertical="center" shrinkToFit="1"/>
    </xf>
    <xf numFmtId="183" fontId="23" fillId="10" borderId="37" xfId="0" applyNumberFormat="1" applyFont="1" applyFill="1" applyBorder="1" applyAlignment="1">
      <alignment horizontal="center" vertical="center" shrinkToFit="1"/>
    </xf>
    <xf numFmtId="183" fontId="23" fillId="10" borderId="39" xfId="0" applyNumberFormat="1" applyFont="1" applyFill="1" applyBorder="1" applyAlignment="1">
      <alignment horizontal="center" vertical="center" shrinkToFit="1"/>
    </xf>
    <xf numFmtId="176" fontId="7" fillId="9" borderId="2" xfId="0" applyNumberFormat="1" applyFont="1" applyFill="1" applyBorder="1" applyAlignment="1">
      <alignment horizontal="center" vertical="center" shrinkToFit="1"/>
    </xf>
    <xf numFmtId="176" fontId="7" fillId="9" borderId="29" xfId="0" applyNumberFormat="1" applyFont="1" applyFill="1" applyBorder="1" applyAlignment="1">
      <alignment horizontal="center" vertical="center" shrinkToFit="1"/>
    </xf>
    <xf numFmtId="176" fontId="7" fillId="9" borderId="26" xfId="0" applyNumberFormat="1" applyFont="1" applyFill="1" applyBorder="1" applyAlignment="1">
      <alignment horizontal="center" vertical="center" shrinkToFit="1"/>
    </xf>
    <xf numFmtId="9" fontId="7" fillId="9" borderId="2" xfId="0" applyNumberFormat="1" applyFont="1" applyFill="1" applyBorder="1" applyAlignment="1">
      <alignment horizontal="center" vertical="center" shrinkToFit="1"/>
    </xf>
    <xf numFmtId="9" fontId="7" fillId="9" borderId="29" xfId="0" applyNumberFormat="1" applyFont="1" applyFill="1" applyBorder="1" applyAlignment="1">
      <alignment horizontal="center" vertical="center" shrinkToFit="1"/>
    </xf>
    <xf numFmtId="9" fontId="7" fillId="9" borderId="26" xfId="0" applyNumberFormat="1" applyFont="1" applyFill="1" applyBorder="1" applyAlignment="1">
      <alignment horizontal="center" vertical="center" shrinkToFit="1"/>
    </xf>
    <xf numFmtId="176" fontId="7" fillId="6" borderId="2" xfId="0" applyNumberFormat="1" applyFont="1" applyFill="1" applyBorder="1" applyAlignment="1">
      <alignment horizontal="center" vertical="center" shrinkToFit="1"/>
    </xf>
    <xf numFmtId="176" fontId="7" fillId="6" borderId="29" xfId="0" applyNumberFormat="1" applyFont="1" applyFill="1" applyBorder="1" applyAlignment="1">
      <alignment horizontal="center" vertical="center" shrinkToFit="1"/>
    </xf>
    <xf numFmtId="176" fontId="7" fillId="6" borderId="26" xfId="0" applyNumberFormat="1" applyFont="1" applyFill="1" applyBorder="1" applyAlignment="1">
      <alignment horizontal="center" vertical="center" shrinkToFit="1"/>
    </xf>
    <xf numFmtId="9" fontId="7" fillId="6" borderId="2" xfId="0" applyNumberFormat="1" applyFont="1" applyFill="1" applyBorder="1" applyAlignment="1">
      <alignment horizontal="center" vertical="center" shrinkToFit="1"/>
    </xf>
    <xf numFmtId="9" fontId="7" fillId="6" borderId="29" xfId="0" applyNumberFormat="1" applyFont="1" applyFill="1" applyBorder="1" applyAlignment="1">
      <alignment horizontal="center" vertical="center" shrinkToFit="1"/>
    </xf>
    <xf numFmtId="9" fontId="7" fillId="6" borderId="26" xfId="0" applyNumberFormat="1" applyFont="1" applyFill="1" applyBorder="1" applyAlignment="1">
      <alignment horizontal="center" vertical="center" shrinkToFit="1"/>
    </xf>
    <xf numFmtId="0" fontId="22" fillId="9" borderId="30" xfId="0" applyFont="1" applyFill="1" applyBorder="1" applyAlignment="1">
      <alignment horizontal="center" vertical="center" shrinkToFit="1"/>
    </xf>
    <xf numFmtId="0" fontId="22" fillId="9" borderId="43" xfId="0" applyFont="1" applyFill="1" applyBorder="1" applyAlignment="1">
      <alignment horizontal="center" vertical="center" shrinkToFit="1"/>
    </xf>
    <xf numFmtId="0" fontId="22" fillId="9" borderId="44" xfId="0" applyFont="1" applyFill="1" applyBorder="1" applyAlignment="1">
      <alignment horizontal="center" vertical="center" shrinkToFit="1"/>
    </xf>
    <xf numFmtId="0" fontId="22" fillId="9" borderId="45" xfId="0" applyFont="1" applyFill="1" applyBorder="1" applyAlignment="1">
      <alignment horizontal="center" vertical="center" shrinkToFit="1"/>
    </xf>
    <xf numFmtId="0" fontId="22" fillId="9" borderId="0" xfId="0" applyFont="1" applyFill="1" applyBorder="1" applyAlignment="1">
      <alignment horizontal="center" vertical="center" shrinkToFit="1"/>
    </xf>
    <xf numFmtId="0" fontId="22" fillId="9" borderId="46" xfId="0" applyFont="1" applyFill="1" applyBorder="1" applyAlignment="1">
      <alignment horizontal="center" vertical="center" shrinkToFit="1"/>
    </xf>
    <xf numFmtId="0" fontId="22" fillId="9" borderId="6" xfId="0" applyFont="1" applyFill="1" applyBorder="1" applyAlignment="1">
      <alignment horizontal="center" vertical="center" shrinkToFit="1"/>
    </xf>
    <xf numFmtId="0" fontId="22" fillId="9" borderId="37" xfId="0" applyFont="1" applyFill="1" applyBorder="1" applyAlignment="1">
      <alignment horizontal="center" vertical="center" shrinkToFit="1"/>
    </xf>
    <xf numFmtId="0" fontId="22" fillId="9" borderId="39" xfId="0" applyFont="1" applyFill="1" applyBorder="1" applyAlignment="1">
      <alignment horizontal="center" vertical="center" shrinkToFit="1"/>
    </xf>
    <xf numFmtId="0" fontId="22" fillId="6" borderId="30" xfId="0" applyFont="1" applyFill="1" applyBorder="1" applyAlignment="1">
      <alignment horizontal="center" vertical="center" shrinkToFit="1"/>
    </xf>
    <xf numFmtId="0" fontId="22" fillId="6" borderId="43" xfId="0" applyFont="1" applyFill="1" applyBorder="1" applyAlignment="1">
      <alignment horizontal="center" vertical="center" shrinkToFit="1"/>
    </xf>
    <xf numFmtId="0" fontId="22" fillId="6" borderId="44" xfId="0" applyFont="1" applyFill="1" applyBorder="1" applyAlignment="1">
      <alignment horizontal="center" vertical="center" shrinkToFit="1"/>
    </xf>
    <xf numFmtId="0" fontId="22" fillId="6" borderId="45" xfId="0" applyFont="1" applyFill="1" applyBorder="1" applyAlignment="1">
      <alignment horizontal="center" vertical="center" shrinkToFit="1"/>
    </xf>
    <xf numFmtId="0" fontId="22" fillId="6" borderId="0" xfId="0" applyFont="1" applyFill="1" applyBorder="1" applyAlignment="1">
      <alignment horizontal="center" vertical="center" shrinkToFit="1"/>
    </xf>
    <xf numFmtId="0" fontId="22" fillId="6" borderId="46" xfId="0" applyFont="1" applyFill="1" applyBorder="1" applyAlignment="1">
      <alignment horizontal="center" vertical="center" shrinkToFit="1"/>
    </xf>
    <xf numFmtId="0" fontId="22" fillId="6" borderId="6" xfId="0" applyFont="1" applyFill="1" applyBorder="1" applyAlignment="1">
      <alignment horizontal="center" vertical="center" shrinkToFit="1"/>
    </xf>
    <xf numFmtId="0" fontId="22" fillId="6" borderId="37" xfId="0" applyFont="1" applyFill="1" applyBorder="1" applyAlignment="1">
      <alignment horizontal="center" vertical="center" shrinkToFit="1"/>
    </xf>
    <xf numFmtId="0" fontId="22" fillId="6" borderId="39" xfId="0" applyFont="1" applyFill="1" applyBorder="1" applyAlignment="1">
      <alignment horizontal="center" vertical="center" shrinkToFit="1"/>
    </xf>
    <xf numFmtId="0" fontId="22" fillId="11" borderId="30" xfId="0" applyFont="1" applyFill="1" applyBorder="1" applyAlignment="1">
      <alignment horizontal="center" vertical="center" shrinkToFit="1"/>
    </xf>
    <xf numFmtId="0" fontId="22" fillId="11" borderId="43" xfId="0" applyFont="1" applyFill="1" applyBorder="1" applyAlignment="1">
      <alignment horizontal="center" vertical="center" shrinkToFit="1"/>
    </xf>
    <xf numFmtId="0" fontId="22" fillId="11" borderId="44" xfId="0" applyFont="1" applyFill="1" applyBorder="1" applyAlignment="1">
      <alignment horizontal="center" vertical="center" shrinkToFit="1"/>
    </xf>
    <xf numFmtId="0" fontId="22" fillId="11" borderId="45" xfId="0" applyFont="1" applyFill="1" applyBorder="1" applyAlignment="1">
      <alignment horizontal="center" vertical="center" shrinkToFit="1"/>
    </xf>
    <xf numFmtId="0" fontId="22" fillId="11" borderId="0" xfId="0" applyFont="1" applyFill="1" applyBorder="1" applyAlignment="1">
      <alignment horizontal="center" vertical="center" shrinkToFit="1"/>
    </xf>
    <xf numFmtId="0" fontId="22" fillId="11" borderId="46" xfId="0" applyFont="1" applyFill="1" applyBorder="1" applyAlignment="1">
      <alignment horizontal="center" vertical="center" shrinkToFit="1"/>
    </xf>
    <xf numFmtId="0" fontId="22" fillId="11" borderId="6" xfId="0" applyFont="1" applyFill="1" applyBorder="1" applyAlignment="1">
      <alignment horizontal="center" vertical="center" shrinkToFit="1"/>
    </xf>
    <xf numFmtId="0" fontId="22" fillId="11" borderId="37" xfId="0" applyFont="1" applyFill="1" applyBorder="1" applyAlignment="1">
      <alignment horizontal="center" vertical="center" shrinkToFit="1"/>
    </xf>
    <xf numFmtId="0" fontId="22" fillId="11" borderId="39" xfId="0" applyFont="1" applyFill="1" applyBorder="1" applyAlignment="1">
      <alignment horizontal="center" vertical="center" shrinkToFit="1"/>
    </xf>
    <xf numFmtId="9" fontId="7" fillId="11" borderId="2" xfId="0" applyNumberFormat="1" applyFont="1" applyFill="1" applyBorder="1" applyAlignment="1">
      <alignment horizontal="center" vertical="center" shrinkToFit="1"/>
    </xf>
    <xf numFmtId="9" fontId="7" fillId="11" borderId="29" xfId="0" applyNumberFormat="1" applyFont="1" applyFill="1" applyBorder="1" applyAlignment="1">
      <alignment horizontal="center" vertical="center" shrinkToFit="1"/>
    </xf>
    <xf numFmtId="9" fontId="7" fillId="11" borderId="26" xfId="0" applyNumberFormat="1" applyFont="1" applyFill="1" applyBorder="1" applyAlignment="1">
      <alignment horizontal="center" vertical="center" shrinkToFit="1"/>
    </xf>
    <xf numFmtId="0" fontId="22" fillId="5" borderId="30" xfId="0" applyFont="1" applyFill="1" applyBorder="1" applyAlignment="1">
      <alignment horizontal="center" vertical="center" shrinkToFit="1"/>
    </xf>
    <xf numFmtId="0" fontId="22" fillId="5" borderId="43" xfId="0" applyFont="1" applyFill="1" applyBorder="1" applyAlignment="1">
      <alignment horizontal="center" vertical="center" shrinkToFit="1"/>
    </xf>
    <xf numFmtId="0" fontId="22" fillId="5" borderId="44" xfId="0" applyFont="1" applyFill="1" applyBorder="1" applyAlignment="1">
      <alignment horizontal="center" vertical="center" shrinkToFit="1"/>
    </xf>
    <xf numFmtId="0" fontId="22" fillId="5" borderId="45" xfId="0" applyFont="1" applyFill="1" applyBorder="1" applyAlignment="1">
      <alignment horizontal="center" vertical="center" shrinkToFit="1"/>
    </xf>
    <xf numFmtId="0" fontId="22" fillId="5" borderId="0" xfId="0" applyFont="1" applyFill="1" applyBorder="1" applyAlignment="1">
      <alignment horizontal="center" vertical="center" shrinkToFit="1"/>
    </xf>
    <xf numFmtId="0" fontId="22" fillId="5" borderId="46" xfId="0" applyFont="1" applyFill="1" applyBorder="1" applyAlignment="1">
      <alignment horizontal="center" vertical="center" shrinkToFit="1"/>
    </xf>
    <xf numFmtId="0" fontId="22" fillId="5" borderId="6" xfId="0" applyFont="1" applyFill="1" applyBorder="1" applyAlignment="1">
      <alignment horizontal="center" vertical="center" shrinkToFit="1"/>
    </xf>
    <xf numFmtId="0" fontId="22" fillId="5" borderId="37" xfId="0" applyFont="1" applyFill="1" applyBorder="1" applyAlignment="1">
      <alignment horizontal="center" vertical="center" shrinkToFit="1"/>
    </xf>
    <xf numFmtId="0" fontId="22" fillId="5" borderId="39" xfId="0" applyFont="1" applyFill="1" applyBorder="1" applyAlignment="1">
      <alignment horizontal="center" vertical="center" shrinkToFit="1"/>
    </xf>
    <xf numFmtId="0" fontId="22" fillId="10" borderId="30" xfId="0" applyFont="1" applyFill="1" applyBorder="1" applyAlignment="1">
      <alignment horizontal="center" vertical="center" shrinkToFit="1"/>
    </xf>
    <xf numFmtId="0" fontId="22" fillId="10" borderId="43" xfId="0" applyFont="1" applyFill="1" applyBorder="1" applyAlignment="1">
      <alignment horizontal="center" vertical="center" shrinkToFit="1"/>
    </xf>
    <xf numFmtId="0" fontId="22" fillId="10" borderId="44" xfId="0" applyFont="1" applyFill="1" applyBorder="1" applyAlignment="1">
      <alignment horizontal="center" vertical="center" shrinkToFit="1"/>
    </xf>
    <xf numFmtId="0" fontId="22" fillId="10" borderId="45" xfId="0" applyFont="1" applyFill="1" applyBorder="1" applyAlignment="1">
      <alignment horizontal="center" vertical="center" shrinkToFit="1"/>
    </xf>
    <xf numFmtId="0" fontId="22" fillId="10" borderId="0" xfId="0" applyFont="1" applyFill="1" applyBorder="1" applyAlignment="1">
      <alignment horizontal="center" vertical="center" shrinkToFit="1"/>
    </xf>
    <xf numFmtId="0" fontId="22" fillId="10" borderId="46" xfId="0" applyFont="1" applyFill="1" applyBorder="1" applyAlignment="1">
      <alignment horizontal="center" vertical="center" shrinkToFit="1"/>
    </xf>
    <xf numFmtId="0" fontId="22" fillId="10" borderId="6" xfId="0" applyFont="1" applyFill="1" applyBorder="1" applyAlignment="1">
      <alignment horizontal="center" vertical="center" shrinkToFit="1"/>
    </xf>
    <xf numFmtId="0" fontId="22" fillId="10" borderId="37" xfId="0" applyFont="1" applyFill="1" applyBorder="1" applyAlignment="1">
      <alignment horizontal="center" vertical="center" shrinkToFit="1"/>
    </xf>
    <xf numFmtId="0" fontId="22" fillId="10" borderId="39" xfId="0" applyFont="1" applyFill="1" applyBorder="1" applyAlignment="1">
      <alignment horizontal="center" vertical="center" shrinkToFit="1"/>
    </xf>
    <xf numFmtId="0" fontId="30" fillId="9" borderId="2" xfId="0" applyFont="1" applyFill="1" applyBorder="1" applyAlignment="1">
      <alignment horizontal="center" vertical="center" shrinkToFit="1"/>
    </xf>
    <xf numFmtId="0" fontId="30" fillId="9" borderId="29" xfId="0" applyFont="1" applyFill="1" applyBorder="1" applyAlignment="1">
      <alignment horizontal="center" vertical="center" shrinkToFit="1"/>
    </xf>
    <xf numFmtId="0" fontId="30" fillId="9" borderId="26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22" fillId="9" borderId="29" xfId="0" applyFont="1" applyFill="1" applyBorder="1" applyAlignment="1">
      <alignment horizontal="center" vertical="center" shrinkToFit="1"/>
    </xf>
    <xf numFmtId="0" fontId="22" fillId="9" borderId="26" xfId="0" applyFont="1" applyFill="1" applyBorder="1" applyAlignment="1">
      <alignment horizontal="center" vertical="center" shrinkToFit="1"/>
    </xf>
    <xf numFmtId="0" fontId="30" fillId="6" borderId="2" xfId="0" applyFont="1" applyFill="1" applyBorder="1" applyAlignment="1">
      <alignment horizontal="center" vertical="center" shrinkToFit="1"/>
    </xf>
    <xf numFmtId="0" fontId="30" fillId="6" borderId="29" xfId="0" applyFont="1" applyFill="1" applyBorder="1" applyAlignment="1">
      <alignment horizontal="center" vertical="center" shrinkToFit="1"/>
    </xf>
    <xf numFmtId="0" fontId="30" fillId="6" borderId="26" xfId="0" applyFont="1" applyFill="1" applyBorder="1" applyAlignment="1">
      <alignment horizontal="center" vertical="center" shrinkToFit="1"/>
    </xf>
    <xf numFmtId="176" fontId="7" fillId="10" borderId="2" xfId="0" applyNumberFormat="1" applyFont="1" applyFill="1" applyBorder="1" applyAlignment="1">
      <alignment horizontal="center" vertical="center" shrinkToFit="1"/>
    </xf>
    <xf numFmtId="176" fontId="7" fillId="10" borderId="29" xfId="0" applyNumberFormat="1" applyFont="1" applyFill="1" applyBorder="1" applyAlignment="1">
      <alignment horizontal="center" vertical="center" shrinkToFit="1"/>
    </xf>
    <xf numFmtId="176" fontId="7" fillId="10" borderId="26" xfId="0" applyNumberFormat="1" applyFont="1" applyFill="1" applyBorder="1" applyAlignment="1">
      <alignment horizontal="center" vertical="center" shrinkToFit="1"/>
    </xf>
    <xf numFmtId="183" fontId="23" fillId="7" borderId="30" xfId="0" applyNumberFormat="1" applyFont="1" applyFill="1" applyBorder="1" applyAlignment="1">
      <alignment horizontal="center" vertical="center" shrinkToFit="1"/>
    </xf>
    <xf numFmtId="183" fontId="23" fillId="7" borderId="43" xfId="0" applyNumberFormat="1" applyFont="1" applyFill="1" applyBorder="1" applyAlignment="1">
      <alignment horizontal="center" vertical="center" shrinkToFit="1"/>
    </xf>
    <xf numFmtId="183" fontId="23" fillId="7" borderId="44" xfId="0" applyNumberFormat="1" applyFont="1" applyFill="1" applyBorder="1" applyAlignment="1">
      <alignment horizontal="center" vertical="center" shrinkToFit="1"/>
    </xf>
    <xf numFmtId="183" fontId="23" fillId="7" borderId="45" xfId="0" applyNumberFormat="1" applyFont="1" applyFill="1" applyBorder="1" applyAlignment="1">
      <alignment horizontal="center" vertical="center" shrinkToFit="1"/>
    </xf>
    <xf numFmtId="183" fontId="23" fillId="7" borderId="0" xfId="0" applyNumberFormat="1" applyFont="1" applyFill="1" applyBorder="1" applyAlignment="1">
      <alignment horizontal="center" vertical="center" shrinkToFit="1"/>
    </xf>
    <xf numFmtId="183" fontId="23" fillId="7" borderId="46" xfId="0" applyNumberFormat="1" applyFont="1" applyFill="1" applyBorder="1" applyAlignment="1">
      <alignment horizontal="center" vertical="center" shrinkToFit="1"/>
    </xf>
    <xf numFmtId="183" fontId="23" fillId="7" borderId="6" xfId="0" applyNumberFormat="1" applyFont="1" applyFill="1" applyBorder="1" applyAlignment="1">
      <alignment horizontal="center" vertical="center" shrinkToFit="1"/>
    </xf>
    <xf numFmtId="183" fontId="23" fillId="7" borderId="37" xfId="0" applyNumberFormat="1" applyFont="1" applyFill="1" applyBorder="1" applyAlignment="1">
      <alignment horizontal="center" vertical="center" shrinkToFit="1"/>
    </xf>
    <xf numFmtId="183" fontId="23" fillId="7" borderId="39" xfId="0" applyNumberFormat="1" applyFont="1" applyFill="1" applyBorder="1" applyAlignment="1">
      <alignment horizontal="center" vertical="center" shrinkToFit="1"/>
    </xf>
    <xf numFmtId="9" fontId="7" fillId="10" borderId="2" xfId="0" applyNumberFormat="1" applyFont="1" applyFill="1" applyBorder="1" applyAlignment="1">
      <alignment horizontal="center" vertical="center" shrinkToFit="1"/>
    </xf>
    <xf numFmtId="9" fontId="7" fillId="10" borderId="29" xfId="0" applyNumberFormat="1" applyFont="1" applyFill="1" applyBorder="1" applyAlignment="1">
      <alignment horizontal="center" vertical="center" shrinkToFit="1"/>
    </xf>
    <xf numFmtId="9" fontId="7" fillId="10" borderId="26" xfId="0" applyNumberFormat="1" applyFont="1" applyFill="1" applyBorder="1" applyAlignment="1">
      <alignment horizontal="center" vertical="center" shrinkToFit="1"/>
    </xf>
    <xf numFmtId="0" fontId="22" fillId="12" borderId="5" xfId="0" applyFont="1" applyFill="1" applyBorder="1" applyAlignment="1">
      <alignment horizontal="center" vertical="center" shrinkToFit="1"/>
    </xf>
    <xf numFmtId="0" fontId="22" fillId="12" borderId="56" xfId="0" applyFont="1" applyFill="1" applyBorder="1" applyAlignment="1">
      <alignment horizontal="center" vertical="center" shrinkToFit="1"/>
    </xf>
    <xf numFmtId="0" fontId="22" fillId="12" borderId="64" xfId="0" applyFont="1" applyFill="1" applyBorder="1" applyAlignment="1">
      <alignment horizontal="center" vertical="center" shrinkToFit="1"/>
    </xf>
    <xf numFmtId="0" fontId="22" fillId="12" borderId="1" xfId="0" applyFont="1" applyFill="1" applyBorder="1" applyAlignment="1">
      <alignment horizontal="center" vertical="center" shrinkToFit="1"/>
    </xf>
    <xf numFmtId="0" fontId="30" fillId="10" borderId="2" xfId="0" applyFont="1" applyFill="1" applyBorder="1" applyAlignment="1">
      <alignment horizontal="center" vertical="center" shrinkToFit="1"/>
    </xf>
    <xf numFmtId="0" fontId="30" fillId="10" borderId="29" xfId="0" applyFont="1" applyFill="1" applyBorder="1" applyAlignment="1">
      <alignment horizontal="center" vertical="center" shrinkToFit="1"/>
    </xf>
    <xf numFmtId="0" fontId="30" fillId="10" borderId="26" xfId="0" applyFont="1" applyFill="1" applyBorder="1" applyAlignment="1">
      <alignment horizontal="center" vertical="center" shrinkToFit="1"/>
    </xf>
    <xf numFmtId="0" fontId="30" fillId="7" borderId="2" xfId="0" applyFont="1" applyFill="1" applyBorder="1" applyAlignment="1">
      <alignment horizontal="center" vertical="center" shrinkToFit="1"/>
    </xf>
    <xf numFmtId="0" fontId="30" fillId="7" borderId="29" xfId="0" applyFont="1" applyFill="1" applyBorder="1" applyAlignment="1">
      <alignment horizontal="center" vertical="center" shrinkToFit="1"/>
    </xf>
    <xf numFmtId="0" fontId="30" fillId="7" borderId="26" xfId="0" applyFont="1" applyFill="1" applyBorder="1" applyAlignment="1">
      <alignment horizontal="center" vertical="center" shrinkToFit="1"/>
    </xf>
    <xf numFmtId="26" fontId="23" fillId="7" borderId="30" xfId="0" applyNumberFormat="1" applyFont="1" applyFill="1" applyBorder="1" applyAlignment="1">
      <alignment horizontal="center" vertical="center" shrinkToFit="1"/>
    </xf>
    <xf numFmtId="26" fontId="23" fillId="7" borderId="43" xfId="0" applyNumberFormat="1" applyFont="1" applyFill="1" applyBorder="1" applyAlignment="1">
      <alignment horizontal="center" vertical="center" shrinkToFit="1"/>
    </xf>
    <xf numFmtId="26" fontId="23" fillId="7" borderId="44" xfId="0" applyNumberFormat="1" applyFont="1" applyFill="1" applyBorder="1" applyAlignment="1">
      <alignment horizontal="center" vertical="center" shrinkToFit="1"/>
    </xf>
    <xf numFmtId="26" fontId="23" fillId="7" borderId="45" xfId="0" applyNumberFormat="1" applyFont="1" applyFill="1" applyBorder="1" applyAlignment="1">
      <alignment horizontal="center" vertical="center" shrinkToFit="1"/>
    </xf>
    <xf numFmtId="26" fontId="23" fillId="7" borderId="0" xfId="0" applyNumberFormat="1" applyFont="1" applyFill="1" applyBorder="1" applyAlignment="1">
      <alignment horizontal="center" vertical="center" shrinkToFit="1"/>
    </xf>
    <xf numFmtId="26" fontId="23" fillId="7" borderId="46" xfId="0" applyNumberFormat="1" applyFont="1" applyFill="1" applyBorder="1" applyAlignment="1">
      <alignment horizontal="center" vertical="center" shrinkToFit="1"/>
    </xf>
    <xf numFmtId="26" fontId="23" fillId="7" borderId="6" xfId="0" applyNumberFormat="1" applyFont="1" applyFill="1" applyBorder="1" applyAlignment="1">
      <alignment horizontal="center" vertical="center" shrinkToFit="1"/>
    </xf>
    <xf numFmtId="26" fontId="23" fillId="7" borderId="37" xfId="0" applyNumberFormat="1" applyFont="1" applyFill="1" applyBorder="1" applyAlignment="1">
      <alignment horizontal="center" vertical="center" shrinkToFit="1"/>
    </xf>
    <xf numFmtId="26" fontId="23" fillId="7" borderId="39" xfId="0" applyNumberFormat="1" applyFont="1" applyFill="1" applyBorder="1" applyAlignment="1">
      <alignment horizontal="center" vertical="center" shrinkToFit="1"/>
    </xf>
    <xf numFmtId="26" fontId="23" fillId="11" borderId="30" xfId="0" applyNumberFormat="1" applyFont="1" applyFill="1" applyBorder="1" applyAlignment="1">
      <alignment horizontal="center" vertical="center" shrinkToFit="1"/>
    </xf>
    <xf numFmtId="26" fontId="23" fillId="11" borderId="43" xfId="0" applyNumberFormat="1" applyFont="1" applyFill="1" applyBorder="1" applyAlignment="1">
      <alignment horizontal="center" vertical="center" shrinkToFit="1"/>
    </xf>
    <xf numFmtId="26" fontId="23" fillId="11" borderId="44" xfId="0" applyNumberFormat="1" applyFont="1" applyFill="1" applyBorder="1" applyAlignment="1">
      <alignment horizontal="center" vertical="center" shrinkToFit="1"/>
    </xf>
    <xf numFmtId="26" fontId="23" fillId="11" borderId="45" xfId="0" applyNumberFormat="1" applyFont="1" applyFill="1" applyBorder="1" applyAlignment="1">
      <alignment horizontal="center" vertical="center" shrinkToFit="1"/>
    </xf>
    <xf numFmtId="26" fontId="23" fillId="11" borderId="0" xfId="0" applyNumberFormat="1" applyFont="1" applyFill="1" applyBorder="1" applyAlignment="1">
      <alignment horizontal="center" vertical="center" shrinkToFit="1"/>
    </xf>
    <xf numFmtId="26" fontId="23" fillId="11" borderId="46" xfId="0" applyNumberFormat="1" applyFont="1" applyFill="1" applyBorder="1" applyAlignment="1">
      <alignment horizontal="center" vertical="center" shrinkToFit="1"/>
    </xf>
    <xf numFmtId="26" fontId="23" fillId="11" borderId="6" xfId="0" applyNumberFormat="1" applyFont="1" applyFill="1" applyBorder="1" applyAlignment="1">
      <alignment horizontal="center" vertical="center" shrinkToFit="1"/>
    </xf>
    <xf numFmtId="26" fontId="23" fillId="11" borderId="37" xfId="0" applyNumberFormat="1" applyFont="1" applyFill="1" applyBorder="1" applyAlignment="1">
      <alignment horizontal="center" vertical="center" shrinkToFit="1"/>
    </xf>
    <xf numFmtId="26" fontId="23" fillId="11" borderId="39" xfId="0" applyNumberFormat="1" applyFont="1" applyFill="1" applyBorder="1" applyAlignment="1">
      <alignment horizontal="center" vertical="center" shrinkToFit="1"/>
    </xf>
    <xf numFmtId="183" fontId="23" fillId="11" borderId="30" xfId="0" applyNumberFormat="1" applyFont="1" applyFill="1" applyBorder="1" applyAlignment="1">
      <alignment horizontal="center" vertical="center" shrinkToFit="1"/>
    </xf>
    <xf numFmtId="183" fontId="23" fillId="11" borderId="43" xfId="0" applyNumberFormat="1" applyFont="1" applyFill="1" applyBorder="1" applyAlignment="1">
      <alignment horizontal="center" vertical="center" shrinkToFit="1"/>
    </xf>
    <xf numFmtId="183" fontId="23" fillId="11" borderId="44" xfId="0" applyNumberFormat="1" applyFont="1" applyFill="1" applyBorder="1" applyAlignment="1">
      <alignment horizontal="center" vertical="center" shrinkToFit="1"/>
    </xf>
    <xf numFmtId="183" fontId="23" fillId="11" borderId="45" xfId="0" applyNumberFormat="1" applyFont="1" applyFill="1" applyBorder="1" applyAlignment="1">
      <alignment horizontal="center" vertical="center" shrinkToFit="1"/>
    </xf>
    <xf numFmtId="183" fontId="23" fillId="11" borderId="0" xfId="0" applyNumberFormat="1" applyFont="1" applyFill="1" applyBorder="1" applyAlignment="1">
      <alignment horizontal="center" vertical="center" shrinkToFit="1"/>
    </xf>
    <xf numFmtId="183" fontId="23" fillId="11" borderId="46" xfId="0" applyNumberFormat="1" applyFont="1" applyFill="1" applyBorder="1" applyAlignment="1">
      <alignment horizontal="center" vertical="center" shrinkToFit="1"/>
    </xf>
    <xf numFmtId="183" fontId="23" fillId="11" borderId="6" xfId="0" applyNumberFormat="1" applyFont="1" applyFill="1" applyBorder="1" applyAlignment="1">
      <alignment horizontal="center" vertical="center" shrinkToFit="1"/>
    </xf>
    <xf numFmtId="183" fontId="23" fillId="11" borderId="37" xfId="0" applyNumberFormat="1" applyFont="1" applyFill="1" applyBorder="1" applyAlignment="1">
      <alignment horizontal="center" vertical="center" shrinkToFit="1"/>
    </xf>
    <xf numFmtId="183" fontId="23" fillId="11" borderId="39" xfId="0" applyNumberFormat="1" applyFont="1" applyFill="1" applyBorder="1" applyAlignment="1">
      <alignment horizontal="center" vertical="center" shrinkToFit="1"/>
    </xf>
    <xf numFmtId="176" fontId="7" fillId="7" borderId="2" xfId="0" applyNumberFormat="1" applyFont="1" applyFill="1" applyBorder="1" applyAlignment="1">
      <alignment horizontal="center" vertical="center" shrinkToFit="1"/>
    </xf>
    <xf numFmtId="176" fontId="7" fillId="7" borderId="29" xfId="0" applyNumberFormat="1" applyFont="1" applyFill="1" applyBorder="1" applyAlignment="1">
      <alignment horizontal="center" vertical="center" shrinkToFit="1"/>
    </xf>
    <xf numFmtId="176" fontId="7" fillId="7" borderId="26" xfId="0" applyNumberFormat="1" applyFont="1" applyFill="1" applyBorder="1" applyAlignment="1">
      <alignment horizontal="center" vertical="center" shrinkToFit="1"/>
    </xf>
    <xf numFmtId="9" fontId="7" fillId="7" borderId="2" xfId="0" applyNumberFormat="1" applyFont="1" applyFill="1" applyBorder="1" applyAlignment="1">
      <alignment horizontal="center" vertical="center" shrinkToFit="1"/>
    </xf>
    <xf numFmtId="9" fontId="7" fillId="7" borderId="29" xfId="0" applyNumberFormat="1" applyFont="1" applyFill="1" applyBorder="1" applyAlignment="1">
      <alignment horizontal="center" vertical="center" shrinkToFit="1"/>
    </xf>
    <xf numFmtId="9" fontId="7" fillId="7" borderId="26" xfId="0" applyNumberFormat="1" applyFont="1" applyFill="1" applyBorder="1" applyAlignment="1">
      <alignment horizontal="center" vertical="center" shrinkToFit="1"/>
    </xf>
    <xf numFmtId="0" fontId="22" fillId="7" borderId="30" xfId="0" applyFont="1" applyFill="1" applyBorder="1" applyAlignment="1">
      <alignment horizontal="center" vertical="center" shrinkToFit="1"/>
    </xf>
    <xf numFmtId="0" fontId="22" fillId="7" borderId="43" xfId="0" applyFont="1" applyFill="1" applyBorder="1" applyAlignment="1">
      <alignment horizontal="center" vertical="center" shrinkToFit="1"/>
    </xf>
    <xf numFmtId="0" fontId="22" fillId="7" borderId="44" xfId="0" applyFont="1" applyFill="1" applyBorder="1" applyAlignment="1">
      <alignment horizontal="center" vertical="center" shrinkToFit="1"/>
    </xf>
    <xf numFmtId="0" fontId="22" fillId="7" borderId="4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46" xfId="0" applyFont="1" applyFill="1" applyBorder="1" applyAlignment="1">
      <alignment horizontal="center" vertical="center" shrinkToFit="1"/>
    </xf>
    <xf numFmtId="0" fontId="22" fillId="7" borderId="6" xfId="0" applyFont="1" applyFill="1" applyBorder="1" applyAlignment="1">
      <alignment horizontal="center" vertical="center" shrinkToFit="1"/>
    </xf>
    <xf numFmtId="0" fontId="22" fillId="7" borderId="37" xfId="0" applyFont="1" applyFill="1" applyBorder="1" applyAlignment="1">
      <alignment horizontal="center" vertical="center" shrinkToFit="1"/>
    </xf>
    <xf numFmtId="0" fontId="22" fillId="7" borderId="39" xfId="0" applyFont="1" applyFill="1" applyBorder="1" applyAlignment="1">
      <alignment horizontal="center" vertical="center" shrinkToFit="1"/>
    </xf>
    <xf numFmtId="0" fontId="24" fillId="8" borderId="13" xfId="0" applyFont="1" applyFill="1" applyBorder="1" applyAlignment="1">
      <alignment horizontal="center" vertical="center" shrinkToFit="1"/>
    </xf>
    <xf numFmtId="0" fontId="24" fillId="8" borderId="14" xfId="0" applyFont="1" applyFill="1" applyBorder="1" applyAlignment="1">
      <alignment horizontal="center" vertical="center" shrinkToFit="1"/>
    </xf>
    <xf numFmtId="0" fontId="24" fillId="8" borderId="9" xfId="0" applyFont="1" applyFill="1" applyBorder="1" applyAlignment="1">
      <alignment horizontal="center" vertical="center" shrinkToFit="1"/>
    </xf>
    <xf numFmtId="0" fontId="24" fillId="8" borderId="1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183" fontId="23" fillId="0" borderId="1" xfId="0" applyNumberFormat="1" applyFont="1" applyBorder="1" applyAlignment="1">
      <alignment horizontal="center" vertical="center" shrinkToFit="1"/>
    </xf>
    <xf numFmtId="183" fontId="23" fillId="12" borderId="1" xfId="0" applyNumberFormat="1" applyFont="1" applyFill="1" applyBorder="1" applyAlignment="1">
      <alignment horizontal="center" vertical="center" shrinkToFit="1"/>
    </xf>
    <xf numFmtId="0" fontId="24" fillId="8" borderId="28" xfId="0" applyFont="1" applyFill="1" applyBorder="1" applyAlignment="1">
      <alignment horizontal="center" vertical="center" shrinkToFit="1"/>
    </xf>
    <xf numFmtId="0" fontId="24" fillId="8" borderId="15" xfId="0" applyFont="1" applyFill="1" applyBorder="1" applyAlignment="1">
      <alignment horizontal="center" vertical="center" shrinkToFit="1"/>
    </xf>
    <xf numFmtId="183" fontId="23" fillId="12" borderId="5" xfId="0" applyNumberFormat="1" applyFont="1" applyFill="1" applyBorder="1" applyAlignment="1">
      <alignment horizontal="center" vertical="center" shrinkToFit="1"/>
    </xf>
    <xf numFmtId="183" fontId="23" fillId="12" borderId="56" xfId="0" applyNumberFormat="1" applyFont="1" applyFill="1" applyBorder="1" applyAlignment="1">
      <alignment horizontal="center" vertical="center" shrinkToFit="1"/>
    </xf>
    <xf numFmtId="183" fontId="23" fillId="12" borderId="64" xfId="0" applyNumberFormat="1" applyFont="1" applyFill="1" applyBorder="1" applyAlignment="1">
      <alignment horizontal="center" vertical="center" shrinkToFit="1"/>
    </xf>
    <xf numFmtId="26" fontId="23" fillId="12" borderId="5" xfId="0" applyNumberFormat="1" applyFont="1" applyFill="1" applyBorder="1" applyAlignment="1">
      <alignment horizontal="center" vertical="center" shrinkToFit="1"/>
    </xf>
    <xf numFmtId="26" fontId="23" fillId="12" borderId="56" xfId="0" applyNumberFormat="1" applyFont="1" applyFill="1" applyBorder="1" applyAlignment="1">
      <alignment horizontal="center" vertical="center" shrinkToFit="1"/>
    </xf>
    <xf numFmtId="26" fontId="23" fillId="12" borderId="64" xfId="0" applyNumberFormat="1" applyFont="1" applyFill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176" fontId="23" fillId="0" borderId="3" xfId="0" applyNumberFormat="1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176" fontId="23" fillId="0" borderId="15" xfId="0" applyNumberFormat="1" applyFont="1" applyBorder="1" applyAlignment="1">
      <alignment horizontal="center" vertical="center" shrinkToFit="1"/>
    </xf>
    <xf numFmtId="176" fontId="23" fillId="0" borderId="16" xfId="0" applyNumberFormat="1" applyFont="1" applyBorder="1" applyAlignment="1">
      <alignment horizontal="center" vertical="center" shrinkToFit="1"/>
    </xf>
    <xf numFmtId="0" fontId="23" fillId="12" borderId="1" xfId="0" applyNumberFormat="1" applyFont="1" applyFill="1" applyBorder="1" applyAlignment="1">
      <alignment horizontal="center" vertical="center" shrinkToFit="1"/>
    </xf>
    <xf numFmtId="26" fontId="23" fillId="12" borderId="1" xfId="0" applyNumberFormat="1" applyFont="1" applyFill="1" applyBorder="1" applyAlignment="1">
      <alignment horizontal="center" vertical="center" shrinkToFit="1"/>
    </xf>
    <xf numFmtId="0" fontId="30" fillId="12" borderId="5" xfId="0" applyFont="1" applyFill="1" applyBorder="1" applyAlignment="1">
      <alignment horizontal="center" vertical="center" shrinkToFit="1"/>
    </xf>
    <xf numFmtId="0" fontId="30" fillId="12" borderId="56" xfId="0" applyFont="1" applyFill="1" applyBorder="1" applyAlignment="1">
      <alignment horizontal="center" vertical="center" shrinkToFit="1"/>
    </xf>
    <xf numFmtId="0" fontId="30" fillId="12" borderId="64" xfId="0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T7" sqref="T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97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98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4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07" t="s">
        <v>8</v>
      </c>
      <c r="P4" s="307"/>
      <c r="Q4" s="30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4363</v>
      </c>
      <c r="C5" s="68" t="s">
        <v>103</v>
      </c>
      <c r="D5" s="200" t="s">
        <v>104</v>
      </c>
      <c r="E5" s="181" t="s">
        <v>92</v>
      </c>
      <c r="F5" s="170">
        <v>930</v>
      </c>
      <c r="G5" s="118" t="s">
        <v>105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4364</v>
      </c>
      <c r="C6" s="67" t="s">
        <v>106</v>
      </c>
      <c r="D6" s="200" t="s">
        <v>107</v>
      </c>
      <c r="E6" s="181" t="s">
        <v>91</v>
      </c>
      <c r="F6" s="171">
        <v>1100</v>
      </c>
      <c r="G6" s="118" t="s">
        <v>108</v>
      </c>
      <c r="H6" s="91"/>
      <c r="I6" s="124">
        <v>200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 t="s">
        <v>109</v>
      </c>
      <c r="P6" s="312"/>
      <c r="Q6" s="313"/>
      <c r="R6" s="132" t="s">
        <v>100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14"/>
      <c r="P7" s="315"/>
      <c r="Q7" s="316"/>
      <c r="R7" s="134" t="s">
        <v>101</v>
      </c>
      <c r="S7" s="31">
        <v>0.41666666666666669</v>
      </c>
      <c r="T7" s="32">
        <v>0.625</v>
      </c>
      <c r="U7" s="92">
        <f t="shared" si="0"/>
        <v>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17"/>
      <c r="P8" s="318"/>
      <c r="Q8" s="319"/>
      <c r="R8" s="26" t="s">
        <v>102</v>
      </c>
      <c r="S8" s="31">
        <v>0.41666666666666669</v>
      </c>
      <c r="T8" s="32">
        <v>0.625</v>
      </c>
      <c r="U8" s="92">
        <f t="shared" si="0"/>
        <v>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7"/>
      <c r="P9" s="318"/>
      <c r="Q9" s="31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4"/>
      <c r="P10" s="305"/>
      <c r="Q10" s="30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4"/>
      <c r="P16" s="315"/>
      <c r="Q16" s="316"/>
      <c r="R16" s="82">
        <f>H32/U16</f>
        <v>7.6923076923076927E-2</v>
      </c>
      <c r="S16" s="83">
        <f>H32/(U16-U5)</f>
        <v>0.1111111111111111</v>
      </c>
      <c r="T16" s="83">
        <f>C32/U16</f>
        <v>10.576923076923077</v>
      </c>
      <c r="U16" s="83">
        <f>SUM(U5:U15)</f>
        <v>26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275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11">
        <f t="shared" ref="H30:M30" si="3">SUM(H5:H29)</f>
        <v>0</v>
      </c>
      <c r="I30" s="105">
        <f>SUM(I5:I29)</f>
        <v>275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12">
        <f t="shared" ref="H31:J31" si="4">H30+H62+H94</f>
        <v>0</v>
      </c>
      <c r="I31" s="103">
        <f t="shared" si="4"/>
        <v>275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17">
        <f>COUNT(H5:H29,H37:H61,H69:H93)</f>
        <v>0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8">
        <f>H31+I31+L31+M31</f>
        <v>275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275</v>
      </c>
      <c r="D32" s="196"/>
      <c r="E32" s="107"/>
      <c r="F32" s="331" t="s">
        <v>53</v>
      </c>
      <c r="G32" s="331"/>
      <c r="H32" s="109">
        <f>COUNT(B5:B29,B37:B61,B69:B93)</f>
        <v>2</v>
      </c>
      <c r="I32" s="332" t="s">
        <v>54</v>
      </c>
      <c r="J32" s="332"/>
      <c r="K32" s="108">
        <f>C32/H32</f>
        <v>137.5</v>
      </c>
      <c r="L32" s="218"/>
      <c r="M32" s="218"/>
      <c r="N32" s="218">
        <f>H31/C32</f>
        <v>0</v>
      </c>
      <c r="O32" s="218">
        <f>I31/C32</f>
        <v>1</v>
      </c>
      <c r="P32" s="218">
        <f>K31/C32</f>
        <v>0</v>
      </c>
      <c r="Q32" s="110">
        <f>J31/C32</f>
        <v>0</v>
      </c>
      <c r="R32" s="99" t="s">
        <v>82</v>
      </c>
      <c r="S32" s="213">
        <f>I31+M31</f>
        <v>275</v>
      </c>
      <c r="T32" s="340"/>
      <c r="U32" s="341"/>
      <c r="V32" s="55"/>
      <c r="W32" s="55"/>
      <c r="X32" s="56" t="s">
        <v>27</v>
      </c>
      <c r="Y32" s="56"/>
      <c r="Z32" s="54">
        <f>I31</f>
        <v>275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-2470</v>
      </c>
      <c r="AE33" s="37"/>
      <c r="AF33" s="37"/>
      <c r="AG33" s="59"/>
      <c r="AH33" s="37"/>
    </row>
    <row r="34" spans="1:34" ht="18" thickBot="1" x14ac:dyDescent="0.45">
      <c r="A34" s="297" t="str">
        <f>A2</f>
        <v>B2   7 - 3 - 2022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SHOWER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4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07" t="s">
        <v>8</v>
      </c>
      <c r="P36" s="307"/>
      <c r="Q36" s="30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 7 - 3 - 2022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SHOWER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4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07" t="s">
        <v>8</v>
      </c>
      <c r="P68" s="307"/>
      <c r="Q68" s="30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6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opLeftCell="A7" zoomScale="110" zoomScaleNormal="110" zoomScaleSheetLayoutView="77" workbookViewId="0">
      <selection activeCell="H8" sqref="H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110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111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2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4365</v>
      </c>
      <c r="C5" s="68" t="s">
        <v>112</v>
      </c>
      <c r="D5" s="200"/>
      <c r="E5" s="181" t="s">
        <v>92</v>
      </c>
      <c r="F5" s="170">
        <v>1100</v>
      </c>
      <c r="G5" s="118" t="s">
        <v>113</v>
      </c>
      <c r="H5" s="91">
        <v>150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0.34375</v>
      </c>
      <c r="T5" s="32">
        <v>0.67708333333333337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4366</v>
      </c>
      <c r="C6" s="67" t="s">
        <v>114</v>
      </c>
      <c r="D6" s="200" t="s">
        <v>115</v>
      </c>
      <c r="E6" s="181" t="s">
        <v>91</v>
      </c>
      <c r="F6" s="171">
        <v>1315</v>
      </c>
      <c r="G6" s="118" t="s">
        <v>105</v>
      </c>
      <c r="H6" s="91"/>
      <c r="I6" s="124">
        <v>100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/>
      <c r="P6" s="312"/>
      <c r="Q6" s="313"/>
      <c r="R6" s="132" t="s">
        <v>101</v>
      </c>
      <c r="S6" s="31">
        <v>0.35416666666666669</v>
      </c>
      <c r="T6" s="32">
        <v>0.66666666666666663</v>
      </c>
      <c r="U6" s="92">
        <f t="shared" si="0"/>
        <v>7.4999999999999982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4367</v>
      </c>
      <c r="C7" s="67" t="s">
        <v>116</v>
      </c>
      <c r="D7" s="200" t="s">
        <v>117</v>
      </c>
      <c r="E7" s="181" t="s">
        <v>91</v>
      </c>
      <c r="F7" s="171">
        <v>1415</v>
      </c>
      <c r="G7" s="118" t="s">
        <v>108</v>
      </c>
      <c r="H7" s="91">
        <v>200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 t="s">
        <v>41</v>
      </c>
      <c r="P7" s="315"/>
      <c r="Q7" s="316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17"/>
      <c r="P8" s="318"/>
      <c r="Q8" s="319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7"/>
      <c r="P9" s="318"/>
      <c r="Q9" s="31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4"/>
      <c r="P10" s="305"/>
      <c r="Q10" s="30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4"/>
      <c r="P16" s="315"/>
      <c r="Q16" s="316"/>
      <c r="R16" s="82">
        <f>H32/U16</f>
        <v>0.19354838709677422</v>
      </c>
      <c r="S16" s="83">
        <f>H32/(U16-U5)</f>
        <v>0.40000000000000008</v>
      </c>
      <c r="T16" s="83">
        <f>C32/U16</f>
        <v>29.032258064516132</v>
      </c>
      <c r="U16" s="83">
        <f>SUM(U5:U15)</f>
        <v>15.499999999999998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450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350</v>
      </c>
      <c r="I30" s="105">
        <f>SUM(I5:I29)</f>
        <v>100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350</v>
      </c>
      <c r="I31" s="103">
        <f t="shared" si="4"/>
        <v>100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1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350</v>
      </c>
      <c r="T31" s="338">
        <f>H31+I31+L31+M31</f>
        <v>450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450</v>
      </c>
      <c r="D32" s="196"/>
      <c r="E32" s="107"/>
      <c r="F32" s="331" t="s">
        <v>53</v>
      </c>
      <c r="G32" s="331"/>
      <c r="H32" s="109">
        <f>COUNT(B5:B29,B37:B61,B69:B93)</f>
        <v>3</v>
      </c>
      <c r="I32" s="332" t="s">
        <v>54</v>
      </c>
      <c r="J32" s="332"/>
      <c r="K32" s="108">
        <f>C32/H32</f>
        <v>150</v>
      </c>
      <c r="L32" s="260"/>
      <c r="M32" s="260"/>
      <c r="N32" s="260">
        <f>H31/C32</f>
        <v>0.77777777777777779</v>
      </c>
      <c r="O32" s="260">
        <f>I31/C32</f>
        <v>0.22222222222222221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100</v>
      </c>
      <c r="T32" s="340"/>
      <c r="U32" s="341"/>
      <c r="V32" s="55"/>
      <c r="W32" s="55"/>
      <c r="X32" s="56" t="s">
        <v>27</v>
      </c>
      <c r="Y32" s="56"/>
      <c r="Z32" s="54">
        <f>I31</f>
        <v>100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-2645</v>
      </c>
      <c r="AE33" s="37"/>
      <c r="AF33" s="37"/>
      <c r="AG33" s="59"/>
      <c r="AH33" s="37"/>
    </row>
    <row r="34" spans="1:34" ht="18" thickBot="1" x14ac:dyDescent="0.45">
      <c r="A34" s="297" t="str">
        <f>A2</f>
        <v>B2  08 - 3 - 2022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RAIN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2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08 - 3 - 2022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RAIN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2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6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T6" sqref="T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118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98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4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4368</v>
      </c>
      <c r="C5" s="68" t="s">
        <v>122</v>
      </c>
      <c r="D5" s="200" t="s">
        <v>123</v>
      </c>
      <c r="E5" s="181" t="s">
        <v>92</v>
      </c>
      <c r="F5" s="170">
        <v>950</v>
      </c>
      <c r="G5" s="118" t="s">
        <v>105</v>
      </c>
      <c r="H5" s="91"/>
      <c r="I5" s="124">
        <v>100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4369</v>
      </c>
      <c r="C6" s="67" t="s">
        <v>124</v>
      </c>
      <c r="D6" s="200" t="s">
        <v>125</v>
      </c>
      <c r="E6" s="181" t="s">
        <v>92</v>
      </c>
      <c r="F6" s="171">
        <v>1045</v>
      </c>
      <c r="G6" s="118" t="s">
        <v>126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45.8</v>
      </c>
      <c r="L6" s="131"/>
      <c r="M6" s="131"/>
      <c r="N6" s="134" t="s">
        <v>99</v>
      </c>
      <c r="O6" s="311" t="s">
        <v>127</v>
      </c>
      <c r="P6" s="312"/>
      <c r="Q6" s="313"/>
      <c r="R6" s="132" t="s">
        <v>100</v>
      </c>
      <c r="S6" s="31">
        <v>0.33333333333333331</v>
      </c>
      <c r="T6" s="32">
        <v>0.39583333333333331</v>
      </c>
      <c r="U6" s="92">
        <f t="shared" si="0"/>
        <v>1.5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4370</v>
      </c>
      <c r="C7" s="67" t="s">
        <v>128</v>
      </c>
      <c r="D7" s="200" t="s">
        <v>129</v>
      </c>
      <c r="E7" s="181" t="s">
        <v>91</v>
      </c>
      <c r="F7" s="171">
        <v>1100</v>
      </c>
      <c r="G7" s="118" t="s">
        <v>130</v>
      </c>
      <c r="H7" s="91"/>
      <c r="I7" s="124">
        <v>125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/>
      <c r="P7" s="315"/>
      <c r="Q7" s="316"/>
      <c r="R7" s="134" t="s">
        <v>101</v>
      </c>
      <c r="S7" s="31">
        <v>0.44791666666666669</v>
      </c>
      <c r="T7" s="32">
        <v>0.66666666666666663</v>
      </c>
      <c r="U7" s="92">
        <f t="shared" si="0"/>
        <v>5.2499999999999982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267">
        <v>4371</v>
      </c>
      <c r="C8" s="27" t="s">
        <v>131</v>
      </c>
      <c r="D8" s="200" t="s">
        <v>132</v>
      </c>
      <c r="E8" s="181" t="s">
        <v>91</v>
      </c>
      <c r="F8" s="171">
        <v>1130</v>
      </c>
      <c r="G8" s="118" t="s">
        <v>133</v>
      </c>
      <c r="H8" s="91">
        <v>55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120</v>
      </c>
      <c r="S8" s="31">
        <v>0.4375</v>
      </c>
      <c r="T8" s="32">
        <v>0.70833333333333337</v>
      </c>
      <c r="U8" s="92">
        <f t="shared" si="0"/>
        <v>6.5000000000000009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4372</v>
      </c>
      <c r="C9" s="63" t="s">
        <v>136</v>
      </c>
      <c r="D9" s="201" t="s">
        <v>137</v>
      </c>
      <c r="E9" s="181" t="s">
        <v>138</v>
      </c>
      <c r="F9" s="172">
        <v>1225</v>
      </c>
      <c r="G9" s="119" t="s">
        <v>108</v>
      </c>
      <c r="H9" s="91"/>
      <c r="I9" s="91">
        <v>200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 t="s">
        <v>121</v>
      </c>
      <c r="S9" s="31">
        <v>0.41666666666666669</v>
      </c>
      <c r="T9" s="32">
        <v>0.61458333333333337</v>
      </c>
      <c r="U9" s="92">
        <f t="shared" si="0"/>
        <v>4.75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4373</v>
      </c>
      <c r="C10" s="28" t="s">
        <v>134</v>
      </c>
      <c r="D10" s="202" t="s">
        <v>135</v>
      </c>
      <c r="E10" s="181" t="s">
        <v>91</v>
      </c>
      <c r="F10" s="173">
        <v>1230</v>
      </c>
      <c r="G10" s="120" t="s">
        <v>105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4"/>
      <c r="P10" s="305"/>
      <c r="Q10" s="30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4374</v>
      </c>
      <c r="C11" s="18" t="s">
        <v>139</v>
      </c>
      <c r="D11" s="203" t="s">
        <v>140</v>
      </c>
      <c r="E11" s="181" t="s">
        <v>91</v>
      </c>
      <c r="F11" s="66">
        <v>1430</v>
      </c>
      <c r="G11" s="121" t="s">
        <v>141</v>
      </c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 t="s">
        <v>142</v>
      </c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4375</v>
      </c>
      <c r="C12" s="64" t="s">
        <v>143</v>
      </c>
      <c r="D12" s="204" t="s">
        <v>144</v>
      </c>
      <c r="E12" s="181" t="s">
        <v>92</v>
      </c>
      <c r="F12" s="173">
        <v>1445</v>
      </c>
      <c r="G12" s="119" t="s">
        <v>105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4376</v>
      </c>
      <c r="C13" s="64" t="s">
        <v>145</v>
      </c>
      <c r="D13" s="204" t="s">
        <v>146</v>
      </c>
      <c r="E13" s="181" t="s">
        <v>91</v>
      </c>
      <c r="F13" s="173">
        <v>1600</v>
      </c>
      <c r="G13" s="119" t="s">
        <v>105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4"/>
      <c r="P16" s="315"/>
      <c r="Q16" s="316"/>
      <c r="R16" s="82">
        <f>H32/U16</f>
        <v>0.33333333333333331</v>
      </c>
      <c r="S16" s="83">
        <f>H32/(U16-U5)</f>
        <v>0.5</v>
      </c>
      <c r="T16" s="83">
        <f>C32/U16</f>
        <v>28.548148148148147</v>
      </c>
      <c r="U16" s="83">
        <f>SUM(U5:U15)</f>
        <v>27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4">
        <f>((C32+(R26+S26+T26)*0.5))</f>
        <v>795.8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50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 t="s">
        <v>119</v>
      </c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130</v>
      </c>
      <c r="I30" s="105">
        <f>SUM(I5:I29)</f>
        <v>595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45.8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130</v>
      </c>
      <c r="I31" s="103">
        <f t="shared" si="4"/>
        <v>595</v>
      </c>
      <c r="J31" s="103">
        <f t="shared" si="4"/>
        <v>0</v>
      </c>
      <c r="K31" s="103">
        <f>K30+K62+K94</f>
        <v>45.8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130</v>
      </c>
      <c r="T31" s="338">
        <f>H31+I31+L31+M31</f>
        <v>725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770.8</v>
      </c>
      <c r="D32" s="196"/>
      <c r="E32" s="107"/>
      <c r="F32" s="331" t="s">
        <v>53</v>
      </c>
      <c r="G32" s="331"/>
      <c r="H32" s="109">
        <f>COUNT(B5:B29,B37:B61,B69:B93)</f>
        <v>9</v>
      </c>
      <c r="I32" s="332" t="s">
        <v>54</v>
      </c>
      <c r="J32" s="332"/>
      <c r="K32" s="108">
        <f>C32/H32</f>
        <v>85.644444444444446</v>
      </c>
      <c r="L32" s="260"/>
      <c r="M32" s="260"/>
      <c r="N32" s="260">
        <f>H31/C32</f>
        <v>0.16865594187856772</v>
      </c>
      <c r="O32" s="260">
        <f>I31/C32</f>
        <v>0.77192527244421383</v>
      </c>
      <c r="P32" s="260">
        <f>K31/C32</f>
        <v>5.9418785677218477E-2</v>
      </c>
      <c r="Q32" s="110">
        <f>J31/C32</f>
        <v>0</v>
      </c>
      <c r="R32" s="99" t="s">
        <v>82</v>
      </c>
      <c r="S32" s="266">
        <f>I31+M31</f>
        <v>595</v>
      </c>
      <c r="T32" s="340"/>
      <c r="U32" s="341"/>
      <c r="V32" s="55"/>
      <c r="W32" s="55"/>
      <c r="X32" s="56" t="s">
        <v>27</v>
      </c>
      <c r="Y32" s="56"/>
      <c r="Z32" s="54">
        <f>I31</f>
        <v>595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-2150</v>
      </c>
      <c r="AE33" s="37"/>
      <c r="AF33" s="37"/>
      <c r="AG33" s="59"/>
      <c r="AH33" s="37"/>
    </row>
    <row r="34" spans="1:34" ht="18" thickBot="1" x14ac:dyDescent="0.45">
      <c r="A34" s="297" t="str">
        <f>A2</f>
        <v>B2  09 - 3 - 2022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SHOWER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4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09 - 3 - 2022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SHOWER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4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6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K13" sqref="K1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147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148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6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4377</v>
      </c>
      <c r="C5" s="68" t="s">
        <v>149</v>
      </c>
      <c r="D5" s="200" t="s">
        <v>150</v>
      </c>
      <c r="E5" s="181" t="s">
        <v>91</v>
      </c>
      <c r="F5" s="170">
        <v>855</v>
      </c>
      <c r="G5" s="118" t="s">
        <v>151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268">
        <v>2</v>
      </c>
      <c r="B6" s="269">
        <v>4378</v>
      </c>
      <c r="C6" s="270" t="s">
        <v>152</v>
      </c>
      <c r="D6" s="271" t="s">
        <v>153</v>
      </c>
      <c r="E6" s="272" t="s">
        <v>92</v>
      </c>
      <c r="F6" s="273">
        <v>925</v>
      </c>
      <c r="G6" s="274" t="s">
        <v>154</v>
      </c>
      <c r="H6" s="275"/>
      <c r="I6" s="275">
        <v>480</v>
      </c>
      <c r="J6" s="275" t="str">
        <f t="shared" ref="J6:J29" si="1">IF(G6="RSL","55","0")</f>
        <v>0</v>
      </c>
      <c r="K6" s="275" t="str">
        <f t="shared" ref="K6:K29" si="2">IF(G6="GVS","37.5",IF(G6="GVM","41.5",IF(G6="GVL","50",IF(G6="PCS","45.8",IF(G6="PCM","50",IF(G6="PCL","58.3","0"))))))</f>
        <v>0</v>
      </c>
      <c r="L6" s="276"/>
      <c r="M6" s="276"/>
      <c r="N6" s="277" t="s">
        <v>99</v>
      </c>
      <c r="O6" s="385" t="s">
        <v>79</v>
      </c>
      <c r="P6" s="386"/>
      <c r="Q6" s="387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4379</v>
      </c>
      <c r="C7" s="67" t="s">
        <v>155</v>
      </c>
      <c r="D7" s="200" t="s">
        <v>156</v>
      </c>
      <c r="E7" s="181" t="s">
        <v>92</v>
      </c>
      <c r="F7" s="171">
        <v>930</v>
      </c>
      <c r="G7" s="118" t="s">
        <v>113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/>
      <c r="P7" s="315"/>
      <c r="Q7" s="316"/>
      <c r="R7" s="134" t="s">
        <v>101</v>
      </c>
      <c r="S7" s="31">
        <v>0.4375</v>
      </c>
      <c r="T7" s="32">
        <v>0.70833333333333337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4380</v>
      </c>
      <c r="C8" s="27" t="s">
        <v>157</v>
      </c>
      <c r="D8" s="200" t="s">
        <v>158</v>
      </c>
      <c r="E8" s="181" t="s">
        <v>92</v>
      </c>
      <c r="F8" s="171">
        <v>1000</v>
      </c>
      <c r="G8" s="118" t="s">
        <v>105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 t="s">
        <v>159</v>
      </c>
      <c r="P8" s="318"/>
      <c r="Q8" s="319"/>
      <c r="R8" s="26" t="s">
        <v>102</v>
      </c>
      <c r="S8" s="31">
        <v>0.40625</v>
      </c>
      <c r="T8" s="32">
        <v>0.70833333333333337</v>
      </c>
      <c r="U8" s="92">
        <f t="shared" si="0"/>
        <v>7.2500000000000009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4381</v>
      </c>
      <c r="C9" s="63" t="s">
        <v>160</v>
      </c>
      <c r="D9" s="201" t="s">
        <v>161</v>
      </c>
      <c r="E9" s="181" t="s">
        <v>92</v>
      </c>
      <c r="F9" s="172">
        <v>1015</v>
      </c>
      <c r="G9" s="119" t="s">
        <v>105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 t="s">
        <v>120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278">
        <v>6</v>
      </c>
      <c r="B10" s="269">
        <v>4382</v>
      </c>
      <c r="C10" s="279" t="s">
        <v>162</v>
      </c>
      <c r="D10" s="280" t="s">
        <v>163</v>
      </c>
      <c r="E10" s="272" t="s">
        <v>91</v>
      </c>
      <c r="F10" s="281">
        <v>1020</v>
      </c>
      <c r="G10" s="282" t="s">
        <v>154</v>
      </c>
      <c r="H10" s="283"/>
      <c r="I10" s="283">
        <v>400</v>
      </c>
      <c r="J10" s="275" t="str">
        <f t="shared" si="1"/>
        <v>0</v>
      </c>
      <c r="K10" s="275" t="str">
        <f t="shared" si="2"/>
        <v>0</v>
      </c>
      <c r="L10" s="276"/>
      <c r="M10" s="276"/>
      <c r="N10" s="277" t="s">
        <v>99</v>
      </c>
      <c r="O10" s="388" t="s">
        <v>184</v>
      </c>
      <c r="P10" s="389"/>
      <c r="Q10" s="390"/>
      <c r="R10" s="26" t="s">
        <v>179</v>
      </c>
      <c r="S10" s="31">
        <v>0.33333333333333331</v>
      </c>
      <c r="T10" s="32">
        <v>0.70833333333333337</v>
      </c>
      <c r="U10" s="92">
        <f t="shared" si="0"/>
        <v>9.0000000000000018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4383</v>
      </c>
      <c r="C11" s="18" t="s">
        <v>164</v>
      </c>
      <c r="D11" s="203" t="s">
        <v>165</v>
      </c>
      <c r="E11" s="181" t="s">
        <v>92</v>
      </c>
      <c r="F11" s="66">
        <v>1035</v>
      </c>
      <c r="G11" s="121" t="s">
        <v>133</v>
      </c>
      <c r="H11" s="123"/>
      <c r="I11" s="124">
        <v>60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4384</v>
      </c>
      <c r="C12" s="64" t="s">
        <v>166</v>
      </c>
      <c r="D12" s="204" t="s">
        <v>167</v>
      </c>
      <c r="E12" s="181" t="s">
        <v>92</v>
      </c>
      <c r="F12" s="173">
        <v>1045</v>
      </c>
      <c r="G12" s="119" t="s">
        <v>133</v>
      </c>
      <c r="H12" s="123">
        <v>55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4385</v>
      </c>
      <c r="C13" s="64" t="s">
        <v>168</v>
      </c>
      <c r="D13" s="204" t="s">
        <v>169</v>
      </c>
      <c r="E13" s="181" t="s">
        <v>91</v>
      </c>
      <c r="F13" s="173">
        <v>1105</v>
      </c>
      <c r="G13" s="119" t="s">
        <v>170</v>
      </c>
      <c r="H13" s="169"/>
      <c r="I13" s="168"/>
      <c r="J13" s="130" t="str">
        <f t="shared" si="1"/>
        <v>0</v>
      </c>
      <c r="K13" s="130">
        <v>174.9</v>
      </c>
      <c r="L13" s="131"/>
      <c r="M13" s="131"/>
      <c r="N13" s="134" t="s">
        <v>99</v>
      </c>
      <c r="O13" s="314" t="s">
        <v>171</v>
      </c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4386</v>
      </c>
      <c r="C14" s="65" t="s">
        <v>172</v>
      </c>
      <c r="D14" s="205" t="s">
        <v>173</v>
      </c>
      <c r="E14" s="181" t="s">
        <v>91</v>
      </c>
      <c r="F14" s="174">
        <v>1145</v>
      </c>
      <c r="G14" s="122" t="s">
        <v>133</v>
      </c>
      <c r="H14" s="123"/>
      <c r="I14" s="125">
        <v>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4387</v>
      </c>
      <c r="C15" s="65" t="s">
        <v>180</v>
      </c>
      <c r="D15" s="205" t="s">
        <v>181</v>
      </c>
      <c r="E15" s="181" t="s">
        <v>92</v>
      </c>
      <c r="F15" s="174">
        <v>1150</v>
      </c>
      <c r="G15" s="122" t="s">
        <v>105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4388</v>
      </c>
      <c r="C16" s="65" t="s">
        <v>174</v>
      </c>
      <c r="D16" s="205" t="s">
        <v>175</v>
      </c>
      <c r="E16" s="181" t="s">
        <v>92</v>
      </c>
      <c r="F16" s="174">
        <v>1205</v>
      </c>
      <c r="G16" s="122" t="s">
        <v>105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4"/>
      <c r="P16" s="315"/>
      <c r="Q16" s="316"/>
      <c r="R16" s="82">
        <f>H32/U16</f>
        <v>0.35978835978835971</v>
      </c>
      <c r="S16" s="83">
        <f>H32/(U16-U5)</f>
        <v>0.44444444444444436</v>
      </c>
      <c r="T16" s="83">
        <f>C32/U16</f>
        <v>57.564021164021156</v>
      </c>
      <c r="U16" s="83">
        <f>SUM(U5:U15)</f>
        <v>47.250000000000007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278">
        <v>13</v>
      </c>
      <c r="B17" s="274">
        <v>4389</v>
      </c>
      <c r="C17" s="284" t="s">
        <v>176</v>
      </c>
      <c r="D17" s="285"/>
      <c r="E17" s="272" t="s">
        <v>92</v>
      </c>
      <c r="F17" s="286">
        <v>1210</v>
      </c>
      <c r="G17" s="287" t="s">
        <v>185</v>
      </c>
      <c r="H17" s="283"/>
      <c r="I17" s="275">
        <v>400</v>
      </c>
      <c r="J17" s="275" t="str">
        <f t="shared" si="1"/>
        <v>0</v>
      </c>
      <c r="K17" s="275" t="str">
        <f t="shared" si="2"/>
        <v>0</v>
      </c>
      <c r="L17" s="276"/>
      <c r="M17" s="276"/>
      <c r="N17" s="277" t="s">
        <v>99</v>
      </c>
      <c r="O17" s="391" t="s">
        <v>184</v>
      </c>
      <c r="P17" s="391"/>
      <c r="Q17" s="39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4390</v>
      </c>
      <c r="C18" s="18" t="s">
        <v>177</v>
      </c>
      <c r="D18" s="203" t="s">
        <v>178</v>
      </c>
      <c r="E18" s="181" t="s">
        <v>92</v>
      </c>
      <c r="F18" s="66">
        <v>1320</v>
      </c>
      <c r="G18" s="20" t="s">
        <v>105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4391</v>
      </c>
      <c r="C19" s="18" t="s">
        <v>186</v>
      </c>
      <c r="D19" s="203" t="s">
        <v>187</v>
      </c>
      <c r="E19" s="181" t="s">
        <v>91</v>
      </c>
      <c r="F19" s="66">
        <v>1445</v>
      </c>
      <c r="G19" s="121" t="s">
        <v>108</v>
      </c>
      <c r="H19" s="123">
        <v>200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4392</v>
      </c>
      <c r="C20" s="18" t="s">
        <v>182</v>
      </c>
      <c r="D20" s="203" t="s">
        <v>183</v>
      </c>
      <c r="E20" s="181" t="s">
        <v>91</v>
      </c>
      <c r="F20" s="66">
        <v>1515</v>
      </c>
      <c r="G20" s="121" t="s">
        <v>113</v>
      </c>
      <c r="H20" s="123"/>
      <c r="I20" s="219">
        <v>140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4393</v>
      </c>
      <c r="C21" s="18" t="s">
        <v>188</v>
      </c>
      <c r="D21" s="203" t="s">
        <v>189</v>
      </c>
      <c r="E21" s="181" t="s">
        <v>92</v>
      </c>
      <c r="F21" s="66">
        <v>1630</v>
      </c>
      <c r="G21" s="20" t="s">
        <v>133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2719.9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445</v>
      </c>
      <c r="I30" s="105">
        <f>SUM(I5:I29)</f>
        <v>2100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174.9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445</v>
      </c>
      <c r="I31" s="103">
        <f t="shared" si="4"/>
        <v>2100</v>
      </c>
      <c r="J31" s="103">
        <f t="shared" si="4"/>
        <v>0</v>
      </c>
      <c r="K31" s="103">
        <f>K30+K62+K94</f>
        <v>174.9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445</v>
      </c>
      <c r="T31" s="338">
        <f>H31+I31+L31+M31</f>
        <v>2545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2719.9</v>
      </c>
      <c r="D32" s="196"/>
      <c r="E32" s="107"/>
      <c r="F32" s="331" t="s">
        <v>53</v>
      </c>
      <c r="G32" s="331"/>
      <c r="H32" s="109">
        <f>COUNT(B5:B29,B37:B61,B69:B93)</f>
        <v>17</v>
      </c>
      <c r="I32" s="332" t="s">
        <v>54</v>
      </c>
      <c r="J32" s="332"/>
      <c r="K32" s="108">
        <f>C32/H32</f>
        <v>159.99411764705883</v>
      </c>
      <c r="L32" s="260"/>
      <c r="M32" s="260"/>
      <c r="N32" s="260">
        <f>H31/C32</f>
        <v>0.16360895621162541</v>
      </c>
      <c r="O32" s="260">
        <f>I31/C32</f>
        <v>0.77208720908856943</v>
      </c>
      <c r="P32" s="260">
        <f>K31/C32</f>
        <v>6.4303834699805135E-2</v>
      </c>
      <c r="Q32" s="110">
        <f>J31/C32</f>
        <v>0</v>
      </c>
      <c r="R32" s="99" t="s">
        <v>82</v>
      </c>
      <c r="S32" s="266">
        <f>I31+M31</f>
        <v>2100</v>
      </c>
      <c r="T32" s="340"/>
      <c r="U32" s="341"/>
      <c r="V32" s="55"/>
      <c r="W32" s="55"/>
      <c r="X32" s="56" t="s">
        <v>27</v>
      </c>
      <c r="Y32" s="56"/>
      <c r="Z32" s="54">
        <f>I31</f>
        <v>2100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-645</v>
      </c>
      <c r="AE33" s="37"/>
      <c r="AF33" s="37"/>
      <c r="AG33" s="59"/>
      <c r="AH33" s="37"/>
    </row>
    <row r="34" spans="1:34" ht="18" thickBot="1" x14ac:dyDescent="0.45">
      <c r="A34" s="297" t="str">
        <f>A2</f>
        <v>B2 10 - 3 - 2022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CLOUDY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6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10 - 3 - 2022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CLOUDY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6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6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O22" sqref="O22:Q2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190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148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4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4394</v>
      </c>
      <c r="C5" s="68" t="s">
        <v>191</v>
      </c>
      <c r="D5" s="200" t="s">
        <v>192</v>
      </c>
      <c r="E5" s="181" t="s">
        <v>92</v>
      </c>
      <c r="F5" s="170">
        <v>840</v>
      </c>
      <c r="G5" s="118" t="s">
        <v>170</v>
      </c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58.3</v>
      </c>
      <c r="L5" s="131"/>
      <c r="M5" s="131"/>
      <c r="N5" s="134" t="s">
        <v>99</v>
      </c>
      <c r="O5" s="308" t="s">
        <v>193</v>
      </c>
      <c r="P5" s="309"/>
      <c r="Q5" s="310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4395</v>
      </c>
      <c r="C6" s="67" t="s">
        <v>194</v>
      </c>
      <c r="D6" s="200" t="s">
        <v>195</v>
      </c>
      <c r="E6" s="181" t="s">
        <v>92</v>
      </c>
      <c r="F6" s="171">
        <v>850</v>
      </c>
      <c r="G6" s="118" t="s">
        <v>113</v>
      </c>
      <c r="H6" s="91"/>
      <c r="I6" s="124">
        <v>150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/>
      <c r="P6" s="312"/>
      <c r="Q6" s="313"/>
      <c r="R6" s="132" t="s">
        <v>100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4386</v>
      </c>
      <c r="C7" s="67" t="s">
        <v>196</v>
      </c>
      <c r="D7" s="200" t="s">
        <v>197</v>
      </c>
      <c r="E7" s="181" t="s">
        <v>91</v>
      </c>
      <c r="F7" s="171">
        <v>1005</v>
      </c>
      <c r="G7" s="118" t="s">
        <v>44</v>
      </c>
      <c r="H7" s="91"/>
      <c r="I7" s="288" t="s">
        <v>199</v>
      </c>
      <c r="J7" s="130">
        <v>220</v>
      </c>
      <c r="K7" s="130" t="str">
        <f t="shared" si="2"/>
        <v>0</v>
      </c>
      <c r="L7" s="131"/>
      <c r="M7" s="131"/>
      <c r="N7" s="134" t="s">
        <v>99</v>
      </c>
      <c r="O7" s="314" t="s">
        <v>198</v>
      </c>
      <c r="P7" s="315"/>
      <c r="Q7" s="316"/>
      <c r="R7" s="134" t="s">
        <v>120</v>
      </c>
      <c r="S7" s="31">
        <v>0.40625</v>
      </c>
      <c r="T7" s="32">
        <v>0.66666666666666663</v>
      </c>
      <c r="U7" s="92">
        <f t="shared" si="0"/>
        <v>6.2499999999999991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4397</v>
      </c>
      <c r="C8" s="27" t="s">
        <v>200</v>
      </c>
      <c r="D8" s="200" t="s">
        <v>201</v>
      </c>
      <c r="E8" s="181" t="s">
        <v>92</v>
      </c>
      <c r="F8" s="171">
        <v>1110</v>
      </c>
      <c r="G8" s="118" t="s">
        <v>105</v>
      </c>
      <c r="H8" s="91"/>
      <c r="I8" s="124">
        <v>120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 t="s">
        <v>159</v>
      </c>
      <c r="P8" s="318"/>
      <c r="Q8" s="319"/>
      <c r="R8" s="26" t="s">
        <v>102</v>
      </c>
      <c r="S8" s="31">
        <v>0.39583333333333331</v>
      </c>
      <c r="T8" s="32">
        <v>0.72916666666666663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4398</v>
      </c>
      <c r="C9" s="63" t="s">
        <v>202</v>
      </c>
      <c r="D9" s="201" t="s">
        <v>203</v>
      </c>
      <c r="E9" s="181" t="s">
        <v>92</v>
      </c>
      <c r="F9" s="172">
        <v>1120</v>
      </c>
      <c r="G9" s="119" t="s">
        <v>105</v>
      </c>
      <c r="H9" s="91">
        <v>100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269">
        <v>4399</v>
      </c>
      <c r="C10" s="279" t="s">
        <v>204</v>
      </c>
      <c r="D10" s="280" t="s">
        <v>205</v>
      </c>
      <c r="E10" s="272" t="s">
        <v>92</v>
      </c>
      <c r="F10" s="281">
        <v>1130</v>
      </c>
      <c r="G10" s="282" t="s">
        <v>151</v>
      </c>
      <c r="H10" s="283"/>
      <c r="I10" s="283">
        <v>250</v>
      </c>
      <c r="J10" s="275" t="str">
        <f t="shared" si="1"/>
        <v>0</v>
      </c>
      <c r="K10" s="275" t="str">
        <f t="shared" si="2"/>
        <v>0</v>
      </c>
      <c r="L10" s="276"/>
      <c r="M10" s="276"/>
      <c r="N10" s="277" t="s">
        <v>99</v>
      </c>
      <c r="O10" s="388" t="s">
        <v>206</v>
      </c>
      <c r="P10" s="389"/>
      <c r="Q10" s="390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4400</v>
      </c>
      <c r="C11" s="18" t="s">
        <v>207</v>
      </c>
      <c r="D11" s="203" t="s">
        <v>208</v>
      </c>
      <c r="E11" s="181" t="s">
        <v>91</v>
      </c>
      <c r="F11" s="66">
        <v>1140</v>
      </c>
      <c r="G11" s="121" t="s">
        <v>133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2401</v>
      </c>
      <c r="C12" s="64" t="s">
        <v>209</v>
      </c>
      <c r="D12" s="204" t="s">
        <v>210</v>
      </c>
      <c r="E12" s="181" t="s">
        <v>92</v>
      </c>
      <c r="F12" s="173">
        <v>1230</v>
      </c>
      <c r="G12" s="119" t="s">
        <v>211</v>
      </c>
      <c r="H12" s="123"/>
      <c r="I12" s="125"/>
      <c r="J12" s="130" t="str">
        <f t="shared" si="1"/>
        <v>0</v>
      </c>
      <c r="K12" s="130" t="str">
        <f t="shared" si="2"/>
        <v>50</v>
      </c>
      <c r="L12" s="131"/>
      <c r="M12" s="131"/>
      <c r="N12" s="134" t="s">
        <v>99</v>
      </c>
      <c r="O12" s="314" t="s">
        <v>212</v>
      </c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2402</v>
      </c>
      <c r="C13" s="64" t="s">
        <v>213</v>
      </c>
      <c r="D13" s="204" t="s">
        <v>214</v>
      </c>
      <c r="E13" s="181" t="s">
        <v>92</v>
      </c>
      <c r="F13" s="173">
        <v>1230</v>
      </c>
      <c r="G13" s="119" t="s">
        <v>105</v>
      </c>
      <c r="H13" s="169"/>
      <c r="I13" s="168">
        <v>100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2403</v>
      </c>
      <c r="C14" s="65" t="s">
        <v>217</v>
      </c>
      <c r="D14" s="205" t="s">
        <v>218</v>
      </c>
      <c r="E14" s="181" t="s">
        <v>92</v>
      </c>
      <c r="F14" s="174">
        <v>1315</v>
      </c>
      <c r="G14" s="122" t="s">
        <v>170</v>
      </c>
      <c r="H14" s="123"/>
      <c r="I14" s="125"/>
      <c r="J14" s="130" t="str">
        <f t="shared" si="1"/>
        <v>0</v>
      </c>
      <c r="K14" s="130">
        <v>174.9</v>
      </c>
      <c r="L14" s="131"/>
      <c r="M14" s="131"/>
      <c r="N14" s="134" t="s">
        <v>99</v>
      </c>
      <c r="O14" s="314" t="s">
        <v>219</v>
      </c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2404</v>
      </c>
      <c r="C15" s="65" t="s">
        <v>215</v>
      </c>
      <c r="D15" s="205" t="s">
        <v>216</v>
      </c>
      <c r="E15" s="181" t="s">
        <v>92</v>
      </c>
      <c r="F15" s="174">
        <v>1330</v>
      </c>
      <c r="G15" s="122" t="s">
        <v>105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2405</v>
      </c>
      <c r="C16" s="65" t="s">
        <v>220</v>
      </c>
      <c r="D16" s="205" t="s">
        <v>221</v>
      </c>
      <c r="E16" s="181" t="s">
        <v>91</v>
      </c>
      <c r="F16" s="174">
        <v>1430</v>
      </c>
      <c r="G16" s="122" t="s">
        <v>133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4"/>
      <c r="P16" s="315"/>
      <c r="Q16" s="316"/>
      <c r="R16" s="82">
        <f>H32/U16</f>
        <v>0.51127819548872178</v>
      </c>
      <c r="S16" s="83">
        <f>H32/(U16-U5)</f>
        <v>0.71578947368421053</v>
      </c>
      <c r="T16" s="83">
        <f>C32/U16</f>
        <v>54.98345864661654</v>
      </c>
      <c r="U16" s="83">
        <f>SUM(U5:U15)</f>
        <v>33.25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2406</v>
      </c>
      <c r="C17" s="18" t="s">
        <v>131</v>
      </c>
      <c r="D17" s="203"/>
      <c r="E17" s="181" t="s">
        <v>91</v>
      </c>
      <c r="F17" s="66">
        <v>1435</v>
      </c>
      <c r="G17" s="121" t="s">
        <v>133</v>
      </c>
      <c r="H17" s="123">
        <v>55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2407</v>
      </c>
      <c r="C18" s="18" t="s">
        <v>225</v>
      </c>
      <c r="D18" s="203" t="s">
        <v>226</v>
      </c>
      <c r="E18" s="181" t="s">
        <v>92</v>
      </c>
      <c r="F18" s="66">
        <v>1520</v>
      </c>
      <c r="G18" s="20" t="s">
        <v>133</v>
      </c>
      <c r="H18" s="123"/>
      <c r="I18" s="124">
        <v>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2408</v>
      </c>
      <c r="C19" s="18" t="s">
        <v>222</v>
      </c>
      <c r="D19" s="203" t="s">
        <v>223</v>
      </c>
      <c r="E19" s="181" t="s">
        <v>92</v>
      </c>
      <c r="F19" s="66">
        <v>1530</v>
      </c>
      <c r="G19" s="121" t="s">
        <v>105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4"/>
      <c r="P19" s="315"/>
      <c r="Q19" s="315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2409</v>
      </c>
      <c r="C20" s="18" t="s">
        <v>227</v>
      </c>
      <c r="D20" s="203" t="s">
        <v>228</v>
      </c>
      <c r="E20" s="181" t="s">
        <v>91</v>
      </c>
      <c r="F20" s="66">
        <v>1615</v>
      </c>
      <c r="G20" s="121" t="s">
        <v>113</v>
      </c>
      <c r="H20" s="123"/>
      <c r="I20" s="219">
        <v>150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278">
        <v>17</v>
      </c>
      <c r="B21" s="274">
        <v>2410</v>
      </c>
      <c r="C21" s="284" t="s">
        <v>224</v>
      </c>
      <c r="D21" s="285"/>
      <c r="E21" s="272" t="s">
        <v>91</v>
      </c>
      <c r="F21" s="286">
        <v>1630</v>
      </c>
      <c r="G21" s="269" t="s">
        <v>105</v>
      </c>
      <c r="H21" s="283"/>
      <c r="I21" s="275"/>
      <c r="J21" s="275" t="str">
        <f t="shared" si="1"/>
        <v>0</v>
      </c>
      <c r="K21" s="275" t="str">
        <f t="shared" si="2"/>
        <v>0</v>
      </c>
      <c r="L21" s="276"/>
      <c r="M21" s="276">
        <v>475</v>
      </c>
      <c r="N21" s="277" t="s">
        <v>99</v>
      </c>
      <c r="O21" s="388" t="s">
        <v>229</v>
      </c>
      <c r="P21" s="389"/>
      <c r="Q21" s="38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1828.2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155</v>
      </c>
      <c r="I30" s="105">
        <f>SUM(I5:I29)</f>
        <v>1170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283.2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155</v>
      </c>
      <c r="I31" s="103">
        <f t="shared" si="4"/>
        <v>1170</v>
      </c>
      <c r="J31" s="103">
        <f t="shared" si="4"/>
        <v>220</v>
      </c>
      <c r="K31" s="103">
        <f>K30+K62+K94</f>
        <v>283.2</v>
      </c>
      <c r="L31" s="97">
        <f>L30+L62+L94</f>
        <v>0</v>
      </c>
      <c r="M31" s="97">
        <f>M30+M62+M94</f>
        <v>475</v>
      </c>
      <c r="N31" s="262">
        <f>COUNT(H5:H29,H37:H61,H69:H93)</f>
        <v>2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155</v>
      </c>
      <c r="T31" s="338">
        <f>H31+I31+L31+M31</f>
        <v>1800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1828.2</v>
      </c>
      <c r="D32" s="196"/>
      <c r="E32" s="107"/>
      <c r="F32" s="331" t="s">
        <v>53</v>
      </c>
      <c r="G32" s="331"/>
      <c r="H32" s="109">
        <f>COUNT(B5:B29,B37:B61,B69:B93)</f>
        <v>17</v>
      </c>
      <c r="I32" s="332" t="s">
        <v>54</v>
      </c>
      <c r="J32" s="332"/>
      <c r="K32" s="108">
        <f>C32/H32</f>
        <v>107.54117647058824</v>
      </c>
      <c r="L32" s="260"/>
      <c r="M32" s="260"/>
      <c r="N32" s="260">
        <f>H31/C32</f>
        <v>8.4782846515698493E-2</v>
      </c>
      <c r="O32" s="260">
        <f>I31/C32</f>
        <v>0.63997374466688539</v>
      </c>
      <c r="P32" s="260">
        <f>K31/C32</f>
        <v>0.15490646537577946</v>
      </c>
      <c r="Q32" s="110">
        <f>J31/C32</f>
        <v>0.12033694344163658</v>
      </c>
      <c r="R32" s="99" t="s">
        <v>82</v>
      </c>
      <c r="S32" s="266">
        <f>I31+M31</f>
        <v>1645</v>
      </c>
      <c r="T32" s="340"/>
      <c r="U32" s="341"/>
      <c r="V32" s="55"/>
      <c r="W32" s="55"/>
      <c r="X32" s="56" t="s">
        <v>27</v>
      </c>
      <c r="Y32" s="56"/>
      <c r="Z32" s="54">
        <f>I31</f>
        <v>1170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-1575</v>
      </c>
      <c r="AE33" s="37"/>
      <c r="AF33" s="37"/>
      <c r="AG33" s="59"/>
      <c r="AH33" s="37"/>
    </row>
    <row r="34" spans="1:34" ht="18" thickBot="1" x14ac:dyDescent="0.45">
      <c r="A34" s="297" t="str">
        <f>A2</f>
        <v>B2 11 - 3 - 2022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CLOUDY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4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11 - 3 - 2022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CLOUDY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4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6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S16" sqref="S1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230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148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6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2411</v>
      </c>
      <c r="C5" s="68" t="s">
        <v>232</v>
      </c>
      <c r="D5" s="200" t="s">
        <v>233</v>
      </c>
      <c r="E5" s="181" t="s">
        <v>91</v>
      </c>
      <c r="F5" s="170">
        <v>800</v>
      </c>
      <c r="G5" s="118" t="s">
        <v>105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101</v>
      </c>
      <c r="O5" s="308"/>
      <c r="P5" s="309"/>
      <c r="Q5" s="310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2412</v>
      </c>
      <c r="C6" s="67" t="s">
        <v>234</v>
      </c>
      <c r="D6" s="200" t="s">
        <v>235</v>
      </c>
      <c r="E6" s="181" t="s">
        <v>92</v>
      </c>
      <c r="F6" s="171">
        <v>840</v>
      </c>
      <c r="G6" s="118" t="s">
        <v>105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101</v>
      </c>
      <c r="O6" s="311"/>
      <c r="P6" s="312"/>
      <c r="Q6" s="313"/>
      <c r="R6" s="132" t="s">
        <v>101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268">
        <v>3</v>
      </c>
      <c r="B7" s="274">
        <v>2413</v>
      </c>
      <c r="C7" s="270" t="s">
        <v>236</v>
      </c>
      <c r="D7" s="271" t="s">
        <v>237</v>
      </c>
      <c r="E7" s="272" t="s">
        <v>92</v>
      </c>
      <c r="F7" s="273">
        <v>900</v>
      </c>
      <c r="G7" s="274" t="s">
        <v>238</v>
      </c>
      <c r="H7" s="275"/>
      <c r="I7" s="275">
        <v>280</v>
      </c>
      <c r="J7" s="275" t="str">
        <f t="shared" si="1"/>
        <v>0</v>
      </c>
      <c r="K7" s="275" t="str">
        <f t="shared" si="2"/>
        <v>0</v>
      </c>
      <c r="L7" s="276"/>
      <c r="M7" s="276"/>
      <c r="N7" s="277" t="s">
        <v>99</v>
      </c>
      <c r="O7" s="388" t="s">
        <v>286</v>
      </c>
      <c r="P7" s="389"/>
      <c r="Q7" s="390"/>
      <c r="R7" s="134" t="s">
        <v>179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2414</v>
      </c>
      <c r="C8" s="27" t="s">
        <v>241</v>
      </c>
      <c r="D8" s="200" t="s">
        <v>242</v>
      </c>
      <c r="E8" s="181" t="s">
        <v>92</v>
      </c>
      <c r="F8" s="171">
        <v>940</v>
      </c>
      <c r="G8" s="118" t="s">
        <v>105</v>
      </c>
      <c r="H8" s="91"/>
      <c r="I8" s="124">
        <v>80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231</v>
      </c>
      <c r="S8" s="31">
        <v>0.44791666666666669</v>
      </c>
      <c r="T8" s="32">
        <v>0.72916666666666663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2415</v>
      </c>
      <c r="C9" s="63" t="s">
        <v>239</v>
      </c>
      <c r="D9" s="201" t="s">
        <v>240</v>
      </c>
      <c r="E9" s="181" t="s">
        <v>92</v>
      </c>
      <c r="F9" s="172">
        <v>1130</v>
      </c>
      <c r="G9" s="119" t="s">
        <v>151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 t="s">
        <v>102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2416</v>
      </c>
      <c r="C10" s="28" t="s">
        <v>243</v>
      </c>
      <c r="D10" s="202" t="s">
        <v>244</v>
      </c>
      <c r="E10" s="181" t="s">
        <v>92</v>
      </c>
      <c r="F10" s="173">
        <v>1100</v>
      </c>
      <c r="G10" s="120" t="s">
        <v>105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4"/>
      <c r="P10" s="305"/>
      <c r="Q10" s="306"/>
      <c r="R10" s="26" t="s">
        <v>282</v>
      </c>
      <c r="S10" s="31">
        <v>0.41666666666666669</v>
      </c>
      <c r="T10" s="32">
        <v>0.60416666666666663</v>
      </c>
      <c r="U10" s="92">
        <f t="shared" si="0"/>
        <v>4.4999999999999982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2417</v>
      </c>
      <c r="C11" s="18" t="s">
        <v>245</v>
      </c>
      <c r="D11" s="203" t="s">
        <v>246</v>
      </c>
      <c r="E11" s="181"/>
      <c r="F11" s="66">
        <v>1115</v>
      </c>
      <c r="G11" s="121" t="s">
        <v>105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 t="s">
        <v>283</v>
      </c>
      <c r="S11" s="31">
        <v>0.41666666666666669</v>
      </c>
      <c r="T11" s="32">
        <v>0.5</v>
      </c>
      <c r="U11" s="92">
        <f t="shared" si="0"/>
        <v>1.9999999999999996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2418</v>
      </c>
      <c r="C12" s="64" t="s">
        <v>247</v>
      </c>
      <c r="D12" s="204" t="s">
        <v>248</v>
      </c>
      <c r="E12" s="181" t="s">
        <v>91</v>
      </c>
      <c r="F12" s="173">
        <v>1130</v>
      </c>
      <c r="G12" s="119" t="s">
        <v>133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 t="s">
        <v>284</v>
      </c>
      <c r="S12" s="31">
        <v>0.41666666666666669</v>
      </c>
      <c r="T12" s="32">
        <v>0.54166666666666663</v>
      </c>
      <c r="U12" s="92">
        <f t="shared" si="0"/>
        <v>2.9999999999999987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2419</v>
      </c>
      <c r="C13" s="64" t="s">
        <v>249</v>
      </c>
      <c r="D13" s="204" t="s">
        <v>250</v>
      </c>
      <c r="E13" s="181" t="s">
        <v>91</v>
      </c>
      <c r="F13" s="173">
        <v>1135</v>
      </c>
      <c r="G13" s="119" t="s">
        <v>113</v>
      </c>
      <c r="H13" s="169"/>
      <c r="I13" s="168">
        <v>150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2420</v>
      </c>
      <c r="C14" s="65" t="s">
        <v>251</v>
      </c>
      <c r="D14" s="205" t="s">
        <v>252</v>
      </c>
      <c r="E14" s="181" t="s">
        <v>92</v>
      </c>
      <c r="F14" s="174">
        <v>1210</v>
      </c>
      <c r="G14" s="122" t="s">
        <v>105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2421</v>
      </c>
      <c r="C15" s="65" t="s">
        <v>253</v>
      </c>
      <c r="D15" s="205" t="s">
        <v>254</v>
      </c>
      <c r="E15" s="181" t="s">
        <v>92</v>
      </c>
      <c r="F15" s="174">
        <v>1215</v>
      </c>
      <c r="G15" s="122" t="s">
        <v>105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2422</v>
      </c>
      <c r="C16" s="65" t="s">
        <v>255</v>
      </c>
      <c r="D16" s="205" t="s">
        <v>256</v>
      </c>
      <c r="E16" s="181" t="s">
        <v>91</v>
      </c>
      <c r="F16" s="174">
        <v>1215</v>
      </c>
      <c r="G16" s="122" t="s">
        <v>151</v>
      </c>
      <c r="H16" s="123"/>
      <c r="I16" s="124">
        <v>60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4" t="s">
        <v>159</v>
      </c>
      <c r="P16" s="315"/>
      <c r="Q16" s="316"/>
      <c r="R16" s="82">
        <f>H32/U16</f>
        <v>0.46153846153846156</v>
      </c>
      <c r="S16" s="83">
        <f>H32/(U16-U5)</f>
        <v>0.56470588235294117</v>
      </c>
      <c r="T16" s="83">
        <f>C32/U16</f>
        <v>48.907692307692301</v>
      </c>
      <c r="U16" s="83">
        <f>SUM(U5:U15)</f>
        <v>52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2423</v>
      </c>
      <c r="C17" s="18" t="s">
        <v>257</v>
      </c>
      <c r="D17" s="203" t="s">
        <v>258</v>
      </c>
      <c r="E17" s="181" t="s">
        <v>91</v>
      </c>
      <c r="F17" s="66">
        <v>1230</v>
      </c>
      <c r="G17" s="121" t="s">
        <v>113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2424</v>
      </c>
      <c r="C18" s="18" t="s">
        <v>259</v>
      </c>
      <c r="D18" s="203" t="s">
        <v>260</v>
      </c>
      <c r="E18" s="181" t="s">
        <v>92</v>
      </c>
      <c r="F18" s="66">
        <v>1245</v>
      </c>
      <c r="G18" s="20" t="s">
        <v>133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2425</v>
      </c>
      <c r="C19" s="18" t="s">
        <v>261</v>
      </c>
      <c r="D19" s="203"/>
      <c r="E19" s="181" t="s">
        <v>92</v>
      </c>
      <c r="F19" s="66">
        <v>1250</v>
      </c>
      <c r="G19" s="121" t="s">
        <v>170</v>
      </c>
      <c r="H19" s="123"/>
      <c r="I19" s="124"/>
      <c r="J19" s="130" t="str">
        <f t="shared" si="1"/>
        <v>0</v>
      </c>
      <c r="K19" s="130">
        <v>174.9</v>
      </c>
      <c r="L19" s="131"/>
      <c r="M19" s="131"/>
      <c r="N19" s="134" t="s">
        <v>99</v>
      </c>
      <c r="O19" s="314" t="s">
        <v>262</v>
      </c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2426</v>
      </c>
      <c r="C20" s="18" t="s">
        <v>263</v>
      </c>
      <c r="D20" s="203" t="s">
        <v>264</v>
      </c>
      <c r="E20" s="181" t="s">
        <v>91</v>
      </c>
      <c r="F20" s="66">
        <v>1300</v>
      </c>
      <c r="G20" s="121" t="s">
        <v>105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2427</v>
      </c>
      <c r="C21" s="18" t="s">
        <v>265</v>
      </c>
      <c r="D21" s="203"/>
      <c r="E21" s="181" t="s">
        <v>91</v>
      </c>
      <c r="F21" s="66">
        <v>1300</v>
      </c>
      <c r="G21" s="20" t="s">
        <v>105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2428</v>
      </c>
      <c r="C22" s="127" t="s">
        <v>266</v>
      </c>
      <c r="D22" s="206" t="s">
        <v>267</v>
      </c>
      <c r="E22" s="181" t="s">
        <v>91</v>
      </c>
      <c r="F22" s="175">
        <v>1300</v>
      </c>
      <c r="G22" s="263" t="s">
        <v>105</v>
      </c>
      <c r="H22" s="89"/>
      <c r="I22" s="141">
        <v>85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2429</v>
      </c>
      <c r="C23" s="136" t="s">
        <v>268</v>
      </c>
      <c r="D23" s="207" t="s">
        <v>269</v>
      </c>
      <c r="E23" s="181" t="s">
        <v>92</v>
      </c>
      <c r="F23" s="176">
        <v>1315</v>
      </c>
      <c r="G23" s="165" t="s">
        <v>105</v>
      </c>
      <c r="H23" s="89"/>
      <c r="I23" s="141">
        <v>80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278">
        <v>20</v>
      </c>
      <c r="B24" s="269">
        <v>2430</v>
      </c>
      <c r="C24" s="279" t="s">
        <v>270</v>
      </c>
      <c r="D24" s="280" t="s">
        <v>271</v>
      </c>
      <c r="E24" s="272" t="s">
        <v>92</v>
      </c>
      <c r="F24" s="281">
        <v>1415</v>
      </c>
      <c r="G24" s="269" t="s">
        <v>238</v>
      </c>
      <c r="H24" s="283"/>
      <c r="I24" s="283">
        <v>250</v>
      </c>
      <c r="J24" s="275" t="str">
        <f t="shared" si="1"/>
        <v>0</v>
      </c>
      <c r="K24" s="275" t="str">
        <f t="shared" si="2"/>
        <v>0</v>
      </c>
      <c r="L24" s="275"/>
      <c r="M24" s="275"/>
      <c r="N24" s="277" t="s">
        <v>99</v>
      </c>
      <c r="O24" s="388" t="s">
        <v>78</v>
      </c>
      <c r="P24" s="389"/>
      <c r="Q24" s="3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2431</v>
      </c>
      <c r="C25" s="132" t="s">
        <v>272</v>
      </c>
      <c r="D25" s="208" t="s">
        <v>273</v>
      </c>
      <c r="E25" s="181" t="s">
        <v>92</v>
      </c>
      <c r="F25" s="175">
        <v>1415</v>
      </c>
      <c r="G25" s="263" t="s">
        <v>133</v>
      </c>
      <c r="H25" s="90"/>
      <c r="I25" s="90">
        <v>60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2543.1999999999998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2432</v>
      </c>
      <c r="C26" s="27" t="s">
        <v>274</v>
      </c>
      <c r="D26" s="209" t="s">
        <v>275</v>
      </c>
      <c r="E26" s="181" t="s">
        <v>92</v>
      </c>
      <c r="F26" s="177">
        <v>1420</v>
      </c>
      <c r="G26" s="20" t="s">
        <v>133</v>
      </c>
      <c r="H26" s="89"/>
      <c r="I26" s="141">
        <v>60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2433</v>
      </c>
      <c r="C27" s="27" t="s">
        <v>276</v>
      </c>
      <c r="D27" s="209" t="s">
        <v>277</v>
      </c>
      <c r="E27" s="181" t="s">
        <v>92</v>
      </c>
      <c r="F27" s="177">
        <v>1430</v>
      </c>
      <c r="G27" s="20" t="s">
        <v>170</v>
      </c>
      <c r="H27" s="89"/>
      <c r="I27" s="141"/>
      <c r="J27" s="130" t="str">
        <f t="shared" si="1"/>
        <v>0</v>
      </c>
      <c r="K27" s="130" t="str">
        <f t="shared" si="2"/>
        <v>58.3</v>
      </c>
      <c r="L27" s="69"/>
      <c r="M27" s="69"/>
      <c r="N27" s="134" t="s">
        <v>99</v>
      </c>
      <c r="O27" s="392" t="s">
        <v>278</v>
      </c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2434</v>
      </c>
      <c r="C28" s="27" t="s">
        <v>279</v>
      </c>
      <c r="D28" s="209"/>
      <c r="E28" s="181" t="s">
        <v>92</v>
      </c>
      <c r="F28" s="177" t="s">
        <v>280</v>
      </c>
      <c r="G28" s="20" t="s">
        <v>105</v>
      </c>
      <c r="H28" s="89"/>
      <c r="I28" s="141">
        <v>95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14" t="s">
        <v>281</v>
      </c>
      <c r="P28" s="315"/>
      <c r="Q28" s="316"/>
      <c r="R28" s="326" t="s">
        <v>285</v>
      </c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75</v>
      </c>
      <c r="I30" s="105">
        <f>SUM(I5:I29)</f>
        <v>2235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233.2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75</v>
      </c>
      <c r="I31" s="103">
        <f t="shared" si="4"/>
        <v>2235</v>
      </c>
      <c r="J31" s="103">
        <f t="shared" si="4"/>
        <v>0</v>
      </c>
      <c r="K31" s="103">
        <f>K30+K62+K94</f>
        <v>233.2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21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75</v>
      </c>
      <c r="T31" s="338">
        <f>H31+I31+L31+M31</f>
        <v>2310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2543.1999999999998</v>
      </c>
      <c r="D32" s="196"/>
      <c r="E32" s="107"/>
      <c r="F32" s="331" t="s">
        <v>53</v>
      </c>
      <c r="G32" s="331"/>
      <c r="H32" s="109">
        <f>COUNT(B5:B29,B37:B61,B69:B93)</f>
        <v>24</v>
      </c>
      <c r="I32" s="332" t="s">
        <v>54</v>
      </c>
      <c r="J32" s="332"/>
      <c r="K32" s="108">
        <f>C32/H32</f>
        <v>105.96666666666665</v>
      </c>
      <c r="L32" s="260"/>
      <c r="M32" s="260"/>
      <c r="N32" s="260">
        <f>H31/C32</f>
        <v>2.9490405787983644E-2</v>
      </c>
      <c r="O32" s="260">
        <f>I31/C32</f>
        <v>0.87881409248191267</v>
      </c>
      <c r="P32" s="260">
        <f>K31/C32</f>
        <v>9.1695501730103809E-2</v>
      </c>
      <c r="Q32" s="110">
        <f>J31/C32</f>
        <v>0</v>
      </c>
      <c r="R32" s="99" t="s">
        <v>82</v>
      </c>
      <c r="S32" s="266">
        <f>I31+M31</f>
        <v>2235</v>
      </c>
      <c r="T32" s="340"/>
      <c r="U32" s="341"/>
      <c r="V32" s="55"/>
      <c r="W32" s="55"/>
      <c r="X32" s="56" t="s">
        <v>27</v>
      </c>
      <c r="Y32" s="56"/>
      <c r="Z32" s="54">
        <f>I31</f>
        <v>2235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-510</v>
      </c>
      <c r="AE33" s="37"/>
      <c r="AF33" s="37"/>
      <c r="AG33" s="59"/>
      <c r="AH33" s="37"/>
    </row>
    <row r="34" spans="1:34" ht="18" thickBot="1" x14ac:dyDescent="0.45">
      <c r="A34" s="297" t="str">
        <f>A2</f>
        <v>B2  12 - 3 - 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CLOUDY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6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12 - 3 - 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CLOUDY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6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6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U11" sqref="U1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287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288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5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2435</v>
      </c>
      <c r="C5" s="68" t="s">
        <v>289</v>
      </c>
      <c r="D5" s="200" t="s">
        <v>290</v>
      </c>
      <c r="E5" s="181" t="s">
        <v>91</v>
      </c>
      <c r="F5" s="170">
        <v>815</v>
      </c>
      <c r="G5" s="118" t="s">
        <v>105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0.33333333333333331</v>
      </c>
      <c r="T5" s="32">
        <v>0.75</v>
      </c>
      <c r="U5" s="92">
        <f t="shared" ref="U5:U15" si="0">(T5-S5)*24</f>
        <v>10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2436</v>
      </c>
      <c r="C6" s="67" t="s">
        <v>291</v>
      </c>
      <c r="D6" s="200"/>
      <c r="E6" s="181" t="s">
        <v>91</v>
      </c>
      <c r="F6" s="171">
        <v>830</v>
      </c>
      <c r="G6" s="118" t="s">
        <v>44</v>
      </c>
      <c r="H6" s="91"/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>
        <v>202201059</v>
      </c>
      <c r="P6" s="312"/>
      <c r="Q6" s="313"/>
      <c r="R6" s="132" t="s">
        <v>100</v>
      </c>
      <c r="S6" s="31">
        <v>0.33333333333333331</v>
      </c>
      <c r="T6" s="32">
        <v>0.75</v>
      </c>
      <c r="U6" s="92">
        <f t="shared" si="0"/>
        <v>10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2437</v>
      </c>
      <c r="C7" s="67" t="s">
        <v>292</v>
      </c>
      <c r="D7" s="200" t="s">
        <v>269</v>
      </c>
      <c r="E7" s="181" t="s">
        <v>91</v>
      </c>
      <c r="F7" s="171">
        <v>930</v>
      </c>
      <c r="G7" s="118" t="s">
        <v>44</v>
      </c>
      <c r="H7" s="91"/>
      <c r="I7" s="124"/>
      <c r="J7" s="130">
        <v>110</v>
      </c>
      <c r="K7" s="130" t="str">
        <f t="shared" si="2"/>
        <v>0</v>
      </c>
      <c r="L7" s="131"/>
      <c r="M7" s="131"/>
      <c r="N7" s="134" t="s">
        <v>99</v>
      </c>
      <c r="O7" s="314" t="s">
        <v>293</v>
      </c>
      <c r="P7" s="315"/>
      <c r="Q7" s="316"/>
      <c r="R7" s="134" t="s">
        <v>102</v>
      </c>
      <c r="S7" s="31">
        <v>0.39583333333333331</v>
      </c>
      <c r="T7" s="32">
        <v>0.75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2438</v>
      </c>
      <c r="C8" s="27" t="s">
        <v>294</v>
      </c>
      <c r="D8" s="200" t="s">
        <v>295</v>
      </c>
      <c r="E8" s="181" t="s">
        <v>92</v>
      </c>
      <c r="F8" s="171">
        <v>945</v>
      </c>
      <c r="G8" s="118" t="s">
        <v>105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120</v>
      </c>
      <c r="S8" s="31">
        <v>0.40625</v>
      </c>
      <c r="T8" s="32">
        <v>0.72916666666666663</v>
      </c>
      <c r="U8" s="92">
        <f t="shared" si="0"/>
        <v>7.7499999999999991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2439</v>
      </c>
      <c r="C9" s="63" t="s">
        <v>296</v>
      </c>
      <c r="D9" s="201" t="s">
        <v>297</v>
      </c>
      <c r="E9" s="181" t="s">
        <v>91</v>
      </c>
      <c r="F9" s="172">
        <v>1030</v>
      </c>
      <c r="G9" s="119" t="s">
        <v>113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120</v>
      </c>
      <c r="O9" s="317"/>
      <c r="P9" s="318"/>
      <c r="Q9" s="319"/>
      <c r="R9" s="26" t="s">
        <v>231</v>
      </c>
      <c r="S9" s="31">
        <v>0.41666666666666669</v>
      </c>
      <c r="T9" s="32">
        <v>0.73958333333333337</v>
      </c>
      <c r="U9" s="92">
        <f t="shared" si="0"/>
        <v>7.75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278">
        <v>6</v>
      </c>
      <c r="B10" s="269">
        <v>2440</v>
      </c>
      <c r="C10" s="279" t="s">
        <v>299</v>
      </c>
      <c r="D10" s="280" t="s">
        <v>300</v>
      </c>
      <c r="E10" s="272" t="s">
        <v>91</v>
      </c>
      <c r="F10" s="281">
        <v>1045</v>
      </c>
      <c r="G10" s="282" t="s">
        <v>238</v>
      </c>
      <c r="H10" s="283"/>
      <c r="I10" s="283">
        <v>200</v>
      </c>
      <c r="J10" s="275" t="str">
        <f t="shared" si="1"/>
        <v>0</v>
      </c>
      <c r="K10" s="275" t="str">
        <f t="shared" si="2"/>
        <v>0</v>
      </c>
      <c r="L10" s="276"/>
      <c r="M10" s="276"/>
      <c r="N10" s="277" t="s">
        <v>120</v>
      </c>
      <c r="O10" s="388" t="s">
        <v>79</v>
      </c>
      <c r="P10" s="389"/>
      <c r="Q10" s="390"/>
      <c r="R10" s="26" t="s">
        <v>298</v>
      </c>
      <c r="S10" s="31">
        <v>0.625</v>
      </c>
      <c r="T10" s="32">
        <v>0.66666666666666663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2441</v>
      </c>
      <c r="C11" s="18" t="s">
        <v>301</v>
      </c>
      <c r="D11" s="203" t="s">
        <v>302</v>
      </c>
      <c r="E11" s="181" t="s">
        <v>92</v>
      </c>
      <c r="F11" s="66">
        <v>1120</v>
      </c>
      <c r="G11" s="121" t="s">
        <v>105</v>
      </c>
      <c r="H11" s="123"/>
      <c r="I11" s="124">
        <v>100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 t="s">
        <v>159</v>
      </c>
      <c r="P11" s="315"/>
      <c r="Q11" s="316"/>
      <c r="R11" s="26" t="s">
        <v>333</v>
      </c>
      <c r="S11" s="31">
        <v>0.33333333333333331</v>
      </c>
      <c r="T11" s="32">
        <v>0.375</v>
      </c>
      <c r="U11" s="92">
        <f t="shared" si="0"/>
        <v>1.0000000000000004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289">
        <v>2442</v>
      </c>
      <c r="C12" s="64" t="s">
        <v>303</v>
      </c>
      <c r="D12" s="204" t="s">
        <v>304</v>
      </c>
      <c r="E12" s="181" t="s">
        <v>91</v>
      </c>
      <c r="F12" s="173">
        <v>1145</v>
      </c>
      <c r="G12" s="119" t="s">
        <v>133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2443</v>
      </c>
      <c r="C13" s="64" t="s">
        <v>305</v>
      </c>
      <c r="D13" s="204" t="s">
        <v>306</v>
      </c>
      <c r="E13" s="181" t="s">
        <v>92</v>
      </c>
      <c r="F13" s="173">
        <v>1300</v>
      </c>
      <c r="G13" s="119" t="s">
        <v>133</v>
      </c>
      <c r="H13" s="169"/>
      <c r="I13" s="168">
        <v>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2444</v>
      </c>
      <c r="C14" s="65" t="s">
        <v>307</v>
      </c>
      <c r="D14" s="205" t="s">
        <v>308</v>
      </c>
      <c r="E14" s="181" t="s">
        <v>91</v>
      </c>
      <c r="F14" s="174">
        <v>1315</v>
      </c>
      <c r="G14" s="122" t="s">
        <v>133</v>
      </c>
      <c r="H14" s="123">
        <v>55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2445</v>
      </c>
      <c r="C15" s="65" t="s">
        <v>309</v>
      </c>
      <c r="D15" s="205" t="s">
        <v>310</v>
      </c>
      <c r="E15" s="181" t="s">
        <v>91</v>
      </c>
      <c r="F15" s="174">
        <v>1315</v>
      </c>
      <c r="G15" s="122" t="s">
        <v>133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278">
        <v>12</v>
      </c>
      <c r="B16" s="269">
        <v>2446</v>
      </c>
      <c r="C16" s="293" t="s">
        <v>311</v>
      </c>
      <c r="D16" s="294" t="s">
        <v>312</v>
      </c>
      <c r="E16" s="272" t="s">
        <v>92</v>
      </c>
      <c r="F16" s="295">
        <v>1330</v>
      </c>
      <c r="G16" s="274" t="s">
        <v>238</v>
      </c>
      <c r="H16" s="283"/>
      <c r="I16" s="275">
        <v>200</v>
      </c>
      <c r="J16" s="275" t="str">
        <f t="shared" si="1"/>
        <v>0</v>
      </c>
      <c r="K16" s="275" t="str">
        <f t="shared" si="2"/>
        <v>0</v>
      </c>
      <c r="L16" s="276"/>
      <c r="M16" s="276"/>
      <c r="N16" s="277" t="s">
        <v>99</v>
      </c>
      <c r="O16" s="388" t="s">
        <v>78</v>
      </c>
      <c r="P16" s="389"/>
      <c r="Q16" s="390"/>
      <c r="R16" s="82">
        <f>H32/U16</f>
        <v>0.45652173913043476</v>
      </c>
      <c r="S16" s="83">
        <f>H32/(U16-U5)</f>
        <v>0.58333333333333337</v>
      </c>
      <c r="T16" s="83">
        <f>C32/U16</f>
        <v>53.152173913043477</v>
      </c>
      <c r="U16" s="83">
        <f>SUM(U5:U15)</f>
        <v>46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2447</v>
      </c>
      <c r="C17" s="18" t="s">
        <v>313</v>
      </c>
      <c r="D17" s="203" t="s">
        <v>314</v>
      </c>
      <c r="E17" s="181" t="s">
        <v>92</v>
      </c>
      <c r="F17" s="66">
        <v>1330</v>
      </c>
      <c r="G17" s="121" t="s">
        <v>133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2448</v>
      </c>
      <c r="C18" s="18" t="s">
        <v>315</v>
      </c>
      <c r="D18" s="203" t="s">
        <v>316</v>
      </c>
      <c r="E18" s="181" t="s">
        <v>92</v>
      </c>
      <c r="F18" s="66">
        <v>1415</v>
      </c>
      <c r="G18" s="20" t="s">
        <v>238</v>
      </c>
      <c r="H18" s="123"/>
      <c r="I18" s="124">
        <v>120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317</v>
      </c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2449</v>
      </c>
      <c r="C19" s="296">
        <v>44619</v>
      </c>
      <c r="D19" s="203" t="s">
        <v>318</v>
      </c>
      <c r="E19" s="181" t="s">
        <v>91</v>
      </c>
      <c r="F19" s="66">
        <v>1430</v>
      </c>
      <c r="G19" s="121" t="s">
        <v>133</v>
      </c>
      <c r="H19" s="123">
        <v>80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2450</v>
      </c>
      <c r="C20" s="18" t="s">
        <v>319</v>
      </c>
      <c r="D20" s="203" t="s">
        <v>320</v>
      </c>
      <c r="E20" s="181" t="s">
        <v>91</v>
      </c>
      <c r="F20" s="66">
        <v>1430</v>
      </c>
      <c r="G20" s="121" t="s">
        <v>321</v>
      </c>
      <c r="H20" s="123">
        <v>60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2451</v>
      </c>
      <c r="C21" s="18" t="s">
        <v>322</v>
      </c>
      <c r="D21" s="203" t="s">
        <v>323</v>
      </c>
      <c r="E21" s="181" t="s">
        <v>91</v>
      </c>
      <c r="F21" s="66">
        <v>1450</v>
      </c>
      <c r="G21" s="20" t="s">
        <v>105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278">
        <v>18</v>
      </c>
      <c r="B22" s="269">
        <v>2452</v>
      </c>
      <c r="C22" s="279" t="s">
        <v>324</v>
      </c>
      <c r="D22" s="280" t="s">
        <v>325</v>
      </c>
      <c r="E22" s="272" t="s">
        <v>91</v>
      </c>
      <c r="F22" s="281">
        <v>1500</v>
      </c>
      <c r="G22" s="269" t="s">
        <v>238</v>
      </c>
      <c r="H22" s="283">
        <v>280</v>
      </c>
      <c r="I22" s="283"/>
      <c r="J22" s="275" t="str">
        <f t="shared" si="1"/>
        <v>0</v>
      </c>
      <c r="K22" s="275" t="str">
        <f t="shared" si="2"/>
        <v>0</v>
      </c>
      <c r="L22" s="275"/>
      <c r="M22" s="275"/>
      <c r="N22" s="277" t="s">
        <v>99</v>
      </c>
      <c r="O22" s="388" t="s">
        <v>326</v>
      </c>
      <c r="P22" s="389"/>
      <c r="Q22" s="3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278">
        <v>19</v>
      </c>
      <c r="B23" s="274">
        <v>2453</v>
      </c>
      <c r="C23" s="279" t="s">
        <v>327</v>
      </c>
      <c r="D23" s="280" t="s">
        <v>328</v>
      </c>
      <c r="E23" s="272" t="s">
        <v>91</v>
      </c>
      <c r="F23" s="281">
        <v>1500</v>
      </c>
      <c r="G23" s="269" t="s">
        <v>238</v>
      </c>
      <c r="H23" s="283"/>
      <c r="I23" s="283">
        <v>300</v>
      </c>
      <c r="J23" s="275" t="str">
        <f t="shared" si="1"/>
        <v>0</v>
      </c>
      <c r="K23" s="275" t="str">
        <f t="shared" si="2"/>
        <v>0</v>
      </c>
      <c r="L23" s="275"/>
      <c r="M23" s="275"/>
      <c r="N23" s="275" t="s">
        <v>99</v>
      </c>
      <c r="O23" s="290"/>
      <c r="P23" s="291" t="s">
        <v>80</v>
      </c>
      <c r="Q23" s="292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2454</v>
      </c>
      <c r="C24" s="127" t="s">
        <v>329</v>
      </c>
      <c r="D24" s="206" t="s">
        <v>330</v>
      </c>
      <c r="E24" s="181" t="s">
        <v>92</v>
      </c>
      <c r="F24" s="175">
        <v>1500</v>
      </c>
      <c r="G24" s="263" t="s">
        <v>105</v>
      </c>
      <c r="H24" s="89"/>
      <c r="I24" s="141">
        <v>100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2455</v>
      </c>
      <c r="C25" s="132" t="s">
        <v>331</v>
      </c>
      <c r="D25" s="208" t="s">
        <v>332</v>
      </c>
      <c r="E25" s="181" t="s">
        <v>92</v>
      </c>
      <c r="F25" s="175">
        <v>1520</v>
      </c>
      <c r="G25" s="263" t="s">
        <v>133</v>
      </c>
      <c r="H25" s="90">
        <v>95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2445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645</v>
      </c>
      <c r="I30" s="105">
        <f>SUM(I5:I29)</f>
        <v>1635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645</v>
      </c>
      <c r="I31" s="103">
        <f t="shared" si="4"/>
        <v>1635</v>
      </c>
      <c r="J31" s="103">
        <f t="shared" si="4"/>
        <v>165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645</v>
      </c>
      <c r="T31" s="338">
        <f>H31+I31+L31+M31</f>
        <v>2280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2445</v>
      </c>
      <c r="D32" s="196"/>
      <c r="E32" s="107"/>
      <c r="F32" s="331" t="s">
        <v>53</v>
      </c>
      <c r="G32" s="331"/>
      <c r="H32" s="109">
        <f>COUNT(B5:B29,B37:B61,B69:B93)</f>
        <v>21</v>
      </c>
      <c r="I32" s="332" t="s">
        <v>54</v>
      </c>
      <c r="J32" s="332"/>
      <c r="K32" s="108">
        <f>C32/H32</f>
        <v>116.42857142857143</v>
      </c>
      <c r="L32" s="260"/>
      <c r="M32" s="260"/>
      <c r="N32" s="260">
        <f>H31/C32</f>
        <v>0.26380368098159507</v>
      </c>
      <c r="O32" s="260">
        <f>I31/C32</f>
        <v>0.66871165644171782</v>
      </c>
      <c r="P32" s="260">
        <f>K31/C32</f>
        <v>0</v>
      </c>
      <c r="Q32" s="110">
        <f>J31/C32</f>
        <v>6.7484662576687116E-2</v>
      </c>
      <c r="R32" s="99" t="s">
        <v>82</v>
      </c>
      <c r="S32" s="266">
        <f>I31+M31</f>
        <v>1635</v>
      </c>
      <c r="T32" s="340"/>
      <c r="U32" s="341"/>
      <c r="V32" s="55"/>
      <c r="W32" s="55"/>
      <c r="X32" s="56" t="s">
        <v>27</v>
      </c>
      <c r="Y32" s="56"/>
      <c r="Z32" s="54">
        <f>I31</f>
        <v>1635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-1110</v>
      </c>
      <c r="AE33" s="37"/>
      <c r="AF33" s="37"/>
      <c r="AG33" s="59"/>
      <c r="AH33" s="37"/>
    </row>
    <row r="34" spans="1:34" ht="18" thickBot="1" x14ac:dyDescent="0.45">
      <c r="A34" s="297" t="str">
        <f>A2</f>
        <v>B2  13 - 3 - 2022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MIX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5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13 - 3 - 2022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MIX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5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6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42"/>
      <c r="B1" s="542"/>
      <c r="C1" s="542"/>
      <c r="D1" s="542"/>
      <c r="E1" s="540" t="s">
        <v>59</v>
      </c>
      <c r="F1" s="540"/>
      <c r="G1" s="540"/>
      <c r="H1" s="540" t="s">
        <v>60</v>
      </c>
      <c r="I1" s="540"/>
      <c r="J1" s="540"/>
      <c r="K1" s="540"/>
      <c r="L1" s="540" t="s">
        <v>61</v>
      </c>
      <c r="M1" s="540"/>
      <c r="N1" s="540"/>
      <c r="O1" s="540"/>
      <c r="P1" s="540"/>
      <c r="Q1" s="540" t="s">
        <v>62</v>
      </c>
      <c r="R1" s="540"/>
      <c r="S1" s="540"/>
      <c r="T1" s="540"/>
      <c r="U1" s="540"/>
      <c r="V1" s="540" t="s">
        <v>63</v>
      </c>
      <c r="W1" s="540"/>
      <c r="X1" s="540"/>
      <c r="Y1" s="540"/>
      <c r="Z1" s="540"/>
      <c r="AA1" s="540" t="s">
        <v>64</v>
      </c>
      <c r="AB1" s="540"/>
      <c r="AC1" s="540"/>
      <c r="AD1" s="540"/>
    </row>
    <row r="2" spans="1:30" ht="20.100000000000001" customHeight="1" x14ac:dyDescent="0.4">
      <c r="A2" s="459" t="s">
        <v>66</v>
      </c>
      <c r="B2" s="482" t="s">
        <v>57</v>
      </c>
      <c r="C2" s="482"/>
      <c r="D2" s="541"/>
      <c r="E2" s="541">
        <f>MON!N31</f>
        <v>0</v>
      </c>
      <c r="F2" s="541"/>
      <c r="G2" s="541"/>
      <c r="H2" s="543">
        <f>MON!S31</f>
        <v>0</v>
      </c>
      <c r="I2" s="543"/>
      <c r="J2" s="543"/>
      <c r="K2" s="543"/>
      <c r="L2" s="544">
        <f>MON!N32</f>
        <v>0</v>
      </c>
      <c r="M2" s="544"/>
      <c r="N2" s="544"/>
      <c r="O2" s="544"/>
      <c r="P2" s="544"/>
      <c r="Q2" s="612">
        <f>SUM(E2:G5)</f>
        <v>2</v>
      </c>
      <c r="R2" s="613"/>
      <c r="S2" s="613"/>
      <c r="T2" s="613"/>
      <c r="U2" s="614"/>
      <c r="V2" s="554">
        <f>SUM(H2,H3,H5)</f>
        <v>275</v>
      </c>
      <c r="W2" s="555"/>
      <c r="X2" s="555"/>
      <c r="Y2" s="555"/>
      <c r="Z2" s="556"/>
      <c r="AA2" s="563">
        <f>V2/Q2</f>
        <v>137.5</v>
      </c>
      <c r="AB2" s="564"/>
      <c r="AC2" s="564"/>
      <c r="AD2" s="565"/>
    </row>
    <row r="3" spans="1:30" ht="20.100000000000001" customHeight="1" x14ac:dyDescent="0.4">
      <c r="A3" s="460"/>
      <c r="B3" s="482" t="s">
        <v>58</v>
      </c>
      <c r="C3" s="482"/>
      <c r="D3" s="541"/>
      <c r="E3" s="541">
        <f>MON!O31</f>
        <v>2</v>
      </c>
      <c r="F3" s="541"/>
      <c r="G3" s="541"/>
      <c r="H3" s="543">
        <f>MON!S32</f>
        <v>275</v>
      </c>
      <c r="I3" s="543"/>
      <c r="J3" s="543"/>
      <c r="K3" s="543"/>
      <c r="L3" s="544">
        <f>MON!O32</f>
        <v>1</v>
      </c>
      <c r="M3" s="544"/>
      <c r="N3" s="544"/>
      <c r="O3" s="544"/>
      <c r="P3" s="544"/>
      <c r="Q3" s="615"/>
      <c r="R3" s="616"/>
      <c r="S3" s="616"/>
      <c r="T3" s="616"/>
      <c r="U3" s="617"/>
      <c r="V3" s="557"/>
      <c r="W3" s="558"/>
      <c r="X3" s="558"/>
      <c r="Y3" s="558"/>
      <c r="Z3" s="559"/>
      <c r="AA3" s="566"/>
      <c r="AB3" s="567"/>
      <c r="AC3" s="567"/>
      <c r="AD3" s="568"/>
    </row>
    <row r="4" spans="1:30" ht="20.100000000000001" customHeight="1" x14ac:dyDescent="0.4">
      <c r="A4" s="460"/>
      <c r="B4" s="482" t="s">
        <v>45</v>
      </c>
      <c r="C4" s="482"/>
      <c r="D4" s="541"/>
      <c r="E4" s="541">
        <f>MON!P31</f>
        <v>0</v>
      </c>
      <c r="F4" s="541"/>
      <c r="G4" s="541"/>
      <c r="H4" s="543">
        <f>MON!K31</f>
        <v>0</v>
      </c>
      <c r="I4" s="543"/>
      <c r="J4" s="543"/>
      <c r="K4" s="543"/>
      <c r="L4" s="544">
        <f>MON!P32</f>
        <v>0</v>
      </c>
      <c r="M4" s="544"/>
      <c r="N4" s="544"/>
      <c r="O4" s="544"/>
      <c r="P4" s="544"/>
      <c r="Q4" s="615"/>
      <c r="R4" s="616"/>
      <c r="S4" s="616"/>
      <c r="T4" s="616"/>
      <c r="U4" s="617"/>
      <c r="V4" s="557"/>
      <c r="W4" s="558"/>
      <c r="X4" s="558"/>
      <c r="Y4" s="558"/>
      <c r="Z4" s="559"/>
      <c r="AA4" s="566"/>
      <c r="AB4" s="567"/>
      <c r="AC4" s="567"/>
      <c r="AD4" s="568"/>
    </row>
    <row r="5" spans="1:30" ht="20.100000000000001" customHeight="1" x14ac:dyDescent="0.4">
      <c r="A5" s="460"/>
      <c r="B5" s="480" t="s">
        <v>65</v>
      </c>
      <c r="C5" s="481"/>
      <c r="D5" s="482"/>
      <c r="E5" s="480">
        <f>MON!Q31</f>
        <v>0</v>
      </c>
      <c r="F5" s="481"/>
      <c r="G5" s="482"/>
      <c r="H5" s="600">
        <f>MON!J31</f>
        <v>0</v>
      </c>
      <c r="I5" s="601"/>
      <c r="J5" s="601"/>
      <c r="K5" s="602"/>
      <c r="L5" s="603">
        <f>MON!Q32</f>
        <v>0</v>
      </c>
      <c r="M5" s="604"/>
      <c r="N5" s="604"/>
      <c r="O5" s="604"/>
      <c r="P5" s="605"/>
      <c r="Q5" s="618"/>
      <c r="R5" s="619"/>
      <c r="S5" s="619"/>
      <c r="T5" s="619"/>
      <c r="U5" s="620"/>
      <c r="V5" s="560"/>
      <c r="W5" s="561"/>
      <c r="X5" s="561"/>
      <c r="Y5" s="561"/>
      <c r="Z5" s="562"/>
      <c r="AA5" s="569"/>
      <c r="AB5" s="570"/>
      <c r="AC5" s="570"/>
      <c r="AD5" s="571"/>
    </row>
    <row r="6" spans="1:30" ht="20.100000000000001" customHeight="1" x14ac:dyDescent="0.4">
      <c r="A6" s="461"/>
      <c r="B6" s="480" t="s">
        <v>94</v>
      </c>
      <c r="C6" s="481"/>
      <c r="D6" s="482"/>
      <c r="E6" s="480">
        <f>MON!U16</f>
        <v>26</v>
      </c>
      <c r="F6" s="481"/>
      <c r="G6" s="482"/>
      <c r="H6" s="600" t="s">
        <v>95</v>
      </c>
      <c r="I6" s="601"/>
      <c r="J6" s="601"/>
      <c r="K6" s="602"/>
      <c r="L6" s="660">
        <f>MON!T2</f>
        <v>4</v>
      </c>
      <c r="M6" s="661"/>
      <c r="N6" s="661"/>
      <c r="O6" s="661"/>
      <c r="P6" s="662"/>
      <c r="Q6" s="663"/>
      <c r="R6" s="664"/>
      <c r="S6" s="664"/>
      <c r="T6" s="664"/>
      <c r="U6" s="665"/>
      <c r="V6" s="430"/>
      <c r="W6" s="431"/>
      <c r="X6" s="431"/>
      <c r="Y6" s="431"/>
      <c r="Z6" s="432"/>
      <c r="AA6" s="433"/>
      <c r="AB6" s="434"/>
      <c r="AC6" s="434"/>
      <c r="AD6" s="435"/>
    </row>
    <row r="7" spans="1:30" ht="20.100000000000001" customHeight="1" x14ac:dyDescent="0.4">
      <c r="A7" s="462" t="s">
        <v>67</v>
      </c>
      <c r="B7" s="438" t="s">
        <v>57</v>
      </c>
      <c r="C7" s="438"/>
      <c r="D7" s="454"/>
      <c r="E7" s="454">
        <f>TUE!N31</f>
        <v>2</v>
      </c>
      <c r="F7" s="454"/>
      <c r="G7" s="454"/>
      <c r="H7" s="455">
        <f>TUE!S31</f>
        <v>350</v>
      </c>
      <c r="I7" s="455"/>
      <c r="J7" s="455"/>
      <c r="K7" s="455"/>
      <c r="L7" s="456">
        <f>TUE!N32</f>
        <v>0.77777777777777779</v>
      </c>
      <c r="M7" s="457"/>
      <c r="N7" s="457"/>
      <c r="O7" s="457"/>
      <c r="P7" s="458"/>
      <c r="Q7" s="642">
        <f>SUM(E7:G10)</f>
        <v>3</v>
      </c>
      <c r="R7" s="643"/>
      <c r="S7" s="643"/>
      <c r="T7" s="643"/>
      <c r="U7" s="644"/>
      <c r="V7" s="545">
        <f>SUM(H7,H8,H10)</f>
        <v>450</v>
      </c>
      <c r="W7" s="546"/>
      <c r="X7" s="546"/>
      <c r="Y7" s="546"/>
      <c r="Z7" s="547"/>
      <c r="AA7" s="572">
        <f>V7/Q7</f>
        <v>150</v>
      </c>
      <c r="AB7" s="573"/>
      <c r="AC7" s="573"/>
      <c r="AD7" s="574"/>
    </row>
    <row r="8" spans="1:30" ht="20.100000000000001" customHeight="1" x14ac:dyDescent="0.4">
      <c r="A8" s="463"/>
      <c r="B8" s="438" t="s">
        <v>58</v>
      </c>
      <c r="C8" s="438"/>
      <c r="D8" s="454"/>
      <c r="E8" s="454">
        <f>TUE!O31</f>
        <v>1</v>
      </c>
      <c r="F8" s="454"/>
      <c r="G8" s="454"/>
      <c r="H8" s="455">
        <f>TUE!S32</f>
        <v>100</v>
      </c>
      <c r="I8" s="455"/>
      <c r="J8" s="455"/>
      <c r="K8" s="455"/>
      <c r="L8" s="456">
        <f>TUE!O32</f>
        <v>0.22222222222222221</v>
      </c>
      <c r="M8" s="457"/>
      <c r="N8" s="457"/>
      <c r="O8" s="457"/>
      <c r="P8" s="458"/>
      <c r="Q8" s="645"/>
      <c r="R8" s="646"/>
      <c r="S8" s="646"/>
      <c r="T8" s="646"/>
      <c r="U8" s="647"/>
      <c r="V8" s="548"/>
      <c r="W8" s="549"/>
      <c r="X8" s="549"/>
      <c r="Y8" s="549"/>
      <c r="Z8" s="550"/>
      <c r="AA8" s="575"/>
      <c r="AB8" s="576"/>
      <c r="AC8" s="576"/>
      <c r="AD8" s="577"/>
    </row>
    <row r="9" spans="1:30" ht="20.100000000000001" customHeight="1" x14ac:dyDescent="0.4">
      <c r="A9" s="463"/>
      <c r="B9" s="438" t="s">
        <v>45</v>
      </c>
      <c r="C9" s="438"/>
      <c r="D9" s="454"/>
      <c r="E9" s="454">
        <f>TUE!P31</f>
        <v>0</v>
      </c>
      <c r="F9" s="454"/>
      <c r="G9" s="454"/>
      <c r="H9" s="455">
        <f>TUE!K31</f>
        <v>0</v>
      </c>
      <c r="I9" s="455"/>
      <c r="J9" s="455"/>
      <c r="K9" s="455"/>
      <c r="L9" s="456">
        <f>TUE!P32</f>
        <v>0</v>
      </c>
      <c r="M9" s="457"/>
      <c r="N9" s="457"/>
      <c r="O9" s="457"/>
      <c r="P9" s="458"/>
      <c r="Q9" s="645"/>
      <c r="R9" s="646"/>
      <c r="S9" s="646"/>
      <c r="T9" s="646"/>
      <c r="U9" s="647"/>
      <c r="V9" s="548"/>
      <c r="W9" s="549"/>
      <c r="X9" s="549"/>
      <c r="Y9" s="549"/>
      <c r="Z9" s="550"/>
      <c r="AA9" s="575"/>
      <c r="AB9" s="576"/>
      <c r="AC9" s="576"/>
      <c r="AD9" s="577"/>
    </row>
    <row r="10" spans="1:30" ht="20.100000000000001" customHeight="1" x14ac:dyDescent="0.4">
      <c r="A10" s="463"/>
      <c r="B10" s="436" t="s">
        <v>65</v>
      </c>
      <c r="C10" s="437"/>
      <c r="D10" s="438"/>
      <c r="E10" s="436">
        <f>TUE!Q31</f>
        <v>0</v>
      </c>
      <c r="F10" s="437"/>
      <c r="G10" s="438"/>
      <c r="H10" s="439">
        <f>TUE!J31</f>
        <v>0</v>
      </c>
      <c r="I10" s="440"/>
      <c r="J10" s="440"/>
      <c r="K10" s="441"/>
      <c r="L10" s="456">
        <f>TUE!Q32</f>
        <v>0</v>
      </c>
      <c r="M10" s="457"/>
      <c r="N10" s="457"/>
      <c r="O10" s="457"/>
      <c r="P10" s="458"/>
      <c r="Q10" s="648"/>
      <c r="R10" s="649"/>
      <c r="S10" s="649"/>
      <c r="T10" s="649"/>
      <c r="U10" s="650"/>
      <c r="V10" s="551"/>
      <c r="W10" s="552"/>
      <c r="X10" s="552"/>
      <c r="Y10" s="552"/>
      <c r="Z10" s="553"/>
      <c r="AA10" s="578"/>
      <c r="AB10" s="579"/>
      <c r="AC10" s="579"/>
      <c r="AD10" s="580"/>
    </row>
    <row r="11" spans="1:30" ht="20.100000000000001" customHeight="1" x14ac:dyDescent="0.4">
      <c r="A11" s="464"/>
      <c r="B11" s="436" t="s">
        <v>94</v>
      </c>
      <c r="C11" s="437"/>
      <c r="D11" s="438"/>
      <c r="E11" s="436">
        <f>TUE!U16</f>
        <v>15.499999999999998</v>
      </c>
      <c r="F11" s="437"/>
      <c r="G11" s="438"/>
      <c r="H11" s="439" t="s">
        <v>95</v>
      </c>
      <c r="I11" s="440"/>
      <c r="J11" s="440"/>
      <c r="K11" s="441"/>
      <c r="L11" s="442">
        <f>TUE!T2</f>
        <v>2</v>
      </c>
      <c r="M11" s="443"/>
      <c r="N11" s="443"/>
      <c r="O11" s="443"/>
      <c r="P11" s="444"/>
      <c r="Q11" s="445"/>
      <c r="R11" s="446"/>
      <c r="S11" s="446"/>
      <c r="T11" s="446"/>
      <c r="U11" s="447"/>
      <c r="V11" s="448"/>
      <c r="W11" s="449"/>
      <c r="X11" s="449"/>
      <c r="Y11" s="449"/>
      <c r="Z11" s="450"/>
      <c r="AA11" s="451"/>
      <c r="AB11" s="452"/>
      <c r="AC11" s="452"/>
      <c r="AD11" s="453"/>
    </row>
    <row r="12" spans="1:30" ht="20.100000000000001" customHeight="1" x14ac:dyDescent="0.4">
      <c r="A12" s="465" t="s">
        <v>68</v>
      </c>
      <c r="B12" s="485" t="s">
        <v>57</v>
      </c>
      <c r="C12" s="485"/>
      <c r="D12" s="362"/>
      <c r="E12" s="362">
        <f>WED!N31</f>
        <v>2</v>
      </c>
      <c r="F12" s="362"/>
      <c r="G12" s="362"/>
      <c r="H12" s="606">
        <f>WED!S31</f>
        <v>130</v>
      </c>
      <c r="I12" s="607"/>
      <c r="J12" s="607"/>
      <c r="K12" s="608"/>
      <c r="L12" s="609">
        <f>WED!N32</f>
        <v>0.16865594187856772</v>
      </c>
      <c r="M12" s="610"/>
      <c r="N12" s="610"/>
      <c r="O12" s="610"/>
      <c r="P12" s="611"/>
      <c r="Q12" s="621">
        <f>SUM(E12:G15)</f>
        <v>9</v>
      </c>
      <c r="R12" s="622"/>
      <c r="S12" s="622"/>
      <c r="T12" s="622"/>
      <c r="U12" s="623"/>
      <c r="V12" s="402">
        <f>SUM(H12,H13,H15)</f>
        <v>725</v>
      </c>
      <c r="W12" s="403"/>
      <c r="X12" s="403"/>
      <c r="Y12" s="403"/>
      <c r="Z12" s="404"/>
      <c r="AA12" s="393">
        <f>V12/Q12</f>
        <v>80.555555555555557</v>
      </c>
      <c r="AB12" s="394"/>
      <c r="AC12" s="394"/>
      <c r="AD12" s="395"/>
    </row>
    <row r="13" spans="1:30" ht="20.100000000000001" customHeight="1" x14ac:dyDescent="0.4">
      <c r="A13" s="466"/>
      <c r="B13" s="485" t="s">
        <v>58</v>
      </c>
      <c r="C13" s="485"/>
      <c r="D13" s="362"/>
      <c r="E13" s="362">
        <f>WED!O31</f>
        <v>5</v>
      </c>
      <c r="F13" s="362"/>
      <c r="G13" s="362"/>
      <c r="H13" s="606">
        <f>WED!S32</f>
        <v>595</v>
      </c>
      <c r="I13" s="607"/>
      <c r="J13" s="607"/>
      <c r="K13" s="608"/>
      <c r="L13" s="609">
        <f>WED!O32</f>
        <v>0.77192527244421383</v>
      </c>
      <c r="M13" s="610"/>
      <c r="N13" s="610"/>
      <c r="O13" s="610"/>
      <c r="P13" s="611"/>
      <c r="Q13" s="624"/>
      <c r="R13" s="625"/>
      <c r="S13" s="625"/>
      <c r="T13" s="625"/>
      <c r="U13" s="626"/>
      <c r="V13" s="405"/>
      <c r="W13" s="406"/>
      <c r="X13" s="406"/>
      <c r="Y13" s="406"/>
      <c r="Z13" s="407"/>
      <c r="AA13" s="396"/>
      <c r="AB13" s="397"/>
      <c r="AC13" s="397"/>
      <c r="AD13" s="398"/>
    </row>
    <row r="14" spans="1:30" ht="20.100000000000001" customHeight="1" x14ac:dyDescent="0.4">
      <c r="A14" s="466"/>
      <c r="B14" s="485" t="s">
        <v>45</v>
      </c>
      <c r="C14" s="485"/>
      <c r="D14" s="362"/>
      <c r="E14" s="362">
        <f>WED!P31</f>
        <v>2</v>
      </c>
      <c r="F14" s="362"/>
      <c r="G14" s="362"/>
      <c r="H14" s="606">
        <f>WED!K31</f>
        <v>45.8</v>
      </c>
      <c r="I14" s="607"/>
      <c r="J14" s="607"/>
      <c r="K14" s="608"/>
      <c r="L14" s="609">
        <f>WED!P32</f>
        <v>5.9418785677218477E-2</v>
      </c>
      <c r="M14" s="610"/>
      <c r="N14" s="610"/>
      <c r="O14" s="610"/>
      <c r="P14" s="611"/>
      <c r="Q14" s="624"/>
      <c r="R14" s="625"/>
      <c r="S14" s="625"/>
      <c r="T14" s="625"/>
      <c r="U14" s="626"/>
      <c r="V14" s="405"/>
      <c r="W14" s="406"/>
      <c r="X14" s="406"/>
      <c r="Y14" s="406"/>
      <c r="Z14" s="407"/>
      <c r="AA14" s="396"/>
      <c r="AB14" s="397"/>
      <c r="AC14" s="397"/>
      <c r="AD14" s="398"/>
    </row>
    <row r="15" spans="1:30" ht="20.100000000000001" customHeight="1" x14ac:dyDescent="0.4">
      <c r="A15" s="466"/>
      <c r="B15" s="483" t="s">
        <v>65</v>
      </c>
      <c r="C15" s="484"/>
      <c r="D15" s="485"/>
      <c r="E15" s="483">
        <f>WED!Q31</f>
        <v>0</v>
      </c>
      <c r="F15" s="484"/>
      <c r="G15" s="485"/>
      <c r="H15" s="606">
        <f>WED!J31</f>
        <v>0</v>
      </c>
      <c r="I15" s="607"/>
      <c r="J15" s="607"/>
      <c r="K15" s="608"/>
      <c r="L15" s="609">
        <f>WED!Q32</f>
        <v>0</v>
      </c>
      <c r="M15" s="610"/>
      <c r="N15" s="610"/>
      <c r="O15" s="610"/>
      <c r="P15" s="611"/>
      <c r="Q15" s="627"/>
      <c r="R15" s="628"/>
      <c r="S15" s="628"/>
      <c r="T15" s="628"/>
      <c r="U15" s="629"/>
      <c r="V15" s="408"/>
      <c r="W15" s="409"/>
      <c r="X15" s="409"/>
      <c r="Y15" s="409"/>
      <c r="Z15" s="410"/>
      <c r="AA15" s="399"/>
      <c r="AB15" s="400"/>
      <c r="AC15" s="400"/>
      <c r="AD15" s="401"/>
    </row>
    <row r="16" spans="1:30" ht="20.100000000000001" customHeight="1" x14ac:dyDescent="0.4">
      <c r="A16" s="467"/>
      <c r="B16" s="483" t="s">
        <v>94</v>
      </c>
      <c r="C16" s="484"/>
      <c r="D16" s="485"/>
      <c r="E16" s="483">
        <f>WED!U16</f>
        <v>27</v>
      </c>
      <c r="F16" s="484"/>
      <c r="G16" s="485"/>
      <c r="H16" s="606" t="s">
        <v>95</v>
      </c>
      <c r="I16" s="607"/>
      <c r="J16" s="607"/>
      <c r="K16" s="608"/>
      <c r="L16" s="666">
        <f>WED!T2</f>
        <v>4</v>
      </c>
      <c r="M16" s="667"/>
      <c r="N16" s="667"/>
      <c r="O16" s="667"/>
      <c r="P16" s="668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468" t="s">
        <v>69</v>
      </c>
      <c r="B17" s="488" t="s">
        <v>57</v>
      </c>
      <c r="C17" s="488"/>
      <c r="D17" s="415"/>
      <c r="E17" s="415">
        <f>THU!N31</f>
        <v>4</v>
      </c>
      <c r="F17" s="415"/>
      <c r="G17" s="415"/>
      <c r="H17" s="414">
        <f>THU!S31</f>
        <v>445</v>
      </c>
      <c r="I17" s="414"/>
      <c r="J17" s="414"/>
      <c r="K17" s="414"/>
      <c r="L17" s="424">
        <f>THU!N32</f>
        <v>0.16360895621162541</v>
      </c>
      <c r="M17" s="424"/>
      <c r="N17" s="424"/>
      <c r="O17" s="424"/>
      <c r="P17" s="424"/>
      <c r="Q17" s="651">
        <f>SUM(E17:G20)</f>
        <v>17</v>
      </c>
      <c r="R17" s="652"/>
      <c r="S17" s="652"/>
      <c r="T17" s="652"/>
      <c r="U17" s="653"/>
      <c r="V17" s="591">
        <f>SUM(H17,H18,H20)</f>
        <v>2545</v>
      </c>
      <c r="W17" s="592"/>
      <c r="X17" s="592"/>
      <c r="Y17" s="592"/>
      <c r="Z17" s="593"/>
      <c r="AA17" s="582">
        <f>V17/Q17</f>
        <v>149.70588235294119</v>
      </c>
      <c r="AB17" s="583"/>
      <c r="AC17" s="583"/>
      <c r="AD17" s="584"/>
    </row>
    <row r="18" spans="1:30" ht="20.100000000000001" customHeight="1" x14ac:dyDescent="0.4">
      <c r="A18" s="469"/>
      <c r="B18" s="488" t="s">
        <v>58</v>
      </c>
      <c r="C18" s="488"/>
      <c r="D18" s="415"/>
      <c r="E18" s="415">
        <f>THU!O31</f>
        <v>12</v>
      </c>
      <c r="F18" s="415"/>
      <c r="G18" s="415"/>
      <c r="H18" s="414">
        <f>THU!S32</f>
        <v>2100</v>
      </c>
      <c r="I18" s="414"/>
      <c r="J18" s="414"/>
      <c r="K18" s="414"/>
      <c r="L18" s="424">
        <f>THU!O32</f>
        <v>0.77208720908856943</v>
      </c>
      <c r="M18" s="424"/>
      <c r="N18" s="424"/>
      <c r="O18" s="424"/>
      <c r="P18" s="424"/>
      <c r="Q18" s="654"/>
      <c r="R18" s="655"/>
      <c r="S18" s="655"/>
      <c r="T18" s="655"/>
      <c r="U18" s="656"/>
      <c r="V18" s="594"/>
      <c r="W18" s="595"/>
      <c r="X18" s="595"/>
      <c r="Y18" s="595"/>
      <c r="Z18" s="596"/>
      <c r="AA18" s="585"/>
      <c r="AB18" s="586"/>
      <c r="AC18" s="586"/>
      <c r="AD18" s="587"/>
    </row>
    <row r="19" spans="1:30" ht="20.100000000000001" customHeight="1" x14ac:dyDescent="0.4">
      <c r="A19" s="469"/>
      <c r="B19" s="488" t="s">
        <v>45</v>
      </c>
      <c r="C19" s="488"/>
      <c r="D19" s="415"/>
      <c r="E19" s="415">
        <f>THU!P31</f>
        <v>1</v>
      </c>
      <c r="F19" s="415"/>
      <c r="G19" s="415"/>
      <c r="H19" s="414">
        <f>THU!K31</f>
        <v>174.9</v>
      </c>
      <c r="I19" s="414"/>
      <c r="J19" s="414"/>
      <c r="K19" s="414"/>
      <c r="L19" s="424">
        <f>THU!P32</f>
        <v>6.4303834699805135E-2</v>
      </c>
      <c r="M19" s="424"/>
      <c r="N19" s="424"/>
      <c r="O19" s="424"/>
      <c r="P19" s="424"/>
      <c r="Q19" s="654"/>
      <c r="R19" s="655"/>
      <c r="S19" s="655"/>
      <c r="T19" s="655"/>
      <c r="U19" s="656"/>
      <c r="V19" s="594"/>
      <c r="W19" s="595"/>
      <c r="X19" s="595"/>
      <c r="Y19" s="595"/>
      <c r="Z19" s="596"/>
      <c r="AA19" s="585"/>
      <c r="AB19" s="586"/>
      <c r="AC19" s="586"/>
      <c r="AD19" s="587"/>
    </row>
    <row r="20" spans="1:30" ht="20.100000000000001" customHeight="1" x14ac:dyDescent="0.4">
      <c r="A20" s="469"/>
      <c r="B20" s="486" t="s">
        <v>65</v>
      </c>
      <c r="C20" s="487"/>
      <c r="D20" s="488"/>
      <c r="E20" s="486">
        <f>THU!Q31</f>
        <v>0</v>
      </c>
      <c r="F20" s="487"/>
      <c r="G20" s="488"/>
      <c r="H20" s="669">
        <f>THU!J31</f>
        <v>0</v>
      </c>
      <c r="I20" s="670"/>
      <c r="J20" s="670"/>
      <c r="K20" s="671"/>
      <c r="L20" s="681">
        <f>THU!Q32</f>
        <v>0</v>
      </c>
      <c r="M20" s="682"/>
      <c r="N20" s="682"/>
      <c r="O20" s="682"/>
      <c r="P20" s="683"/>
      <c r="Q20" s="657"/>
      <c r="R20" s="658"/>
      <c r="S20" s="658"/>
      <c r="T20" s="658"/>
      <c r="U20" s="659"/>
      <c r="V20" s="597"/>
      <c r="W20" s="598"/>
      <c r="X20" s="598"/>
      <c r="Y20" s="598"/>
      <c r="Z20" s="599"/>
      <c r="AA20" s="588"/>
      <c r="AB20" s="589"/>
      <c r="AC20" s="589"/>
      <c r="AD20" s="590"/>
    </row>
    <row r="21" spans="1:30" ht="20.100000000000001" customHeight="1" x14ac:dyDescent="0.4">
      <c r="A21" s="470"/>
      <c r="B21" s="486" t="s">
        <v>94</v>
      </c>
      <c r="C21" s="487"/>
      <c r="D21" s="488"/>
      <c r="E21" s="486">
        <f>THU!U16</f>
        <v>47.250000000000007</v>
      </c>
      <c r="F21" s="487"/>
      <c r="G21" s="488"/>
      <c r="H21" s="669" t="s">
        <v>95</v>
      </c>
      <c r="I21" s="670"/>
      <c r="J21" s="670"/>
      <c r="K21" s="671"/>
      <c r="L21" s="688">
        <f>THU!T2</f>
        <v>6</v>
      </c>
      <c r="M21" s="689"/>
      <c r="N21" s="689"/>
      <c r="O21" s="689"/>
      <c r="P21" s="690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471" t="s">
        <v>93</v>
      </c>
      <c r="B22" s="491" t="s">
        <v>57</v>
      </c>
      <c r="C22" s="491"/>
      <c r="D22" s="496"/>
      <c r="E22" s="496">
        <f>FRI!N31</f>
        <v>2</v>
      </c>
      <c r="F22" s="496"/>
      <c r="G22" s="496"/>
      <c r="H22" s="419">
        <f>FRI!S31</f>
        <v>155</v>
      </c>
      <c r="I22" s="419"/>
      <c r="J22" s="419"/>
      <c r="K22" s="419"/>
      <c r="L22" s="420">
        <f>FRI!N32</f>
        <v>8.4782846515698493E-2</v>
      </c>
      <c r="M22" s="420"/>
      <c r="N22" s="420"/>
      <c r="O22" s="420"/>
      <c r="P22" s="420"/>
      <c r="Q22" s="727">
        <f>SUM(E22:G25)</f>
        <v>16</v>
      </c>
      <c r="R22" s="728"/>
      <c r="S22" s="728"/>
      <c r="T22" s="728"/>
      <c r="U22" s="729"/>
      <c r="V22" s="672">
        <f>SUM(H22,H23,H25)</f>
        <v>2020</v>
      </c>
      <c r="W22" s="673"/>
      <c r="X22" s="673"/>
      <c r="Y22" s="673"/>
      <c r="Z22" s="674"/>
      <c r="AA22" s="694">
        <f>V22/Q22</f>
        <v>126.25</v>
      </c>
      <c r="AB22" s="695"/>
      <c r="AC22" s="695"/>
      <c r="AD22" s="696"/>
    </row>
    <row r="23" spans="1:30" ht="20.100000000000001" customHeight="1" x14ac:dyDescent="0.4">
      <c r="A23" s="472"/>
      <c r="B23" s="491" t="s">
        <v>58</v>
      </c>
      <c r="C23" s="491"/>
      <c r="D23" s="496"/>
      <c r="E23" s="496">
        <f>FRI!O31</f>
        <v>10</v>
      </c>
      <c r="F23" s="496"/>
      <c r="G23" s="496"/>
      <c r="H23" s="419">
        <f>FRI!S32</f>
        <v>1645</v>
      </c>
      <c r="I23" s="419"/>
      <c r="J23" s="419"/>
      <c r="K23" s="419"/>
      <c r="L23" s="420">
        <f>FRI!O32</f>
        <v>0.63997374466688539</v>
      </c>
      <c r="M23" s="420"/>
      <c r="N23" s="420"/>
      <c r="O23" s="420"/>
      <c r="P23" s="420"/>
      <c r="Q23" s="730"/>
      <c r="R23" s="731"/>
      <c r="S23" s="731"/>
      <c r="T23" s="731"/>
      <c r="U23" s="732"/>
      <c r="V23" s="675"/>
      <c r="W23" s="676"/>
      <c r="X23" s="676"/>
      <c r="Y23" s="676"/>
      <c r="Z23" s="677"/>
      <c r="AA23" s="697"/>
      <c r="AB23" s="698"/>
      <c r="AC23" s="698"/>
      <c r="AD23" s="699"/>
    </row>
    <row r="24" spans="1:30" ht="20.100000000000001" customHeight="1" x14ac:dyDescent="0.4">
      <c r="A24" s="472"/>
      <c r="B24" s="491" t="s">
        <v>45</v>
      </c>
      <c r="C24" s="491"/>
      <c r="D24" s="496"/>
      <c r="E24" s="496">
        <f>FRI!P31</f>
        <v>3</v>
      </c>
      <c r="F24" s="496"/>
      <c r="G24" s="496"/>
      <c r="H24" s="419">
        <f>FRI!K31</f>
        <v>283.2</v>
      </c>
      <c r="I24" s="419"/>
      <c r="J24" s="419"/>
      <c r="K24" s="419"/>
      <c r="L24" s="420">
        <f>FRI!P32</f>
        <v>0.15490646537577946</v>
      </c>
      <c r="M24" s="420"/>
      <c r="N24" s="420"/>
      <c r="O24" s="420"/>
      <c r="P24" s="420"/>
      <c r="Q24" s="730"/>
      <c r="R24" s="731"/>
      <c r="S24" s="731"/>
      <c r="T24" s="731"/>
      <c r="U24" s="732"/>
      <c r="V24" s="675"/>
      <c r="W24" s="676"/>
      <c r="X24" s="676"/>
      <c r="Y24" s="676"/>
      <c r="Z24" s="677"/>
      <c r="AA24" s="697"/>
      <c r="AB24" s="698"/>
      <c r="AC24" s="698"/>
      <c r="AD24" s="699"/>
    </row>
    <row r="25" spans="1:30" ht="20.100000000000001" customHeight="1" x14ac:dyDescent="0.4">
      <c r="A25" s="472"/>
      <c r="B25" s="489" t="s">
        <v>65</v>
      </c>
      <c r="C25" s="490"/>
      <c r="D25" s="491"/>
      <c r="E25" s="489">
        <f>FRI!Q31</f>
        <v>1</v>
      </c>
      <c r="F25" s="490"/>
      <c r="G25" s="491"/>
      <c r="H25" s="721">
        <f>FRI!J31</f>
        <v>220</v>
      </c>
      <c r="I25" s="722"/>
      <c r="J25" s="722"/>
      <c r="K25" s="723"/>
      <c r="L25" s="724">
        <f>FRI!Q32</f>
        <v>0.12033694344163658</v>
      </c>
      <c r="M25" s="725"/>
      <c r="N25" s="725"/>
      <c r="O25" s="725"/>
      <c r="P25" s="726"/>
      <c r="Q25" s="733"/>
      <c r="R25" s="734"/>
      <c r="S25" s="734"/>
      <c r="T25" s="734"/>
      <c r="U25" s="735"/>
      <c r="V25" s="678"/>
      <c r="W25" s="679"/>
      <c r="X25" s="679"/>
      <c r="Y25" s="679"/>
      <c r="Z25" s="680"/>
      <c r="AA25" s="700"/>
      <c r="AB25" s="701"/>
      <c r="AC25" s="701"/>
      <c r="AD25" s="702"/>
    </row>
    <row r="26" spans="1:30" ht="20.100000000000001" customHeight="1" x14ac:dyDescent="0.4">
      <c r="A26" s="473"/>
      <c r="B26" s="489" t="s">
        <v>94</v>
      </c>
      <c r="C26" s="490"/>
      <c r="D26" s="491"/>
      <c r="E26" s="489">
        <f>FRI!U16</f>
        <v>33.25</v>
      </c>
      <c r="F26" s="490"/>
      <c r="G26" s="491"/>
      <c r="H26" s="721" t="s">
        <v>95</v>
      </c>
      <c r="I26" s="722"/>
      <c r="J26" s="722"/>
      <c r="K26" s="723"/>
      <c r="L26" s="691">
        <f>FRI!T2</f>
        <v>4</v>
      </c>
      <c r="M26" s="692"/>
      <c r="N26" s="692"/>
      <c r="O26" s="692"/>
      <c r="P26" s="693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474" t="s">
        <v>70</v>
      </c>
      <c r="B27" s="429" t="s">
        <v>57</v>
      </c>
      <c r="C27" s="429"/>
      <c r="D27" s="426"/>
      <c r="E27" s="426">
        <f>SAT!N31</f>
        <v>1</v>
      </c>
      <c r="F27" s="426"/>
      <c r="G27" s="426"/>
      <c r="H27" s="581">
        <f>SAT!S31</f>
        <v>75</v>
      </c>
      <c r="I27" s="581"/>
      <c r="J27" s="581"/>
      <c r="K27" s="581"/>
      <c r="L27" s="425">
        <f>SAT!N32</f>
        <v>2.9490405787983644E-2</v>
      </c>
      <c r="M27" s="425"/>
      <c r="N27" s="425"/>
      <c r="O27" s="425"/>
      <c r="P27" s="425"/>
      <c r="Q27" s="630">
        <f>SUM(E27:G30)</f>
        <v>24</v>
      </c>
      <c r="R27" s="631"/>
      <c r="S27" s="631"/>
      <c r="T27" s="631"/>
      <c r="U27" s="632"/>
      <c r="V27" s="712">
        <f>SUM(H27,H28,H30)</f>
        <v>2310</v>
      </c>
      <c r="W27" s="713"/>
      <c r="X27" s="713"/>
      <c r="Y27" s="713"/>
      <c r="Z27" s="714"/>
      <c r="AA27" s="703">
        <f>V27/Q27</f>
        <v>96.25</v>
      </c>
      <c r="AB27" s="704"/>
      <c r="AC27" s="704"/>
      <c r="AD27" s="705"/>
    </row>
    <row r="28" spans="1:30" ht="20.100000000000001" customHeight="1" x14ac:dyDescent="0.4">
      <c r="A28" s="475"/>
      <c r="B28" s="429" t="s">
        <v>58</v>
      </c>
      <c r="C28" s="429"/>
      <c r="D28" s="426"/>
      <c r="E28" s="426">
        <f>SAT!O31</f>
        <v>21</v>
      </c>
      <c r="F28" s="426"/>
      <c r="G28" s="426"/>
      <c r="H28" s="581">
        <f>SAT!S32</f>
        <v>2235</v>
      </c>
      <c r="I28" s="581"/>
      <c r="J28" s="581"/>
      <c r="K28" s="581"/>
      <c r="L28" s="425">
        <f>SAT!O32</f>
        <v>0.87881409248191267</v>
      </c>
      <c r="M28" s="425"/>
      <c r="N28" s="425"/>
      <c r="O28" s="425"/>
      <c r="P28" s="425"/>
      <c r="Q28" s="633"/>
      <c r="R28" s="634"/>
      <c r="S28" s="634"/>
      <c r="T28" s="634"/>
      <c r="U28" s="635"/>
      <c r="V28" s="715"/>
      <c r="W28" s="716"/>
      <c r="X28" s="716"/>
      <c r="Y28" s="716"/>
      <c r="Z28" s="717"/>
      <c r="AA28" s="706"/>
      <c r="AB28" s="707"/>
      <c r="AC28" s="707"/>
      <c r="AD28" s="708"/>
    </row>
    <row r="29" spans="1:30" ht="20.100000000000001" customHeight="1" x14ac:dyDescent="0.4">
      <c r="A29" s="475"/>
      <c r="B29" s="429" t="s">
        <v>45</v>
      </c>
      <c r="C29" s="429"/>
      <c r="D29" s="426"/>
      <c r="E29" s="426">
        <f>SAT!P31</f>
        <v>2</v>
      </c>
      <c r="F29" s="426"/>
      <c r="G29" s="426"/>
      <c r="H29" s="581">
        <f>SAT!K31</f>
        <v>233.2</v>
      </c>
      <c r="I29" s="581"/>
      <c r="J29" s="581"/>
      <c r="K29" s="581"/>
      <c r="L29" s="425">
        <f>SAT!P32</f>
        <v>9.1695501730103809E-2</v>
      </c>
      <c r="M29" s="425"/>
      <c r="N29" s="425"/>
      <c r="O29" s="425"/>
      <c r="P29" s="425"/>
      <c r="Q29" s="633"/>
      <c r="R29" s="634"/>
      <c r="S29" s="634"/>
      <c r="T29" s="634"/>
      <c r="U29" s="635"/>
      <c r="V29" s="715"/>
      <c r="W29" s="716"/>
      <c r="X29" s="716"/>
      <c r="Y29" s="716"/>
      <c r="Z29" s="717"/>
      <c r="AA29" s="706"/>
      <c r="AB29" s="707"/>
      <c r="AC29" s="707"/>
      <c r="AD29" s="708"/>
    </row>
    <row r="30" spans="1:30" ht="20.100000000000001" customHeight="1" x14ac:dyDescent="0.4">
      <c r="A30" s="475"/>
      <c r="B30" s="427" t="s">
        <v>65</v>
      </c>
      <c r="C30" s="428"/>
      <c r="D30" s="429"/>
      <c r="E30" s="427">
        <f>SAT!Q31</f>
        <v>0</v>
      </c>
      <c r="F30" s="428"/>
      <c r="G30" s="429"/>
      <c r="H30" s="421">
        <f>SAT!J31</f>
        <v>0</v>
      </c>
      <c r="I30" s="422"/>
      <c r="J30" s="422"/>
      <c r="K30" s="423"/>
      <c r="L30" s="639">
        <f>SAT!Q32</f>
        <v>0</v>
      </c>
      <c r="M30" s="640"/>
      <c r="N30" s="640"/>
      <c r="O30" s="640"/>
      <c r="P30" s="641"/>
      <c r="Q30" s="636"/>
      <c r="R30" s="637"/>
      <c r="S30" s="637"/>
      <c r="T30" s="637"/>
      <c r="U30" s="638"/>
      <c r="V30" s="718"/>
      <c r="W30" s="719"/>
      <c r="X30" s="719"/>
      <c r="Y30" s="719"/>
      <c r="Z30" s="720"/>
      <c r="AA30" s="709"/>
      <c r="AB30" s="710"/>
      <c r="AC30" s="710"/>
      <c r="AD30" s="711"/>
    </row>
    <row r="31" spans="1:30" ht="20.100000000000001" customHeight="1" x14ac:dyDescent="0.4">
      <c r="A31" s="476"/>
      <c r="B31" s="427" t="s">
        <v>94</v>
      </c>
      <c r="C31" s="428"/>
      <c r="D31" s="429"/>
      <c r="E31" s="427">
        <f>SAT!U16</f>
        <v>52</v>
      </c>
      <c r="F31" s="428"/>
      <c r="G31" s="429"/>
      <c r="H31" s="421" t="s">
        <v>95</v>
      </c>
      <c r="I31" s="422"/>
      <c r="J31" s="422"/>
      <c r="K31" s="423"/>
      <c r="L31" s="411">
        <f>SAT!T2</f>
        <v>6</v>
      </c>
      <c r="M31" s="412"/>
      <c r="N31" s="412"/>
      <c r="O31" s="412"/>
      <c r="P31" s="413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477" t="s">
        <v>71</v>
      </c>
      <c r="B32" s="495" t="s">
        <v>57</v>
      </c>
      <c r="C32" s="416"/>
      <c r="D32" s="416"/>
      <c r="E32" s="416">
        <f>SUN!N31</f>
        <v>6</v>
      </c>
      <c r="F32" s="416"/>
      <c r="G32" s="416"/>
      <c r="H32" s="417">
        <f>SUN!S31</f>
        <v>645</v>
      </c>
      <c r="I32" s="417"/>
      <c r="J32" s="417"/>
      <c r="K32" s="417"/>
      <c r="L32" s="418">
        <f>SUN!N32</f>
        <v>0.26380368098159507</v>
      </c>
      <c r="M32" s="418"/>
      <c r="N32" s="418"/>
      <c r="O32" s="418"/>
      <c r="P32" s="418"/>
      <c r="Q32" s="687">
        <f>SUM(E32:G35)</f>
        <v>21</v>
      </c>
      <c r="R32" s="687"/>
      <c r="S32" s="687"/>
      <c r="T32" s="687"/>
      <c r="U32" s="687"/>
      <c r="V32" s="745">
        <f>SUM(H32,H33,H35)</f>
        <v>2445</v>
      </c>
      <c r="W32" s="745"/>
      <c r="X32" s="745"/>
      <c r="Y32" s="745"/>
      <c r="Z32" s="745"/>
      <c r="AA32" s="759">
        <f>V32/Q32</f>
        <v>116.42857142857143</v>
      </c>
      <c r="AB32" s="760"/>
      <c r="AC32" s="760"/>
      <c r="AD32" s="760"/>
    </row>
    <row r="33" spans="1:30" ht="20.100000000000001" customHeight="1" x14ac:dyDescent="0.4">
      <c r="A33" s="478"/>
      <c r="B33" s="495" t="s">
        <v>58</v>
      </c>
      <c r="C33" s="416"/>
      <c r="D33" s="416"/>
      <c r="E33" s="416">
        <f>SUN!O31</f>
        <v>13</v>
      </c>
      <c r="F33" s="416"/>
      <c r="G33" s="416"/>
      <c r="H33" s="417">
        <f>SUN!S32</f>
        <v>1635</v>
      </c>
      <c r="I33" s="417"/>
      <c r="J33" s="417"/>
      <c r="K33" s="417"/>
      <c r="L33" s="418">
        <f>SUN!O32</f>
        <v>0.66871165644171782</v>
      </c>
      <c r="M33" s="418"/>
      <c r="N33" s="418"/>
      <c r="O33" s="418"/>
      <c r="P33" s="418"/>
      <c r="Q33" s="687"/>
      <c r="R33" s="687"/>
      <c r="S33" s="687"/>
      <c r="T33" s="687"/>
      <c r="U33" s="687"/>
      <c r="V33" s="745"/>
      <c r="W33" s="745"/>
      <c r="X33" s="745"/>
      <c r="Y33" s="745"/>
      <c r="Z33" s="745"/>
      <c r="AA33" s="760"/>
      <c r="AB33" s="760"/>
      <c r="AC33" s="760"/>
      <c r="AD33" s="760"/>
    </row>
    <row r="34" spans="1:30" ht="20.100000000000001" customHeight="1" x14ac:dyDescent="0.4">
      <c r="A34" s="478"/>
      <c r="B34" s="495" t="s">
        <v>45</v>
      </c>
      <c r="C34" s="416"/>
      <c r="D34" s="416"/>
      <c r="E34" s="416">
        <f>SUN!P31</f>
        <v>0</v>
      </c>
      <c r="F34" s="416"/>
      <c r="G34" s="416"/>
      <c r="H34" s="417">
        <f>SUN!K31</f>
        <v>0</v>
      </c>
      <c r="I34" s="417"/>
      <c r="J34" s="417"/>
      <c r="K34" s="417"/>
      <c r="L34" s="418">
        <f>SUN!P32</f>
        <v>0</v>
      </c>
      <c r="M34" s="418"/>
      <c r="N34" s="418"/>
      <c r="O34" s="418"/>
      <c r="P34" s="418"/>
      <c r="Q34" s="687"/>
      <c r="R34" s="687"/>
      <c r="S34" s="687"/>
      <c r="T34" s="687"/>
      <c r="U34" s="687"/>
      <c r="V34" s="745"/>
      <c r="W34" s="745"/>
      <c r="X34" s="745"/>
      <c r="Y34" s="745"/>
      <c r="Z34" s="745"/>
      <c r="AA34" s="760"/>
      <c r="AB34" s="760"/>
      <c r="AC34" s="760"/>
      <c r="AD34" s="760"/>
    </row>
    <row r="35" spans="1:30" ht="20.100000000000001" customHeight="1" x14ac:dyDescent="0.4">
      <c r="A35" s="478"/>
      <c r="B35" s="495" t="s">
        <v>65</v>
      </c>
      <c r="C35" s="416"/>
      <c r="D35" s="416"/>
      <c r="E35" s="416">
        <f>SUN!Q31</f>
        <v>2</v>
      </c>
      <c r="F35" s="416"/>
      <c r="G35" s="416"/>
      <c r="H35" s="417">
        <f>SUN!J31</f>
        <v>165</v>
      </c>
      <c r="I35" s="417"/>
      <c r="J35" s="417"/>
      <c r="K35" s="417"/>
      <c r="L35" s="418">
        <f>SUN!Q32</f>
        <v>6.7484662576687116E-2</v>
      </c>
      <c r="M35" s="418"/>
      <c r="N35" s="418"/>
      <c r="O35" s="418"/>
      <c r="P35" s="418"/>
      <c r="Q35" s="687"/>
      <c r="R35" s="687"/>
      <c r="S35" s="687"/>
      <c r="T35" s="687"/>
      <c r="U35" s="687"/>
      <c r="V35" s="745"/>
      <c r="W35" s="745"/>
      <c r="X35" s="745"/>
      <c r="Y35" s="745"/>
      <c r="Z35" s="745"/>
      <c r="AA35" s="760"/>
      <c r="AB35" s="760"/>
      <c r="AC35" s="760"/>
      <c r="AD35" s="760"/>
    </row>
    <row r="36" spans="1:30" ht="20.100000000000001" customHeight="1" thickBot="1" x14ac:dyDescent="0.45">
      <c r="A36" s="479"/>
      <c r="B36" s="492" t="s">
        <v>94</v>
      </c>
      <c r="C36" s="493"/>
      <c r="D36" s="494"/>
      <c r="E36" s="492">
        <f>SUN!U16</f>
        <v>46</v>
      </c>
      <c r="F36" s="493"/>
      <c r="G36" s="494"/>
      <c r="H36" s="492" t="s">
        <v>95</v>
      </c>
      <c r="I36" s="493"/>
      <c r="J36" s="493"/>
      <c r="K36" s="494"/>
      <c r="L36" s="761">
        <f>SUN!T2</f>
        <v>5</v>
      </c>
      <c r="M36" s="762"/>
      <c r="N36" s="762"/>
      <c r="O36" s="762"/>
      <c r="P36" s="763"/>
      <c r="Q36" s="684"/>
      <c r="R36" s="685"/>
      <c r="S36" s="685"/>
      <c r="T36" s="685"/>
      <c r="U36" s="686"/>
      <c r="V36" s="748"/>
      <c r="W36" s="749"/>
      <c r="X36" s="749"/>
      <c r="Y36" s="749"/>
      <c r="Z36" s="750"/>
      <c r="AA36" s="751"/>
      <c r="AB36" s="752"/>
      <c r="AC36" s="752"/>
      <c r="AD36" s="753"/>
    </row>
    <row r="37" spans="1:30" ht="16.5" customHeight="1" x14ac:dyDescent="0.4">
      <c r="A37" s="736" t="s">
        <v>72</v>
      </c>
      <c r="B37" s="737"/>
      <c r="C37" s="737"/>
      <c r="D37" s="737"/>
      <c r="E37" s="737" t="s">
        <v>73</v>
      </c>
      <c r="F37" s="737"/>
      <c r="G37" s="737"/>
      <c r="H37" s="737"/>
      <c r="I37" s="737"/>
      <c r="J37" s="737"/>
      <c r="K37" s="737" t="s">
        <v>74</v>
      </c>
      <c r="L37" s="737"/>
      <c r="M37" s="737"/>
      <c r="N37" s="737"/>
      <c r="O37" s="737" t="s">
        <v>65</v>
      </c>
      <c r="P37" s="737"/>
      <c r="Q37" s="737"/>
      <c r="R37" s="737"/>
      <c r="S37" s="737"/>
      <c r="T37" s="737" t="s">
        <v>75</v>
      </c>
      <c r="U37" s="737"/>
      <c r="V37" s="737"/>
      <c r="W37" s="737"/>
      <c r="X37" s="737"/>
      <c r="Y37" s="737" t="s">
        <v>76</v>
      </c>
      <c r="Z37" s="737"/>
      <c r="AA37" s="737"/>
      <c r="AB37" s="737"/>
      <c r="AC37" s="737"/>
      <c r="AD37" s="746"/>
    </row>
    <row r="38" spans="1:30" ht="16.5" customHeight="1" x14ac:dyDescent="0.4">
      <c r="A38" s="738"/>
      <c r="B38" s="739"/>
      <c r="C38" s="739"/>
      <c r="D38" s="739"/>
      <c r="E38" s="739"/>
      <c r="F38" s="739"/>
      <c r="G38" s="739"/>
      <c r="H38" s="739"/>
      <c r="I38" s="739"/>
      <c r="J38" s="739"/>
      <c r="K38" s="739"/>
      <c r="L38" s="739"/>
      <c r="M38" s="739"/>
      <c r="N38" s="739"/>
      <c r="O38" s="739"/>
      <c r="P38" s="739"/>
      <c r="Q38" s="739"/>
      <c r="R38" s="739"/>
      <c r="S38" s="739"/>
      <c r="T38" s="739"/>
      <c r="U38" s="739"/>
      <c r="V38" s="739"/>
      <c r="W38" s="739"/>
      <c r="X38" s="739"/>
      <c r="Y38" s="739"/>
      <c r="Z38" s="739"/>
      <c r="AA38" s="739"/>
      <c r="AB38" s="739"/>
      <c r="AC38" s="739"/>
      <c r="AD38" s="747"/>
    </row>
    <row r="39" spans="1:30" ht="16.5" customHeight="1" x14ac:dyDescent="0.4">
      <c r="A39" s="740">
        <f>SUM(Q2:U35)</f>
        <v>92</v>
      </c>
      <c r="B39" s="741"/>
      <c r="C39" s="741"/>
      <c r="D39" s="741"/>
      <c r="E39" s="744">
        <f>SUM(V2:Z35)</f>
        <v>10770</v>
      </c>
      <c r="F39" s="741"/>
      <c r="G39" s="741"/>
      <c r="H39" s="741"/>
      <c r="I39" s="741"/>
      <c r="J39" s="741"/>
      <c r="K39" s="744">
        <f>E39/A39</f>
        <v>117.06521739130434</v>
      </c>
      <c r="L39" s="741"/>
      <c r="M39" s="741"/>
      <c r="N39" s="741"/>
      <c r="O39" s="741">
        <f>SUM(MON:SUN!Q31)</f>
        <v>3</v>
      </c>
      <c r="P39" s="741"/>
      <c r="Q39" s="741"/>
      <c r="R39" s="741"/>
      <c r="S39" s="741"/>
      <c r="T39" s="741">
        <f>SUM(MON:SUN!P31)</f>
        <v>8</v>
      </c>
      <c r="U39" s="741"/>
      <c r="V39" s="741"/>
      <c r="W39" s="741"/>
      <c r="X39" s="741"/>
      <c r="Y39" s="741">
        <f>SUM(MON:SUN!S19)</f>
        <v>1</v>
      </c>
      <c r="Z39" s="741"/>
      <c r="AA39" s="741"/>
      <c r="AB39" s="741"/>
      <c r="AC39" s="741"/>
      <c r="AD39" s="756"/>
    </row>
    <row r="40" spans="1:30" ht="16.5" customHeight="1" x14ac:dyDescent="0.4">
      <c r="A40" s="740"/>
      <c r="B40" s="741"/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  <c r="N40" s="741"/>
      <c r="O40" s="741"/>
      <c r="P40" s="741"/>
      <c r="Q40" s="741"/>
      <c r="R40" s="741"/>
      <c r="S40" s="741"/>
      <c r="T40" s="741"/>
      <c r="U40" s="741"/>
      <c r="V40" s="741"/>
      <c r="W40" s="741"/>
      <c r="X40" s="741"/>
      <c r="Y40" s="741"/>
      <c r="Z40" s="741"/>
      <c r="AA40" s="741"/>
      <c r="AB40" s="741"/>
      <c r="AC40" s="741"/>
      <c r="AD40" s="756"/>
    </row>
    <row r="41" spans="1:30" ht="16.5" customHeight="1" x14ac:dyDescent="0.4">
      <c r="A41" s="740"/>
      <c r="B41" s="741"/>
      <c r="C41" s="741"/>
      <c r="D41" s="741"/>
      <c r="E41" s="741"/>
      <c r="F41" s="741"/>
      <c r="G41" s="741"/>
      <c r="H41" s="741"/>
      <c r="I41" s="741"/>
      <c r="J41" s="741"/>
      <c r="K41" s="741"/>
      <c r="L41" s="741"/>
      <c r="M41" s="741"/>
      <c r="N41" s="741"/>
      <c r="O41" s="754">
        <f>SUM(MON:SUN!J31)</f>
        <v>385</v>
      </c>
      <c r="P41" s="754"/>
      <c r="Q41" s="754"/>
      <c r="R41" s="754"/>
      <c r="S41" s="754"/>
      <c r="T41" s="754">
        <f>SUM(MON:SUN!K31)</f>
        <v>737.09999999999991</v>
      </c>
      <c r="U41" s="754"/>
      <c r="V41" s="754"/>
      <c r="W41" s="754"/>
      <c r="X41" s="754"/>
      <c r="Y41" s="754">
        <f>SUM(MON:SUN!T19)</f>
        <v>475</v>
      </c>
      <c r="Z41" s="754"/>
      <c r="AA41" s="754"/>
      <c r="AB41" s="754"/>
      <c r="AC41" s="754"/>
      <c r="AD41" s="757"/>
    </row>
    <row r="42" spans="1:30" ht="16.5" customHeight="1" thickBot="1" x14ac:dyDescent="0.45">
      <c r="A42" s="742"/>
      <c r="B42" s="743"/>
      <c r="C42" s="743"/>
      <c r="D42" s="743"/>
      <c r="E42" s="743"/>
      <c r="F42" s="743"/>
      <c r="G42" s="743"/>
      <c r="H42" s="743"/>
      <c r="I42" s="743"/>
      <c r="J42" s="743"/>
      <c r="K42" s="743"/>
      <c r="L42" s="743"/>
      <c r="M42" s="743"/>
      <c r="N42" s="743"/>
      <c r="O42" s="755"/>
      <c r="P42" s="755"/>
      <c r="Q42" s="755"/>
      <c r="R42" s="755"/>
      <c r="S42" s="755"/>
      <c r="T42" s="755"/>
      <c r="U42" s="755"/>
      <c r="V42" s="755"/>
      <c r="W42" s="755"/>
      <c r="X42" s="755"/>
      <c r="Y42" s="755"/>
      <c r="Z42" s="755"/>
      <c r="AA42" s="755"/>
      <c r="AB42" s="755"/>
      <c r="AC42" s="755"/>
      <c r="AD42" s="758"/>
    </row>
    <row r="43" spans="1:30" ht="17.399999999999999" customHeight="1" x14ac:dyDescent="0.4">
      <c r="A43" s="515" t="s">
        <v>84</v>
      </c>
      <c r="B43" s="516"/>
      <c r="C43" s="516"/>
      <c r="D43" s="516"/>
      <c r="E43" s="517"/>
      <c r="F43" s="515" t="s">
        <v>85</v>
      </c>
      <c r="G43" s="516"/>
      <c r="H43" s="516"/>
      <c r="I43" s="516"/>
      <c r="J43" s="517"/>
      <c r="K43" s="515" t="s">
        <v>86</v>
      </c>
      <c r="L43" s="516"/>
      <c r="M43" s="516"/>
      <c r="N43" s="516"/>
      <c r="O43" s="517"/>
      <c r="P43" s="515" t="s">
        <v>87</v>
      </c>
      <c r="Q43" s="516"/>
      <c r="R43" s="516"/>
      <c r="S43" s="516"/>
      <c r="T43" s="517"/>
      <c r="U43" s="515" t="s">
        <v>90</v>
      </c>
      <c r="V43" s="516"/>
      <c r="W43" s="516"/>
      <c r="X43" s="516"/>
      <c r="Y43" s="517"/>
      <c r="Z43" s="521" t="s">
        <v>95</v>
      </c>
      <c r="AA43" s="522"/>
      <c r="AB43" s="522"/>
      <c r="AC43" s="522"/>
      <c r="AD43" s="523"/>
    </row>
    <row r="44" spans="1:30" ht="17.399999999999999" customHeight="1" x14ac:dyDescent="0.4">
      <c r="A44" s="518"/>
      <c r="B44" s="519"/>
      <c r="C44" s="519"/>
      <c r="D44" s="519"/>
      <c r="E44" s="520"/>
      <c r="F44" s="518"/>
      <c r="G44" s="519"/>
      <c r="H44" s="519"/>
      <c r="I44" s="519"/>
      <c r="J44" s="520"/>
      <c r="K44" s="518"/>
      <c r="L44" s="519"/>
      <c r="M44" s="519"/>
      <c r="N44" s="519"/>
      <c r="O44" s="520"/>
      <c r="P44" s="518"/>
      <c r="Q44" s="519"/>
      <c r="R44" s="519"/>
      <c r="S44" s="519"/>
      <c r="T44" s="520"/>
      <c r="U44" s="518"/>
      <c r="V44" s="519"/>
      <c r="W44" s="519"/>
      <c r="X44" s="519"/>
      <c r="Y44" s="520"/>
      <c r="Z44" s="524"/>
      <c r="AA44" s="525"/>
      <c r="AB44" s="525"/>
      <c r="AC44" s="525"/>
      <c r="AD44" s="526"/>
    </row>
    <row r="45" spans="1:30" x14ac:dyDescent="0.4">
      <c r="A45" s="527">
        <f>SUM(H2,H7,H12,H17,H22,H27,H32)</f>
        <v>1800</v>
      </c>
      <c r="B45" s="528"/>
      <c r="C45" s="528"/>
      <c r="D45" s="528"/>
      <c r="E45" s="529"/>
      <c r="F45" s="527">
        <f>SUM(,H3,H8,H13,H18,H23,H28,H33)</f>
        <v>8585</v>
      </c>
      <c r="G45" s="528"/>
      <c r="H45" s="528"/>
      <c r="I45" s="528"/>
      <c r="J45" s="529"/>
      <c r="K45" s="527">
        <f>SUM(H5,H10,H15,H20,H25,H30,H35)</f>
        <v>385</v>
      </c>
      <c r="L45" s="528"/>
      <c r="M45" s="528"/>
      <c r="N45" s="528"/>
      <c r="O45" s="529"/>
      <c r="P45" s="527">
        <f>SUM(H4,H9,H14,H19,H24,H29,H34)</f>
        <v>737.09999999999991</v>
      </c>
      <c r="Q45" s="528"/>
      <c r="R45" s="528"/>
      <c r="S45" s="528"/>
      <c r="T45" s="529"/>
      <c r="U45" s="536">
        <f>SUM(E6,E11,E16,E21,E26,E31,E36)</f>
        <v>247</v>
      </c>
      <c r="V45" s="528"/>
      <c r="W45" s="528"/>
      <c r="X45" s="528"/>
      <c r="Y45" s="529"/>
      <c r="Z45" s="536">
        <f>SUM(L6,L11,L16,L21,L26,L31,L36)</f>
        <v>31</v>
      </c>
      <c r="AA45" s="528"/>
      <c r="AB45" s="528"/>
      <c r="AC45" s="528"/>
      <c r="AD45" s="537"/>
    </row>
    <row r="46" spans="1:30" x14ac:dyDescent="0.4">
      <c r="A46" s="530"/>
      <c r="B46" s="531"/>
      <c r="C46" s="531"/>
      <c r="D46" s="531"/>
      <c r="E46" s="532"/>
      <c r="F46" s="530"/>
      <c r="G46" s="531"/>
      <c r="H46" s="531"/>
      <c r="I46" s="531"/>
      <c r="J46" s="532"/>
      <c r="K46" s="530"/>
      <c r="L46" s="531"/>
      <c r="M46" s="531"/>
      <c r="N46" s="531"/>
      <c r="O46" s="532"/>
      <c r="P46" s="530"/>
      <c r="Q46" s="531"/>
      <c r="R46" s="531"/>
      <c r="S46" s="531"/>
      <c r="T46" s="532"/>
      <c r="U46" s="530"/>
      <c r="V46" s="531"/>
      <c r="W46" s="531"/>
      <c r="X46" s="531"/>
      <c r="Y46" s="532"/>
      <c r="Z46" s="530"/>
      <c r="AA46" s="531"/>
      <c r="AB46" s="531"/>
      <c r="AC46" s="531"/>
      <c r="AD46" s="538"/>
    </row>
    <row r="47" spans="1:30" x14ac:dyDescent="0.4">
      <c r="A47" s="530"/>
      <c r="B47" s="531"/>
      <c r="C47" s="531"/>
      <c r="D47" s="531"/>
      <c r="E47" s="532"/>
      <c r="F47" s="530"/>
      <c r="G47" s="531"/>
      <c r="H47" s="531"/>
      <c r="I47" s="531"/>
      <c r="J47" s="532"/>
      <c r="K47" s="530"/>
      <c r="L47" s="531"/>
      <c r="M47" s="531"/>
      <c r="N47" s="531"/>
      <c r="O47" s="532"/>
      <c r="P47" s="530"/>
      <c r="Q47" s="531"/>
      <c r="R47" s="531"/>
      <c r="S47" s="531"/>
      <c r="T47" s="532"/>
      <c r="U47" s="530"/>
      <c r="V47" s="531"/>
      <c r="W47" s="531"/>
      <c r="X47" s="531"/>
      <c r="Y47" s="532"/>
      <c r="Z47" s="530"/>
      <c r="AA47" s="531"/>
      <c r="AB47" s="531"/>
      <c r="AC47" s="531"/>
      <c r="AD47" s="538"/>
    </row>
    <row r="48" spans="1:30" ht="18" thickBot="1" x14ac:dyDescent="0.45">
      <c r="A48" s="533"/>
      <c r="B48" s="534"/>
      <c r="C48" s="534"/>
      <c r="D48" s="534"/>
      <c r="E48" s="535"/>
      <c r="F48" s="533"/>
      <c r="G48" s="534"/>
      <c r="H48" s="534"/>
      <c r="I48" s="534"/>
      <c r="J48" s="535"/>
      <c r="K48" s="533"/>
      <c r="L48" s="534"/>
      <c r="M48" s="534"/>
      <c r="N48" s="534"/>
      <c r="O48" s="535"/>
      <c r="P48" s="533"/>
      <c r="Q48" s="534"/>
      <c r="R48" s="534"/>
      <c r="S48" s="534"/>
      <c r="T48" s="535"/>
      <c r="U48" s="533"/>
      <c r="V48" s="534"/>
      <c r="W48" s="534"/>
      <c r="X48" s="534"/>
      <c r="Y48" s="535"/>
      <c r="Z48" s="533"/>
      <c r="AA48" s="534"/>
      <c r="AB48" s="534"/>
      <c r="AC48" s="534"/>
      <c r="AD48" s="539"/>
    </row>
    <row r="49" spans="1:30" ht="17.399999999999999" customHeight="1" x14ac:dyDescent="0.4">
      <c r="A49" s="497">
        <f>A45/E39</f>
        <v>0.16713091922005571</v>
      </c>
      <c r="B49" s="498"/>
      <c r="C49" s="498"/>
      <c r="D49" s="498"/>
      <c r="E49" s="499"/>
      <c r="F49" s="497">
        <f>F45/E39</f>
        <v>0.79712163416898796</v>
      </c>
      <c r="G49" s="498"/>
      <c r="H49" s="498"/>
      <c r="I49" s="498"/>
      <c r="J49" s="499"/>
      <c r="K49" s="497">
        <f>K45/E39</f>
        <v>3.5747446610956357E-2</v>
      </c>
      <c r="L49" s="498"/>
      <c r="M49" s="498"/>
      <c r="N49" s="498"/>
      <c r="O49" s="499"/>
      <c r="P49" s="497">
        <f>P45/E39</f>
        <v>6.8440111420612806E-2</v>
      </c>
      <c r="Q49" s="498"/>
      <c r="R49" s="498"/>
      <c r="S49" s="498"/>
      <c r="T49" s="499"/>
      <c r="U49" s="506">
        <f>U45/7</f>
        <v>35.285714285714285</v>
      </c>
      <c r="V49" s="507"/>
      <c r="W49" s="507"/>
      <c r="X49" s="507"/>
      <c r="Y49" s="508"/>
      <c r="Z49" s="506">
        <f>U45/Z45</f>
        <v>7.967741935483871</v>
      </c>
      <c r="AA49" s="507"/>
      <c r="AB49" s="507"/>
      <c r="AC49" s="507"/>
      <c r="AD49" s="508"/>
    </row>
    <row r="50" spans="1:30" ht="17.399999999999999" customHeight="1" x14ac:dyDescent="0.4">
      <c r="A50" s="500"/>
      <c r="B50" s="501"/>
      <c r="C50" s="501"/>
      <c r="D50" s="501"/>
      <c r="E50" s="502"/>
      <c r="F50" s="500"/>
      <c r="G50" s="501"/>
      <c r="H50" s="501"/>
      <c r="I50" s="501"/>
      <c r="J50" s="502"/>
      <c r="K50" s="500"/>
      <c r="L50" s="501"/>
      <c r="M50" s="501"/>
      <c r="N50" s="501"/>
      <c r="O50" s="502"/>
      <c r="P50" s="500"/>
      <c r="Q50" s="501"/>
      <c r="R50" s="501"/>
      <c r="S50" s="501"/>
      <c r="T50" s="502"/>
      <c r="U50" s="509"/>
      <c r="V50" s="510"/>
      <c r="W50" s="510"/>
      <c r="X50" s="510"/>
      <c r="Y50" s="511"/>
      <c r="Z50" s="509"/>
      <c r="AA50" s="510"/>
      <c r="AB50" s="510"/>
      <c r="AC50" s="510"/>
      <c r="AD50" s="511"/>
    </row>
    <row r="51" spans="1:30" ht="17.399999999999999" customHeight="1" x14ac:dyDescent="0.4">
      <c r="A51" s="500"/>
      <c r="B51" s="501"/>
      <c r="C51" s="501"/>
      <c r="D51" s="501"/>
      <c r="E51" s="502"/>
      <c r="F51" s="500"/>
      <c r="G51" s="501"/>
      <c r="H51" s="501"/>
      <c r="I51" s="501"/>
      <c r="J51" s="502"/>
      <c r="K51" s="500"/>
      <c r="L51" s="501"/>
      <c r="M51" s="501"/>
      <c r="N51" s="501"/>
      <c r="O51" s="502"/>
      <c r="P51" s="500"/>
      <c r="Q51" s="501"/>
      <c r="R51" s="501"/>
      <c r="S51" s="501"/>
      <c r="T51" s="502"/>
      <c r="U51" s="509"/>
      <c r="V51" s="510"/>
      <c r="W51" s="510"/>
      <c r="X51" s="510"/>
      <c r="Y51" s="511"/>
      <c r="Z51" s="509"/>
      <c r="AA51" s="510"/>
      <c r="AB51" s="510"/>
      <c r="AC51" s="510"/>
      <c r="AD51" s="511"/>
    </row>
    <row r="52" spans="1:30" ht="18" customHeight="1" thickBot="1" x14ac:dyDescent="0.45">
      <c r="A52" s="503"/>
      <c r="B52" s="504"/>
      <c r="C52" s="504"/>
      <c r="D52" s="504"/>
      <c r="E52" s="505"/>
      <c r="F52" s="503"/>
      <c r="G52" s="504"/>
      <c r="H52" s="504"/>
      <c r="I52" s="504"/>
      <c r="J52" s="505"/>
      <c r="K52" s="503"/>
      <c r="L52" s="504"/>
      <c r="M52" s="504"/>
      <c r="N52" s="504"/>
      <c r="O52" s="505"/>
      <c r="P52" s="503"/>
      <c r="Q52" s="504"/>
      <c r="R52" s="504"/>
      <c r="S52" s="504"/>
      <c r="T52" s="505"/>
      <c r="U52" s="512"/>
      <c r="V52" s="513"/>
      <c r="W52" s="513"/>
      <c r="X52" s="513"/>
      <c r="Y52" s="514"/>
      <c r="Z52" s="512"/>
      <c r="AA52" s="513"/>
      <c r="AB52" s="513"/>
      <c r="AC52" s="513"/>
      <c r="AD52" s="514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E59321D2-D731-46E5-B57E-00A41FAF329F}"/>
</file>

<file path=customXml/itemProps2.xml><?xml version="1.0" encoding="utf-8"?>
<ds:datastoreItem xmlns:ds="http://schemas.openxmlformats.org/officeDocument/2006/customXml" ds:itemID="{2A15A4A3-761E-43D1-9A2E-FB03BC98AB1D}"/>
</file>

<file path=customXml/itemProps3.xml><?xml version="1.0" encoding="utf-8"?>
<ds:datastoreItem xmlns:ds="http://schemas.openxmlformats.org/officeDocument/2006/customXml" ds:itemID="{DE6F0CA9-2FBC-4C05-9EA2-9D119A8BD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2022-03-10T20:34:16Z</cp:lastPrinted>
  <dcterms:created xsi:type="dcterms:W3CDTF">2011-11-24T03:16:40Z</dcterms:created>
  <dcterms:modified xsi:type="dcterms:W3CDTF">2022-03-14T03:43:35Z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