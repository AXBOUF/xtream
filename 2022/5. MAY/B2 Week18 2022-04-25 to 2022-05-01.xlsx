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DE2C1076-8A7D-4FAB-9AC5-E29579E3CEFF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  <sheet name="Sheet1" sheetId="9" r:id="rId9"/>
    <sheet name="Sheet2" sheetId="10" r:id="rId10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J22" i="1"/>
  <c r="K21" i="1"/>
  <c r="J21" i="1"/>
  <c r="K20" i="1"/>
  <c r="J20" i="1"/>
  <c r="K19" i="1"/>
  <c r="J19" i="1"/>
  <c r="K18" i="1"/>
  <c r="J18" i="1"/>
  <c r="K17" i="1"/>
  <c r="J17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J9" i="1"/>
  <c r="K8" i="1"/>
  <c r="J8" i="1"/>
  <c r="K7" i="1"/>
  <c r="J7" i="1"/>
  <c r="K6" i="1"/>
  <c r="K5" i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H30" i="2"/>
  <c r="H31" i="2" s="1"/>
  <c r="K29" i="2"/>
  <c r="J29" i="2"/>
  <c r="K28" i="2"/>
  <c r="J28" i="2"/>
  <c r="K27" i="2"/>
  <c r="J27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T19" i="1"/>
  <c r="S19" i="1"/>
  <c r="U15" i="1"/>
  <c r="U14" i="1"/>
  <c r="U13" i="1"/>
  <c r="U12" i="1"/>
  <c r="U11" i="1"/>
  <c r="U10" i="1"/>
  <c r="U9" i="1"/>
  <c r="U8" i="1"/>
  <c r="U7" i="1"/>
  <c r="U6" i="1"/>
  <c r="U5" i="1"/>
  <c r="K30" i="1"/>
  <c r="K31" i="1" s="1"/>
  <c r="J30" i="1"/>
  <c r="J31" i="1" s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I31" i="3"/>
  <c r="S32" i="3" s="1"/>
  <c r="H23" i="8" s="1"/>
  <c r="M30" i="3"/>
  <c r="L30" i="3"/>
  <c r="I30" i="3"/>
  <c r="H30" i="3"/>
  <c r="H31" i="3" s="1"/>
  <c r="K29" i="3"/>
  <c r="J29" i="3"/>
  <c r="K28" i="3"/>
  <c r="J28" i="3"/>
  <c r="K27" i="3"/>
  <c r="J27" i="3"/>
  <c r="K26" i="3"/>
  <c r="J26" i="3"/>
  <c r="AH25" i="3"/>
  <c r="T25" i="3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J22" i="3"/>
  <c r="J21" i="3"/>
  <c r="K20" i="3"/>
  <c r="J20" i="3"/>
  <c r="T19" i="3"/>
  <c r="S19" i="3"/>
  <c r="K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I31" i="4"/>
  <c r="S32" i="4" s="1"/>
  <c r="H18" i="8" s="1"/>
  <c r="M30" i="4"/>
  <c r="L30" i="4"/>
  <c r="I30" i="4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U16" i="2" l="1"/>
  <c r="R16" i="2" s="1"/>
  <c r="I31" i="2"/>
  <c r="S32" i="2" s="1"/>
  <c r="H33" i="8" s="1"/>
  <c r="J62" i="2"/>
  <c r="K62" i="2"/>
  <c r="J30" i="2"/>
  <c r="K30" i="2"/>
  <c r="U16" i="1"/>
  <c r="S16" i="1" s="1"/>
  <c r="K30" i="3"/>
  <c r="K31" i="3" s="1"/>
  <c r="J30" i="3"/>
  <c r="J31" i="3" s="1"/>
  <c r="U16" i="3"/>
  <c r="E26" i="8" s="1"/>
  <c r="K30" i="4"/>
  <c r="K31" i="4" s="1"/>
  <c r="J30" i="4"/>
  <c r="J31" i="4" s="1"/>
  <c r="U16" i="4"/>
  <c r="R16" i="4" s="1"/>
  <c r="K30" i="5"/>
  <c r="K31" i="5" s="1"/>
  <c r="J30" i="5"/>
  <c r="J31" i="5" s="1"/>
  <c r="C32" i="5" s="1"/>
  <c r="P32" i="5" s="1"/>
  <c r="U16" i="5"/>
  <c r="S16" i="5" s="1"/>
  <c r="K30" i="6"/>
  <c r="K31" i="6" s="1"/>
  <c r="J30" i="6"/>
  <c r="J31" i="6" s="1"/>
  <c r="U16" i="6"/>
  <c r="E11" i="8" s="1"/>
  <c r="AD25" i="2"/>
  <c r="AI25" i="2"/>
  <c r="S16" i="2"/>
  <c r="S31" i="2"/>
  <c r="AD25" i="1"/>
  <c r="AI25" i="1"/>
  <c r="C32" i="1"/>
  <c r="O32" i="1" s="1"/>
  <c r="Z32" i="1"/>
  <c r="Z33" i="1" s="1"/>
  <c r="S31" i="1"/>
  <c r="T31" i="1"/>
  <c r="AD25" i="3"/>
  <c r="AI25" i="3"/>
  <c r="S16" i="3"/>
  <c r="R16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Z33" i="5"/>
  <c r="S31" i="5"/>
  <c r="H12" i="8" s="1"/>
  <c r="Z32" i="5"/>
  <c r="T31" i="5"/>
  <c r="AD25" i="6"/>
  <c r="AI25" i="6"/>
  <c r="S31" i="6"/>
  <c r="H7" i="8" s="1"/>
  <c r="Z32" i="6"/>
  <c r="Z33" i="6" s="1"/>
  <c r="T31" i="6"/>
  <c r="H32" i="8"/>
  <c r="H27" i="8"/>
  <c r="H13" i="8"/>
  <c r="L36" i="8"/>
  <c r="L31" i="8"/>
  <c r="L26" i="8"/>
  <c r="L21" i="8"/>
  <c r="L16" i="8"/>
  <c r="L11" i="8"/>
  <c r="L6" i="8"/>
  <c r="E3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E36" i="8" l="1"/>
  <c r="T31" i="2"/>
  <c r="K31" i="2"/>
  <c r="H34" i="8" s="1"/>
  <c r="Z32" i="2"/>
  <c r="Z33" i="2" s="1"/>
  <c r="J31" i="2"/>
  <c r="H35" i="8" s="1"/>
  <c r="V32" i="8" s="1"/>
  <c r="R16" i="1"/>
  <c r="P32" i="1"/>
  <c r="C32" i="3"/>
  <c r="O32" i="3" s="1"/>
  <c r="C32" i="4"/>
  <c r="P32" i="4" s="1"/>
  <c r="S16" i="4"/>
  <c r="O32" i="5"/>
  <c r="R16" i="5"/>
  <c r="R16" i="6"/>
  <c r="S16" i="6"/>
  <c r="U25" i="1"/>
  <c r="K32" i="1"/>
  <c r="T16" i="1"/>
  <c r="N32" i="1"/>
  <c r="Q32" i="1"/>
  <c r="U25" i="5"/>
  <c r="K32" i="5"/>
  <c r="T16" i="5"/>
  <c r="N32" i="5"/>
  <c r="Q32" i="5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C32" i="2" l="1"/>
  <c r="O32" i="2" s="1"/>
  <c r="L33" i="8" s="1"/>
  <c r="P32" i="3"/>
  <c r="L24" i="8" s="1"/>
  <c r="K32" i="3"/>
  <c r="N32" i="3"/>
  <c r="T16" i="3"/>
  <c r="Q32" i="3"/>
  <c r="U25" i="3"/>
  <c r="N32" i="4"/>
  <c r="T16" i="4"/>
  <c r="K32" i="4"/>
  <c r="Q32" i="4"/>
  <c r="O32" i="4"/>
  <c r="U25" i="4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2" i="8"/>
  <c r="H14" i="8"/>
  <c r="H9" i="8"/>
  <c r="L9" i="8"/>
  <c r="E30" i="8"/>
  <c r="E29" i="8"/>
  <c r="E28" i="8"/>
  <c r="E27" i="8"/>
  <c r="T16" i="2" l="1"/>
  <c r="Q32" i="2"/>
  <c r="L35" i="8" s="1"/>
  <c r="K32" i="2"/>
  <c r="N32" i="2"/>
  <c r="L32" i="8" s="1"/>
  <c r="P32" i="2"/>
  <c r="L34" i="8" s="1"/>
  <c r="U25" i="2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<sst xmlns="http://schemas.openxmlformats.org/spreadsheetml/2006/main" count="1718" uniqueCount="401">
  <si>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</si>
  <si>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</si>
  <si>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</si>
  <si>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</si>
  <si>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</si>
  <si>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</si>
  <si>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</si>
  <si>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</si>
  <si>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</si>
  <si>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</si>
  <si>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</si>
  <si>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</si>
  <si>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</si>
  <si>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</si>
  <si>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</si>
  <si>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</si>
  <si>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</si>
  <si>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</si>
  <si>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</si>
  <si>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</si>
  <si>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</si>
  <si>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</si>
  <si>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</si>
  <si>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</si>
  <si>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</si>
  <si>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</si>
  <si>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</si>
  <si>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</si>
  <si>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</si>
  <si>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</si>
  <si>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</si>
  <si>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</si>
  <si>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</si>
  <si>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</si>
  <si>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</si>
  <si>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</si>
  <si>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</si>
  <si>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</si>
  <si>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</si>
  <si>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</si>
  <si>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</si>
  <si>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</si>
  <si>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</si>
  <si>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</si>
  <si>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</si>
  <si>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</si>
  <si>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</si>
  <si>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</si>
  <si>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</si>
  <si>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</si>
  <si>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</si>
  <si>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</si>
  <si>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</si>
  <si>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</si>
  <si>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</si>
  <si>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</si>
  <si>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</si>
  <si>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</si>
  <si>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</si>
  <si>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</si>
  <si>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</si>
  <si>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</si>
  <si>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</si>
  <si>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</si>
  <si>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</si>
  <si>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</si>
  <si>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</si>
  <si>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</si>
  <si>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</si>
  <si>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</si>
  <si>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</si>
  <si>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</si>
  <si>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</si>
  <si>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</si>
  <si>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</si>
  <si>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</si>
  <si>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</si>
  <si>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</si>
  <si>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</si>
  <si>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</si>
  <si>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</si>
  <si>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</si>
  <si>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</si>
  <si>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</si>
  <si>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</si>
  <si>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</si>
  <si>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</si>
  <si>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</si>
  <si>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</si>
  <si>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</si>
  <si>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</si>
  <si>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</si>
  <si>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</si>
  <si>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</si>
  <si>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</si>
  <si>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</si>
  <si>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</si>
  <si>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25 - 4 - 2022</t>
    <phoneticPr fontId="5" type="noConversion"/>
  </si>
  <si>
    <t>CLOUDY</t>
    <phoneticPr fontId="5" type="noConversion"/>
  </si>
  <si>
    <t>JOHN</t>
    <phoneticPr fontId="5" type="noConversion"/>
  </si>
  <si>
    <t>ARIANTO</t>
    <phoneticPr fontId="5" type="noConversion"/>
  </si>
  <si>
    <t>KUROSH</t>
    <phoneticPr fontId="5" type="noConversion"/>
  </si>
  <si>
    <t>KEVIN</t>
    <phoneticPr fontId="5" type="noConversion"/>
  </si>
  <si>
    <t>JUNIOR</t>
    <phoneticPr fontId="5" type="noConversion"/>
  </si>
  <si>
    <t>VINNY</t>
    <phoneticPr fontId="5" type="noConversion"/>
  </si>
  <si>
    <t>CTK90W</t>
    <phoneticPr fontId="5" type="noConversion"/>
  </si>
  <si>
    <t>0418285867</t>
    <phoneticPr fontId="5" type="noConversion"/>
  </si>
  <si>
    <t>H/AMR</t>
    <phoneticPr fontId="5" type="noConversion"/>
  </si>
  <si>
    <t>DHV71G</t>
    <phoneticPr fontId="5" type="noConversion"/>
  </si>
  <si>
    <t>0427677472</t>
    <phoneticPr fontId="5" type="noConversion"/>
  </si>
  <si>
    <t>GV2</t>
    <phoneticPr fontId="5" type="noConversion"/>
  </si>
  <si>
    <t>QU11ET</t>
    <phoneticPr fontId="5" type="noConversion"/>
  </si>
  <si>
    <t>0400004755</t>
    <phoneticPr fontId="5" type="noConversion"/>
  </si>
  <si>
    <t>H</t>
    <phoneticPr fontId="5" type="noConversion"/>
  </si>
  <si>
    <t>TAX</t>
    <phoneticPr fontId="5" type="noConversion"/>
  </si>
  <si>
    <t>EEE905</t>
    <phoneticPr fontId="5" type="noConversion"/>
  </si>
  <si>
    <t>0418392801</t>
    <phoneticPr fontId="5" type="noConversion"/>
  </si>
  <si>
    <t>X</t>
    <phoneticPr fontId="5" type="noConversion"/>
  </si>
  <si>
    <t>DHR56G</t>
    <phoneticPr fontId="5" type="noConversion"/>
  </si>
  <si>
    <t>0421787989</t>
    <phoneticPr fontId="5" type="noConversion"/>
  </si>
  <si>
    <t>CC26XO</t>
    <phoneticPr fontId="5" type="noConversion"/>
  </si>
  <si>
    <t>0431978611</t>
    <phoneticPr fontId="5" type="noConversion"/>
  </si>
  <si>
    <t>W/O</t>
    <phoneticPr fontId="5" type="noConversion"/>
  </si>
  <si>
    <t>BNE03Q</t>
    <phoneticPr fontId="5" type="noConversion"/>
  </si>
  <si>
    <t>0447266193</t>
    <phoneticPr fontId="5" type="noConversion"/>
  </si>
  <si>
    <t>NBX94X</t>
    <phoneticPr fontId="5" type="noConversion"/>
  </si>
  <si>
    <t>0412322656</t>
    <phoneticPr fontId="5" type="noConversion"/>
  </si>
  <si>
    <t>X/ST</t>
    <phoneticPr fontId="5" type="noConversion"/>
  </si>
  <si>
    <t>MARY</t>
    <phoneticPr fontId="5" type="noConversion"/>
  </si>
  <si>
    <t>0410445403</t>
    <phoneticPr fontId="5" type="noConversion"/>
  </si>
  <si>
    <t>SC6221</t>
    <phoneticPr fontId="5" type="noConversion"/>
  </si>
  <si>
    <t>0418249876</t>
    <phoneticPr fontId="5" type="noConversion"/>
  </si>
  <si>
    <t>26 - 4 - 2022</t>
    <phoneticPr fontId="5" type="noConversion"/>
  </si>
  <si>
    <t>SHOWER</t>
    <phoneticPr fontId="5" type="noConversion"/>
  </si>
  <si>
    <t>HENDRA</t>
    <phoneticPr fontId="5" type="noConversion"/>
  </si>
  <si>
    <t>DLK18K</t>
    <phoneticPr fontId="5" type="noConversion"/>
  </si>
  <si>
    <t>0410194666</t>
    <phoneticPr fontId="5" type="noConversion"/>
  </si>
  <si>
    <t>CKL001</t>
    <phoneticPr fontId="5" type="noConversion"/>
  </si>
  <si>
    <t>0400892000</t>
    <phoneticPr fontId="5" type="noConversion"/>
  </si>
  <si>
    <t>D</t>
    <phoneticPr fontId="5" type="noConversion"/>
  </si>
  <si>
    <t>BCI71Z</t>
    <phoneticPr fontId="5" type="noConversion"/>
  </si>
  <si>
    <t>0415366717</t>
    <phoneticPr fontId="5" type="noConversion"/>
  </si>
  <si>
    <t>D/ST</t>
    <phoneticPr fontId="5" type="noConversion"/>
  </si>
  <si>
    <t>CLC26L</t>
    <phoneticPr fontId="5" type="noConversion"/>
  </si>
  <si>
    <t>0403029383</t>
    <phoneticPr fontId="5" type="noConversion"/>
  </si>
  <si>
    <t>PCL</t>
    <phoneticPr fontId="5" type="noConversion"/>
  </si>
  <si>
    <t>GBI</t>
    <phoneticPr fontId="5" type="noConversion"/>
  </si>
  <si>
    <t>0415888891</t>
    <phoneticPr fontId="5" type="noConversion"/>
  </si>
  <si>
    <t>GEORGE CAR</t>
    <phoneticPr fontId="5" type="noConversion"/>
  </si>
  <si>
    <t>EQO59B</t>
    <phoneticPr fontId="5" type="noConversion"/>
  </si>
  <si>
    <t>0402243008</t>
    <phoneticPr fontId="5" type="noConversion"/>
  </si>
  <si>
    <t>DFM62L</t>
    <phoneticPr fontId="5" type="noConversion"/>
  </si>
  <si>
    <t>0402690837</t>
    <phoneticPr fontId="5" type="noConversion"/>
  </si>
  <si>
    <t>DTS62P</t>
    <phoneticPr fontId="5" type="noConversion"/>
  </si>
  <si>
    <t>0449886933</t>
    <phoneticPr fontId="5" type="noConversion"/>
  </si>
  <si>
    <t>EAH89D</t>
    <phoneticPr fontId="5" type="noConversion"/>
  </si>
  <si>
    <t>94498870</t>
    <phoneticPr fontId="5" type="noConversion"/>
  </si>
  <si>
    <t>DXF86Q</t>
    <phoneticPr fontId="5" type="noConversion"/>
  </si>
  <si>
    <t>0425889988</t>
    <phoneticPr fontId="5" type="noConversion"/>
  </si>
  <si>
    <t>21051 4/6 5/6</t>
    <phoneticPr fontId="5" type="noConversion"/>
  </si>
  <si>
    <t>DJL54R</t>
    <phoneticPr fontId="5" type="noConversion"/>
  </si>
  <si>
    <t>0408752956</t>
    <phoneticPr fontId="5" type="noConversion"/>
  </si>
  <si>
    <t># 2112062 3/6</t>
    <phoneticPr fontId="5" type="noConversion"/>
  </si>
  <si>
    <t>NBO55A</t>
    <phoneticPr fontId="5" type="noConversion"/>
  </si>
  <si>
    <t>0416196666</t>
    <phoneticPr fontId="5" type="noConversion"/>
  </si>
  <si>
    <t>LAU777</t>
    <phoneticPr fontId="5" type="noConversion"/>
  </si>
  <si>
    <t>0416462000</t>
    <phoneticPr fontId="5" type="noConversion"/>
  </si>
  <si>
    <t>PCS</t>
    <phoneticPr fontId="5" type="noConversion"/>
  </si>
  <si>
    <t># 22012 1/6</t>
    <phoneticPr fontId="5" type="noConversion"/>
  </si>
  <si>
    <t xml:space="preserve">27 - 4 - 2022 </t>
    <phoneticPr fontId="5" type="noConversion"/>
  </si>
  <si>
    <t>SRI</t>
    <phoneticPr fontId="5" type="noConversion"/>
  </si>
  <si>
    <t>AJL661</t>
    <phoneticPr fontId="5" type="noConversion"/>
  </si>
  <si>
    <t>0427242374</t>
    <phoneticPr fontId="5" type="noConversion"/>
  </si>
  <si>
    <t>JUNIOR TAKEN $30</t>
    <phoneticPr fontId="5" type="noConversion"/>
  </si>
  <si>
    <t>CLB30E</t>
    <phoneticPr fontId="5" type="noConversion"/>
  </si>
  <si>
    <t>0434022699</t>
    <phoneticPr fontId="5" type="noConversion"/>
  </si>
  <si>
    <t># 21020 6/6</t>
    <phoneticPr fontId="5" type="noConversion"/>
  </si>
  <si>
    <t>CKC333</t>
    <phoneticPr fontId="5" type="noConversion"/>
  </si>
  <si>
    <t>0411889693</t>
    <phoneticPr fontId="5" type="noConversion"/>
  </si>
  <si>
    <t>BMT040</t>
    <phoneticPr fontId="5" type="noConversion"/>
  </si>
  <si>
    <t>0401928669</t>
    <phoneticPr fontId="5" type="noConversion"/>
  </si>
  <si>
    <t>F</t>
  </si>
  <si>
    <t>DSU09D</t>
    <phoneticPr fontId="5" type="noConversion"/>
  </si>
  <si>
    <t>0473204828</t>
    <phoneticPr fontId="5" type="noConversion"/>
  </si>
  <si>
    <t>TRICEPS</t>
    <phoneticPr fontId="5" type="noConversion"/>
  </si>
  <si>
    <t>EAE28E</t>
    <phoneticPr fontId="5" type="noConversion"/>
  </si>
  <si>
    <t>0406816699</t>
    <phoneticPr fontId="5" type="noConversion"/>
  </si>
  <si>
    <t>DYK68U</t>
    <phoneticPr fontId="5" type="noConversion"/>
  </si>
  <si>
    <t>0424651162</t>
    <phoneticPr fontId="5" type="noConversion"/>
  </si>
  <si>
    <t>DSR98T</t>
    <phoneticPr fontId="5" type="noConversion"/>
  </si>
  <si>
    <t>???</t>
    <phoneticPr fontId="5" type="noConversion"/>
  </si>
  <si>
    <t>GV3</t>
    <phoneticPr fontId="5" type="noConversion"/>
  </si>
  <si>
    <t># 202887 5/6</t>
    <phoneticPr fontId="5" type="noConversion"/>
  </si>
  <si>
    <t>CC77CP</t>
    <phoneticPr fontId="5" type="noConversion"/>
  </si>
  <si>
    <t>0405547715</t>
    <phoneticPr fontId="5" type="noConversion"/>
  </si>
  <si>
    <t>DCS80J</t>
    <phoneticPr fontId="5" type="noConversion"/>
  </si>
  <si>
    <t>0401521360</t>
    <phoneticPr fontId="5" type="noConversion"/>
  </si>
  <si>
    <t>EOD56V</t>
    <phoneticPr fontId="5" type="noConversion"/>
  </si>
  <si>
    <t>0478104783</t>
    <phoneticPr fontId="5" type="noConversion"/>
  </si>
  <si>
    <t>S551BDL</t>
    <phoneticPr fontId="5" type="noConversion"/>
  </si>
  <si>
    <t>????</t>
    <phoneticPr fontId="5" type="noConversion"/>
  </si>
  <si>
    <t># 202887 6/6</t>
    <phoneticPr fontId="5" type="noConversion"/>
  </si>
  <si>
    <t>DLX57A</t>
    <phoneticPr fontId="5" type="noConversion"/>
  </si>
  <si>
    <t>0421051276</t>
    <phoneticPr fontId="5" type="noConversion"/>
  </si>
  <si>
    <t># 21028 4/6</t>
    <phoneticPr fontId="5" type="noConversion"/>
  </si>
  <si>
    <t>EHR64E</t>
    <phoneticPr fontId="5" type="noConversion"/>
  </si>
  <si>
    <t>0414867180</t>
    <phoneticPr fontId="5" type="noConversion"/>
  </si>
  <si>
    <t>EJX89L</t>
    <phoneticPr fontId="5" type="noConversion"/>
  </si>
  <si>
    <t>0432180139</t>
    <phoneticPr fontId="5" type="noConversion"/>
  </si>
  <si>
    <t>JB0212</t>
    <phoneticPr fontId="5" type="noConversion"/>
  </si>
  <si>
    <t>0401604628</t>
    <phoneticPr fontId="5" type="noConversion"/>
  </si>
  <si>
    <t>28 - 4 - 2022</t>
    <phoneticPr fontId="5" type="noConversion"/>
  </si>
  <si>
    <t>MIX</t>
    <phoneticPr fontId="5" type="noConversion"/>
  </si>
  <si>
    <t>AMAN</t>
    <phoneticPr fontId="5" type="noConversion"/>
  </si>
  <si>
    <t>EBP42L</t>
    <phoneticPr fontId="5" type="noConversion"/>
  </si>
  <si>
    <t>0408062082</t>
    <phoneticPr fontId="5" type="noConversion"/>
  </si>
  <si>
    <t>COM84M</t>
    <phoneticPr fontId="5" type="noConversion"/>
  </si>
  <si>
    <t>0405232880</t>
    <phoneticPr fontId="5" type="noConversion"/>
  </si>
  <si>
    <t>#192657 6/6,PCL22022</t>
    <phoneticPr fontId="5" type="noConversion"/>
  </si>
  <si>
    <t>MHC100</t>
    <phoneticPr fontId="5" type="noConversion"/>
  </si>
  <si>
    <t>0401719195</t>
    <phoneticPr fontId="5" type="noConversion"/>
  </si>
  <si>
    <t>DZN84H</t>
    <phoneticPr fontId="5" type="noConversion"/>
  </si>
  <si>
    <t>0409124145</t>
    <phoneticPr fontId="5" type="noConversion"/>
  </si>
  <si>
    <t>DCA86H</t>
    <phoneticPr fontId="5" type="noConversion"/>
  </si>
  <si>
    <t>0488888890</t>
    <phoneticPr fontId="5" type="noConversion"/>
  </si>
  <si>
    <t>D/LTH</t>
    <phoneticPr fontId="5" type="noConversion"/>
  </si>
  <si>
    <t>CPG22Z</t>
    <phoneticPr fontId="5" type="noConversion"/>
  </si>
  <si>
    <t>0431128123</t>
    <phoneticPr fontId="5" type="noConversion"/>
  </si>
  <si>
    <t>CCWWW</t>
    <phoneticPr fontId="5" type="noConversion"/>
  </si>
  <si>
    <t>0406531188</t>
    <phoneticPr fontId="5" type="noConversion"/>
  </si>
  <si>
    <t>#21012 3-6/6, 22015</t>
    <phoneticPr fontId="5" type="noConversion"/>
  </si>
  <si>
    <t>ELD06Q</t>
    <phoneticPr fontId="5" type="noConversion"/>
  </si>
  <si>
    <t>0468939163</t>
    <phoneticPr fontId="5" type="noConversion"/>
  </si>
  <si>
    <t>DKM59V</t>
    <phoneticPr fontId="5" type="noConversion"/>
  </si>
  <si>
    <t>0425227128</t>
    <phoneticPr fontId="5" type="noConversion"/>
  </si>
  <si>
    <t>ELL66R</t>
    <phoneticPr fontId="5" type="noConversion"/>
  </si>
  <si>
    <t>0451788868</t>
    <phoneticPr fontId="5" type="noConversion"/>
  </si>
  <si>
    <t>EOK70F</t>
    <phoneticPr fontId="5" type="noConversion"/>
  </si>
  <si>
    <t>0419236787</t>
    <phoneticPr fontId="5" type="noConversion"/>
  </si>
  <si>
    <t>29 - 4 - 2022</t>
    <phoneticPr fontId="5" type="noConversion"/>
  </si>
  <si>
    <t>SUNNY</t>
    <phoneticPr fontId="5" type="noConversion"/>
  </si>
  <si>
    <t>ERIC</t>
    <phoneticPr fontId="5" type="noConversion"/>
  </si>
  <si>
    <t>YKB60A</t>
    <phoneticPr fontId="5" type="noConversion"/>
  </si>
  <si>
    <t>0450603985</t>
    <phoneticPr fontId="5" type="noConversion"/>
  </si>
  <si>
    <t>CANCEL</t>
    <phoneticPr fontId="5" type="noConversion"/>
  </si>
  <si>
    <t>KEN838</t>
    <phoneticPr fontId="5" type="noConversion"/>
  </si>
  <si>
    <t># 22012 2/6</t>
    <phoneticPr fontId="5" type="noConversion"/>
  </si>
  <si>
    <t>YGH08Q</t>
    <phoneticPr fontId="5" type="noConversion"/>
  </si>
  <si>
    <t>84415R</t>
    <phoneticPr fontId="5" type="noConversion"/>
  </si>
  <si>
    <t>0419551753</t>
    <phoneticPr fontId="5" type="noConversion"/>
  </si>
  <si>
    <t>CIK51X</t>
    <phoneticPr fontId="5" type="noConversion"/>
  </si>
  <si>
    <t>0412777581</t>
    <phoneticPr fontId="5" type="noConversion"/>
  </si>
  <si>
    <t>EMP51Y</t>
    <phoneticPr fontId="5" type="noConversion"/>
  </si>
  <si>
    <t>0493119547</t>
    <phoneticPr fontId="5" type="noConversion"/>
  </si>
  <si>
    <t>NBO53E</t>
    <phoneticPr fontId="5" type="noConversion"/>
  </si>
  <si>
    <t>0414369004</t>
    <phoneticPr fontId="5" type="noConversion"/>
  </si>
  <si>
    <t>DHT87X</t>
    <phoneticPr fontId="5" type="noConversion"/>
  </si>
  <si>
    <t>0411822032</t>
    <phoneticPr fontId="5" type="noConversion"/>
  </si>
  <si>
    <t>BFI56T</t>
    <phoneticPr fontId="5" type="noConversion"/>
  </si>
  <si>
    <t>0406340211</t>
    <phoneticPr fontId="5" type="noConversion"/>
  </si>
  <si>
    <t>ZAP687</t>
    <phoneticPr fontId="5" type="noConversion"/>
  </si>
  <si>
    <t>0418144417</t>
    <phoneticPr fontId="5" type="noConversion"/>
  </si>
  <si>
    <t>BGX82C</t>
    <phoneticPr fontId="5" type="noConversion"/>
  </si>
  <si>
    <t>0401256951</t>
    <phoneticPr fontId="5" type="noConversion"/>
  </si>
  <si>
    <t>I/ST</t>
    <phoneticPr fontId="5" type="noConversion"/>
  </si>
  <si>
    <t>DBI12C</t>
    <phoneticPr fontId="5" type="noConversion"/>
  </si>
  <si>
    <t>0404479199</t>
    <phoneticPr fontId="5" type="noConversion"/>
  </si>
  <si>
    <t>CTC79Q</t>
    <phoneticPr fontId="5" type="noConversion"/>
  </si>
  <si>
    <t>0407662843</t>
    <phoneticPr fontId="5" type="noConversion"/>
  </si>
  <si>
    <t>BT28JS</t>
    <phoneticPr fontId="5" type="noConversion"/>
  </si>
  <si>
    <t>0416107668</t>
    <phoneticPr fontId="5" type="noConversion"/>
  </si>
  <si>
    <t>202201065 , 202202046</t>
    <phoneticPr fontId="5" type="noConversion"/>
  </si>
  <si>
    <t>DTI10V</t>
    <phoneticPr fontId="5" type="noConversion"/>
  </si>
  <si>
    <t>0413181450</t>
    <phoneticPr fontId="5" type="noConversion"/>
  </si>
  <si>
    <t># 22011 2/6</t>
    <phoneticPr fontId="5" type="noConversion"/>
  </si>
  <si>
    <t>XS66</t>
    <phoneticPr fontId="5" type="noConversion"/>
  </si>
  <si>
    <t>0431875858</t>
    <phoneticPr fontId="5" type="noConversion"/>
  </si>
  <si>
    <t># 22013 1/6</t>
    <phoneticPr fontId="5" type="noConversion"/>
  </si>
  <si>
    <t>APC88A</t>
    <phoneticPr fontId="5" type="noConversion"/>
  </si>
  <si>
    <t>0410062241</t>
    <phoneticPr fontId="5" type="noConversion"/>
  </si>
  <si>
    <t>CSB82P</t>
    <phoneticPr fontId="5" type="noConversion"/>
  </si>
  <si>
    <t>0423229968</t>
    <phoneticPr fontId="5" type="noConversion"/>
  </si>
  <si>
    <t>#202810 3/6 4/6</t>
    <phoneticPr fontId="5" type="noConversion"/>
  </si>
  <si>
    <t>DGG70Q</t>
    <phoneticPr fontId="5" type="noConversion"/>
  </si>
  <si>
    <t>0431155888</t>
    <phoneticPr fontId="5" type="noConversion"/>
  </si>
  <si>
    <t>DSK36Z</t>
    <phoneticPr fontId="5" type="noConversion"/>
  </si>
  <si>
    <t>0450687838</t>
    <phoneticPr fontId="5" type="noConversion"/>
  </si>
  <si>
    <t>M</t>
  </si>
  <si>
    <t>202202025,28(X)</t>
    <phoneticPr fontId="5" type="noConversion"/>
  </si>
  <si>
    <t>EOJ30W</t>
    <phoneticPr fontId="5" type="noConversion"/>
  </si>
  <si>
    <t>0418432402</t>
    <phoneticPr fontId="5" type="noConversion"/>
  </si>
  <si>
    <t>202202051-52(X)</t>
    <phoneticPr fontId="5" type="noConversion"/>
  </si>
  <si>
    <t>DAE37Y</t>
    <phoneticPr fontId="5" type="noConversion"/>
  </si>
  <si>
    <t>0425774597</t>
    <phoneticPr fontId="5" type="noConversion"/>
  </si>
  <si>
    <t>CSI78N</t>
    <phoneticPr fontId="5" type="noConversion"/>
  </si>
  <si>
    <t>0421493870</t>
    <phoneticPr fontId="5" type="noConversion"/>
  </si>
  <si>
    <t>PS699</t>
    <phoneticPr fontId="5" type="noConversion"/>
  </si>
  <si>
    <t>0412256630</t>
    <phoneticPr fontId="5" type="noConversion"/>
  </si>
  <si>
    <t>210760(3/6)</t>
    <phoneticPr fontId="5" type="noConversion"/>
  </si>
  <si>
    <t>CVL96X</t>
    <phoneticPr fontId="5" type="noConversion"/>
  </si>
  <si>
    <t>0432358067</t>
    <phoneticPr fontId="5" type="noConversion"/>
  </si>
  <si>
    <t>CDR89K</t>
    <phoneticPr fontId="5" type="noConversion"/>
  </si>
  <si>
    <t>0457336600</t>
    <phoneticPr fontId="5" type="noConversion"/>
  </si>
  <si>
    <t>ENT76V</t>
    <phoneticPr fontId="5" type="noConversion"/>
  </si>
  <si>
    <t>0416037429</t>
    <phoneticPr fontId="5" type="noConversion"/>
  </si>
  <si>
    <t>202202080(D)</t>
    <phoneticPr fontId="5" type="noConversion"/>
  </si>
  <si>
    <t>BUN414</t>
    <phoneticPr fontId="5" type="noConversion"/>
  </si>
  <si>
    <t>0401704348</t>
    <phoneticPr fontId="5" type="noConversion"/>
  </si>
  <si>
    <t>EJV52G</t>
    <phoneticPr fontId="5" type="noConversion"/>
  </si>
  <si>
    <t>0409203967</t>
    <phoneticPr fontId="5" type="noConversion"/>
  </si>
  <si>
    <t>B4TM4N</t>
    <phoneticPr fontId="5" type="noConversion"/>
  </si>
  <si>
    <t>0480144733</t>
    <phoneticPr fontId="5" type="noConversion"/>
  </si>
  <si>
    <t>D/DT</t>
    <phoneticPr fontId="5" type="noConversion"/>
  </si>
  <si>
    <t>F9F</t>
    <phoneticPr fontId="5" type="noConversion"/>
  </si>
  <si>
    <t>0488891999</t>
    <phoneticPr fontId="5" type="noConversion"/>
  </si>
  <si>
    <t>22023(1/6)</t>
    <phoneticPr fontId="5" type="noConversion"/>
  </si>
  <si>
    <t>WWQ862</t>
    <phoneticPr fontId="5" type="noConversion"/>
  </si>
  <si>
    <t>0488134554</t>
    <phoneticPr fontId="5" type="noConversion"/>
  </si>
  <si>
    <t>X/ID</t>
    <phoneticPr fontId="5" type="noConversion"/>
  </si>
  <si>
    <t>DFG91A</t>
    <phoneticPr fontId="5" type="noConversion"/>
  </si>
  <si>
    <t>0450603998</t>
    <phoneticPr fontId="5" type="noConversion"/>
  </si>
  <si>
    <t>202202021(D)</t>
    <phoneticPr fontId="5" type="noConversion"/>
  </si>
  <si>
    <t>BTT79A</t>
    <phoneticPr fontId="5" type="noConversion"/>
  </si>
  <si>
    <t>0404861166</t>
    <phoneticPr fontId="5" type="noConversion"/>
  </si>
  <si>
    <t>ENZ25L</t>
    <phoneticPr fontId="5" type="noConversion"/>
  </si>
  <si>
    <t>0408244442</t>
    <phoneticPr fontId="5" type="noConversion"/>
  </si>
  <si>
    <t>EHW53Q</t>
    <phoneticPr fontId="5" type="noConversion"/>
  </si>
  <si>
    <t>0404066946</t>
    <phoneticPr fontId="5" type="noConversion"/>
  </si>
  <si>
    <t>EMG49M</t>
    <phoneticPr fontId="5" type="noConversion"/>
  </si>
  <si>
    <t>0401588000</t>
    <phoneticPr fontId="5" type="noConversion"/>
  </si>
  <si>
    <t>30-04-2022</t>
    <phoneticPr fontId="5" type="noConversion"/>
  </si>
  <si>
    <t>BIVEK</t>
    <phoneticPr fontId="5" type="noConversion"/>
  </si>
  <si>
    <t>CNK76Q</t>
    <phoneticPr fontId="5" type="noConversion"/>
  </si>
  <si>
    <t>0405223889</t>
    <phoneticPr fontId="5" type="noConversion"/>
  </si>
  <si>
    <t>NBS90G</t>
    <phoneticPr fontId="5" type="noConversion"/>
  </si>
  <si>
    <t>0411439769</t>
    <phoneticPr fontId="5" type="noConversion"/>
  </si>
  <si>
    <t>BZ63SD</t>
    <phoneticPr fontId="5" type="noConversion"/>
  </si>
  <si>
    <t>0401093636</t>
    <phoneticPr fontId="5" type="noConversion"/>
  </si>
  <si>
    <t>NBZ30L</t>
    <phoneticPr fontId="5" type="noConversion"/>
  </si>
  <si>
    <t>0419413007</t>
    <phoneticPr fontId="5" type="noConversion"/>
  </si>
  <si>
    <t>202202070(D)</t>
    <phoneticPr fontId="5" type="noConversion"/>
  </si>
  <si>
    <t>98CHUD</t>
    <phoneticPr fontId="5" type="noConversion"/>
  </si>
  <si>
    <t>0403552027</t>
    <phoneticPr fontId="5" type="noConversion"/>
  </si>
  <si>
    <t>DYB76T</t>
    <phoneticPr fontId="5" type="noConversion"/>
  </si>
  <si>
    <t>0416130135</t>
    <phoneticPr fontId="5" type="noConversion"/>
  </si>
  <si>
    <t>ERN94L</t>
    <phoneticPr fontId="5" type="noConversion"/>
  </si>
  <si>
    <t>0412384897</t>
    <phoneticPr fontId="5" type="noConversion"/>
  </si>
  <si>
    <t>SZ520</t>
    <phoneticPr fontId="5" type="noConversion"/>
  </si>
  <si>
    <t>0488027777</t>
    <phoneticPr fontId="5" type="noConversion"/>
  </si>
  <si>
    <t>CSV94D</t>
    <phoneticPr fontId="5" type="noConversion"/>
  </si>
  <si>
    <t>0402213906</t>
    <phoneticPr fontId="5" type="noConversion"/>
  </si>
  <si>
    <t>DDQ71L</t>
    <phoneticPr fontId="5" type="noConversion"/>
  </si>
  <si>
    <t>0400116979</t>
    <phoneticPr fontId="5" type="noConversion"/>
  </si>
  <si>
    <t>DVN59W</t>
    <phoneticPr fontId="5" type="noConversion"/>
  </si>
  <si>
    <t>0410760274</t>
    <phoneticPr fontId="5" type="noConversion"/>
  </si>
  <si>
    <t>LI6888</t>
    <phoneticPr fontId="5" type="noConversion"/>
  </si>
  <si>
    <t>0433286059</t>
    <phoneticPr fontId="5" type="noConversion"/>
  </si>
  <si>
    <t>EAK86U</t>
    <phoneticPr fontId="5" type="noConversion"/>
  </si>
  <si>
    <t>0411577377</t>
    <phoneticPr fontId="5" type="noConversion"/>
  </si>
  <si>
    <t>DZV96M</t>
    <phoneticPr fontId="5" type="noConversion"/>
  </si>
  <si>
    <t>0400707487</t>
    <phoneticPr fontId="5" type="noConversion"/>
  </si>
  <si>
    <t>CXO57N</t>
    <phoneticPr fontId="5" type="noConversion"/>
  </si>
  <si>
    <t>0409782436</t>
    <phoneticPr fontId="5" type="noConversion"/>
  </si>
  <si>
    <t>YHN50Q</t>
    <phoneticPr fontId="5" type="noConversion"/>
  </si>
  <si>
    <t>0456656661</t>
    <phoneticPr fontId="5" type="noConversion"/>
  </si>
  <si>
    <t>DAJ78X</t>
    <phoneticPr fontId="5" type="noConversion"/>
  </si>
  <si>
    <t>0434668842</t>
    <phoneticPr fontId="5" type="noConversion"/>
  </si>
  <si>
    <t>EBG85Z</t>
    <phoneticPr fontId="5" type="noConversion"/>
  </si>
  <si>
    <t>0478659198</t>
    <phoneticPr fontId="5" type="noConversion"/>
  </si>
  <si>
    <t>F/D</t>
    <phoneticPr fontId="5" type="noConversion"/>
  </si>
  <si>
    <t>CAD07Y</t>
    <phoneticPr fontId="5" type="noConversion"/>
  </si>
  <si>
    <t>0416135899</t>
    <phoneticPr fontId="5" type="noConversion"/>
  </si>
  <si>
    <t>OOSHA</t>
    <phoneticPr fontId="5" type="noConversion"/>
  </si>
  <si>
    <t>0450928298</t>
    <phoneticPr fontId="5" type="noConversion"/>
  </si>
  <si>
    <t>PF888</t>
    <phoneticPr fontId="5" type="noConversion"/>
  </si>
  <si>
    <t>0400167996</t>
    <phoneticPr fontId="5" type="noConversion"/>
  </si>
  <si>
    <t>22004(3/6)</t>
    <phoneticPr fontId="5" type="noConversion"/>
  </si>
  <si>
    <t>EF076</t>
    <phoneticPr fontId="5" type="noConversion"/>
  </si>
  <si>
    <t>0418913425</t>
    <phoneticPr fontId="5" type="noConversion"/>
  </si>
  <si>
    <t>DD33BW</t>
    <phoneticPr fontId="5" type="noConversion"/>
  </si>
  <si>
    <t>0480261729</t>
    <phoneticPr fontId="5" type="noConversion"/>
  </si>
  <si>
    <t>IN/ID</t>
    <phoneticPr fontId="5" type="noConversion"/>
  </si>
  <si>
    <t>CHUYI</t>
    <phoneticPr fontId="5" type="noConversion"/>
  </si>
  <si>
    <t>0401573480</t>
    <phoneticPr fontId="5" type="noConversion"/>
  </si>
  <si>
    <t>CZN61D</t>
    <phoneticPr fontId="5" type="noConversion"/>
  </si>
  <si>
    <t>0410255587</t>
    <phoneticPr fontId="5" type="noConversion"/>
  </si>
  <si>
    <t>DVA51P</t>
    <phoneticPr fontId="5" type="noConversion"/>
  </si>
  <si>
    <t>0400447345</t>
    <phoneticPr fontId="5" type="noConversion"/>
  </si>
  <si>
    <t>EOA01Y</t>
    <phoneticPr fontId="5" type="noConversion"/>
  </si>
  <si>
    <t>0416270608</t>
    <phoneticPr fontId="5" type="noConversion"/>
  </si>
  <si>
    <t>NSZ8S9</t>
    <phoneticPr fontId="5" type="noConversion"/>
  </si>
  <si>
    <t>0422028291</t>
    <phoneticPr fontId="5" type="noConversion"/>
  </si>
  <si>
    <t>21048(4/6)</t>
    <phoneticPr fontId="5" type="noConversion"/>
  </si>
  <si>
    <t>DFR03K</t>
    <phoneticPr fontId="5" type="noConversion"/>
  </si>
  <si>
    <t>0450959723</t>
    <phoneticPr fontId="5" type="noConversion"/>
  </si>
  <si>
    <t>DMW26A</t>
    <phoneticPr fontId="5" type="noConversion"/>
  </si>
  <si>
    <t>0412921206</t>
    <phoneticPr fontId="5" type="noConversion"/>
  </si>
  <si>
    <t>01-05-2022</t>
    <phoneticPr fontId="5" type="noConversion"/>
  </si>
  <si>
    <t>SOVID</t>
    <phoneticPr fontId="5" type="noConversion"/>
  </si>
  <si>
    <t>PRAGATI</t>
    <phoneticPr fontId="5" type="noConversion"/>
  </si>
  <si>
    <t>````````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</si>
</sst>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64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19" xfId="4" applyBorder="1" applyAlignment="1">
      <alignment horizontal="center" shrinkToFit="1"/>
    </xf>
    <xf numFmtId="0" fontId="25" fillId="14" borderId="4" xfId="4" applyBorder="1" applyAlignment="1">
      <alignment horizontal="center" shrinkToFit="1"/>
    </xf>
    <xf numFmtId="0" fontId="25" fillId="14" borderId="1" xfId="4" applyBorder="1" applyAlignment="1">
      <alignment horizontal="left"/>
    </xf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79" fontId="25" fillId="14" borderId="26" xfId="4" applyNumberFormat="1" applyBorder="1" applyAlignment="1">
      <alignment horizontal="left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25" fillId="14" borderId="9" xfId="4" applyBorder="1" applyAlignment="1">
      <alignment horizontal="center" shrinkToFit="1"/>
    </xf>
    <xf numFmtId="49" fontId="25" fillId="14" borderId="2" xfId="4" applyNumberFormat="1" applyBorder="1" applyAlignment="1">
      <alignment horizontal="left" shrinkToFit="1"/>
    </xf>
    <xf numFmtId="0" fontId="25" fillId="14" borderId="1" xfId="4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178" fontId="25" fillId="14" borderId="1" xfId="4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0" fontId="1" fillId="2" borderId="4" xfId="0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12" fontId="0" fillId="0" borderId="2" xfId="0" applyNumberFormat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shrinkToFit="1"/>
    </xf>
    <xf numFmtId="12" fontId="0" fillId="0" borderId="2" xfId="0" applyNumberFormat="1" applyBorder="1" applyAlignment="1">
      <alignment horizontal="center" shrinkToFit="1"/>
    </xf>
    <xf numFmtId="12" fontId="15" fillId="0" borderId="2" xfId="0" applyNumberFormat="1" applyFont="1" applyBorder="1" applyAlignment="1">
      <alignment horizontal="center" shrinkToFit="1"/>
    </xf>
    <xf numFmtId="0" fontId="25" fillId="14" borderId="2" xfId="4" applyBorder="1" applyAlignment="1">
      <alignment horizontal="center" vertical="center" shrinkToFit="1"/>
    </xf>
    <xf numFmtId="0" fontId="25" fillId="14" borderId="29" xfId="4" applyBorder="1" applyAlignment="1">
      <alignment horizontal="center" vertical="center" shrinkToFit="1"/>
    </xf>
    <xf numFmtId="0" fontId="25" fillId="14" borderId="17" xfId="4" applyBorder="1" applyAlignment="1">
      <alignment horizontal="center" vertic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N15" sqref="N1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6" t="s">
        <v>97</v>
      </c>
      <c r="B2" s="297"/>
      <c r="C2" s="297"/>
      <c r="D2" s="297"/>
      <c r="E2" s="297"/>
      <c r="F2" s="297"/>
      <c r="G2" s="298"/>
      <c r="H2" s="299" t="s">
        <v>49</v>
      </c>
      <c r="I2" s="300"/>
      <c r="J2" s="296" t="s">
        <v>98</v>
      </c>
      <c r="K2" s="298"/>
      <c r="L2" s="300" t="s">
        <v>96</v>
      </c>
      <c r="M2" s="301"/>
      <c r="N2" s="299"/>
      <c r="O2" s="297" t="s">
        <v>99</v>
      </c>
      <c r="P2" s="297"/>
      <c r="Q2" s="298"/>
      <c r="R2" s="300" t="s">
        <v>51</v>
      </c>
      <c r="S2" s="299"/>
      <c r="T2" s="302">
        <v>4</v>
      </c>
      <c r="U2" s="30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06" t="s">
        <v>8</v>
      </c>
      <c r="P4" s="306"/>
      <c r="Q4" s="306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3098</v>
      </c>
      <c r="C5" s="68" t="s">
        <v>105</v>
      </c>
      <c r="D5" s="200" t="s">
        <v>106</v>
      </c>
      <c r="E5" s="181" t="s">
        <v>92</v>
      </c>
      <c r="F5" s="170">
        <v>1245</v>
      </c>
      <c r="G5" s="118" t="s">
        <v>107</v>
      </c>
      <c r="H5" s="91">
        <v>200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7"/>
      <c r="P5" s="308"/>
      <c r="Q5" s="309"/>
      <c r="R5" s="33" t="s">
        <v>99</v>
      </c>
      <c r="S5" s="31">
        <v>0.5</v>
      </c>
      <c r="T5" s="32">
        <v>0.71875</v>
      </c>
      <c r="U5" s="92">
        <f t="shared" ref="U5:U15" si="0">(T5-S5)*24</f>
        <v>5.25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3099</v>
      </c>
      <c r="C6" s="67" t="s">
        <v>108</v>
      </c>
      <c r="D6" s="200" t="s">
        <v>109</v>
      </c>
      <c r="E6" s="181" t="s">
        <v>92</v>
      </c>
      <c r="F6" s="171">
        <v>1250</v>
      </c>
      <c r="G6" s="118" t="s">
        <v>110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0">
        <v>202749.625</v>
      </c>
      <c r="P6" s="311"/>
      <c r="Q6" s="312"/>
      <c r="R6" s="132" t="s">
        <v>100</v>
      </c>
      <c r="S6" s="31">
        <v>0.5</v>
      </c>
      <c r="T6" s="32">
        <v>0.66666666666666663</v>
      </c>
      <c r="U6" s="92">
        <f t="shared" si="0"/>
        <v>3.9999999999999991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3100</v>
      </c>
      <c r="C7" s="67" t="s">
        <v>111</v>
      </c>
      <c r="D7" s="200" t="s">
        <v>112</v>
      </c>
      <c r="E7" s="181" t="s">
        <v>91</v>
      </c>
      <c r="F7" s="171">
        <v>1300</v>
      </c>
      <c r="G7" s="118" t="s">
        <v>113</v>
      </c>
      <c r="H7" s="91"/>
      <c r="I7" s="124">
        <v>140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3" t="s">
        <v>114</v>
      </c>
      <c r="P7" s="314"/>
      <c r="Q7" s="315"/>
      <c r="R7" s="134" t="s">
        <v>101</v>
      </c>
      <c r="S7" s="31">
        <v>0.45833333333333331</v>
      </c>
      <c r="T7" s="32">
        <v>0.71875</v>
      </c>
      <c r="U7" s="92">
        <f t="shared" si="0"/>
        <v>6.25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3101</v>
      </c>
      <c r="C8" s="27" t="s">
        <v>115</v>
      </c>
      <c r="D8" s="200" t="s">
        <v>116</v>
      </c>
      <c r="E8" s="181" t="s">
        <v>92</v>
      </c>
      <c r="F8" s="171">
        <v>1320</v>
      </c>
      <c r="G8" s="118" t="s">
        <v>117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6"/>
      <c r="P8" s="317"/>
      <c r="Q8" s="318"/>
      <c r="R8" s="26" t="s">
        <v>102</v>
      </c>
      <c r="S8" s="31">
        <v>0.5</v>
      </c>
      <c r="T8" s="32">
        <v>0.71875</v>
      </c>
      <c r="U8" s="92">
        <f t="shared" si="0"/>
        <v>5.25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3102</v>
      </c>
      <c r="C9" s="63" t="s">
        <v>118</v>
      </c>
      <c r="D9" s="201" t="s">
        <v>119</v>
      </c>
      <c r="E9" s="181" t="s">
        <v>91</v>
      </c>
      <c r="F9" s="172">
        <v>1430</v>
      </c>
      <c r="G9" s="119" t="s">
        <v>117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6"/>
      <c r="P9" s="317"/>
      <c r="Q9" s="318"/>
      <c r="R9" s="26" t="s">
        <v>103</v>
      </c>
      <c r="S9" s="31">
        <v>0.65625</v>
      </c>
      <c r="T9" s="32">
        <v>0.71875</v>
      </c>
      <c r="U9" s="92">
        <f t="shared" si="0"/>
        <v>1.5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3103</v>
      </c>
      <c r="C10" s="28" t="s">
        <v>120</v>
      </c>
      <c r="D10" s="202" t="s">
        <v>121</v>
      </c>
      <c r="E10" s="181" t="s">
        <v>92</v>
      </c>
      <c r="F10" s="173">
        <v>1450</v>
      </c>
      <c r="G10" s="120" t="s">
        <v>122</v>
      </c>
      <c r="H10" s="123"/>
      <c r="I10" s="125">
        <v>130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3"/>
      <c r="P10" s="304"/>
      <c r="Q10" s="305"/>
      <c r="R10" s="26" t="s">
        <v>104</v>
      </c>
      <c r="S10" s="31">
        <v>0.65625</v>
      </c>
      <c r="T10" s="32">
        <v>0.69791666666666663</v>
      </c>
      <c r="U10" s="92">
        <f t="shared" si="0"/>
        <v>0.99999999999999911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3104</v>
      </c>
      <c r="C11" s="18" t="s">
        <v>123</v>
      </c>
      <c r="D11" s="203" t="s">
        <v>124</v>
      </c>
      <c r="E11" s="181" t="s">
        <v>91</v>
      </c>
      <c r="F11" s="66">
        <v>1510</v>
      </c>
      <c r="G11" s="121" t="s">
        <v>122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3"/>
      <c r="P11" s="314"/>
      <c r="Q11" s="31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3105</v>
      </c>
      <c r="C12" s="64" t="s">
        <v>125</v>
      </c>
      <c r="D12" s="204" t="s">
        <v>126</v>
      </c>
      <c r="E12" s="181" t="s">
        <v>91</v>
      </c>
      <c r="F12" s="173">
        <v>1510</v>
      </c>
      <c r="G12" s="119" t="s">
        <v>127</v>
      </c>
      <c r="H12" s="123"/>
      <c r="I12" s="125">
        <v>280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3"/>
      <c r="P12" s="314"/>
      <c r="Q12" s="31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3106</v>
      </c>
      <c r="C13" s="64" t="s">
        <v>128</v>
      </c>
      <c r="D13" s="204" t="s">
        <v>129</v>
      </c>
      <c r="E13" s="181" t="s">
        <v>91</v>
      </c>
      <c r="F13" s="173">
        <v>1530</v>
      </c>
      <c r="G13" s="119" t="s">
        <v>117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3" t="s">
        <v>114</v>
      </c>
      <c r="P13" s="314"/>
      <c r="Q13" s="31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3107</v>
      </c>
      <c r="C14" s="65" t="s">
        <v>130</v>
      </c>
      <c r="D14" s="205" t="s">
        <v>131</v>
      </c>
      <c r="E14" s="181" t="s">
        <v>92</v>
      </c>
      <c r="F14" s="174">
        <v>1550</v>
      </c>
      <c r="G14" s="122" t="s">
        <v>117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3"/>
      <c r="P14" s="314"/>
      <c r="Q14" s="31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3"/>
      <c r="P15" s="314"/>
      <c r="Q15" s="31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3"/>
      <c r="P16" s="314"/>
      <c r="Q16" s="315"/>
      <c r="R16" s="82">
        <f>H32/U16</f>
        <v>0.43010752688172044</v>
      </c>
      <c r="S16" s="83">
        <f>H32/(U16-U5)</f>
        <v>0.55555555555555558</v>
      </c>
      <c r="T16" s="83">
        <f>C32/U16</f>
        <v>51.827956989247312</v>
      </c>
      <c r="U16" s="83">
        <f>SUM(U5:U15)</f>
        <v>23.25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3"/>
      <c r="P17" s="314"/>
      <c r="Q17" s="31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3"/>
      <c r="P18" s="314"/>
      <c r="Q18" s="31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3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1"/>
      <c r="P20" s="322"/>
      <c r="Q20" s="32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3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3"/>
      <c r="P22" s="314"/>
      <c r="Q22" s="31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9"/>
      <c r="Y23" s="320"/>
      <c r="Z23" s="32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3"/>
      <c r="P24" s="314"/>
      <c r="Q24" s="31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3"/>
      <c r="P25" s="314"/>
      <c r="Q25" s="315"/>
      <c r="R25" s="100">
        <f>COUNTIF(G5:G29,"GV1")+COUNTIF(G37:G61,"GV1")+COUNTIF(G69:G93,"GV1")</f>
        <v>0</v>
      </c>
      <c r="S25" s="101">
        <f>COUNTIF(G5:G29,"GV2")+COUNTIF(G37:G61,"GV2")+COUNTIF(G69:G93,"GV2")</f>
        <v>1</v>
      </c>
      <c r="T25" s="101">
        <f>COUNTIF(G5:G29,"GV3")+COUNTIF(G37:G61,"GV3")+COUNTIF(G69:G93,"GV3")</f>
        <v>0</v>
      </c>
      <c r="U25" s="323">
        <f>((C32+(R26+S26+T26)*0.5))</f>
        <v>1225.75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3"/>
      <c r="P26" s="314"/>
      <c r="Q26" s="315"/>
      <c r="R26" s="112">
        <f>R25*37.5</f>
        <v>0</v>
      </c>
      <c r="S26" s="102">
        <f>S25*41.5</f>
        <v>41.5</v>
      </c>
      <c r="T26" s="102">
        <f>T25*50</f>
        <v>0</v>
      </c>
      <c r="U26" s="32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3"/>
      <c r="P27" s="314"/>
      <c r="Q27" s="315"/>
      <c r="R27" s="332" t="s">
        <v>56</v>
      </c>
      <c r="S27" s="333"/>
      <c r="T27" s="333"/>
      <c r="U27" s="33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3"/>
      <c r="P28" s="314"/>
      <c r="Q28" s="315"/>
      <c r="R28" s="325"/>
      <c r="S28" s="326"/>
      <c r="T28" s="32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11">
        <f t="shared" ref="H30:M30" si="3">SUM(H5:H29)</f>
        <v>200</v>
      </c>
      <c r="I30" s="105">
        <f>SUM(I5:I29)</f>
        <v>1005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12">
        <f t="shared" ref="H31:J31" si="4">H30+H62+H94</f>
        <v>200</v>
      </c>
      <c r="I31" s="103">
        <f t="shared" si="4"/>
        <v>1005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17">
        <f>COUNT(H5:H29,H37:H61,H69:H93)</f>
        <v>1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200</v>
      </c>
      <c r="T31" s="337">
        <f>H31+I31+L31+M31</f>
        <v>1205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8" t="s">
        <v>55</v>
      </c>
      <c r="B32" s="329"/>
      <c r="C32" s="107">
        <f>H31+I31+J31+K31</f>
        <v>1205</v>
      </c>
      <c r="D32" s="196"/>
      <c r="E32" s="107"/>
      <c r="F32" s="330" t="s">
        <v>53</v>
      </c>
      <c r="G32" s="330"/>
      <c r="H32" s="109">
        <f>COUNT(B5:B29,B37:B61,B69:B93)</f>
        <v>10</v>
      </c>
      <c r="I32" s="331" t="s">
        <v>54</v>
      </c>
      <c r="J32" s="331"/>
      <c r="K32" s="108">
        <f>C32/H32</f>
        <v>120.5</v>
      </c>
      <c r="L32" s="218"/>
      <c r="M32" s="218"/>
      <c r="N32" s="218">
        <f>H31/C32</f>
        <v>0.16597510373443983</v>
      </c>
      <c r="O32" s="218">
        <f>I31/C32</f>
        <v>0.8340248962655602</v>
      </c>
      <c r="P32" s="218">
        <f>K31/C32</f>
        <v>0</v>
      </c>
      <c r="Q32" s="110">
        <f>J31/C32</f>
        <v>0</v>
      </c>
      <c r="R32" s="99" t="s">
        <v>82</v>
      </c>
      <c r="S32" s="213">
        <f>I31+M31</f>
        <v>1005</v>
      </c>
      <c r="T32" s="339"/>
      <c r="U32" s="340"/>
      <c r="V32" s="55"/>
      <c r="W32" s="55"/>
      <c r="X32" s="56" t="s">
        <v>27</v>
      </c>
      <c r="Y32" s="56"/>
      <c r="Z32" s="54">
        <f>I31</f>
        <v>1005</v>
      </c>
      <c r="AE32" s="37"/>
      <c r="AF32" s="37"/>
      <c r="AG32" s="37"/>
      <c r="AH32" s="37"/>
    </row>
    <row r="33" spans="1:34" ht="17.25" thickBot="1" x14ac:dyDescent="0.35">
      <c r="A33" s="335" t="s">
        <v>24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297"/>
      <c r="U33" s="298"/>
      <c r="X33" s="57" t="s">
        <v>29</v>
      </c>
      <c r="Y33" s="57"/>
      <c r="Z33" s="58">
        <f>SUM(Z31:Z32)</f>
        <v>-1740</v>
      </c>
      <c r="AE33" s="37"/>
      <c r="AF33" s="37"/>
      <c r="AG33" s="59"/>
      <c r="AH33" s="37"/>
    </row>
    <row r="34" spans="1:34" ht="17.25" thickBot="1" x14ac:dyDescent="0.35">
      <c r="A34" s="296" t="str">
        <f>A2</f>
        <v>25 - 4 - 2022</v>
      </c>
      <c r="B34" s="297"/>
      <c r="C34" s="297"/>
      <c r="D34" s="297"/>
      <c r="E34" s="297"/>
      <c r="F34" s="297"/>
      <c r="G34" s="298"/>
      <c r="H34" s="299" t="s">
        <v>49</v>
      </c>
      <c r="I34" s="300"/>
      <c r="J34" s="296" t="str">
        <f>J2</f>
        <v>CLOUDY</v>
      </c>
      <c r="K34" s="298"/>
      <c r="L34" s="300" t="s">
        <v>50</v>
      </c>
      <c r="M34" s="301"/>
      <c r="N34" s="299"/>
      <c r="O34" s="297" t="str">
        <f>O2</f>
        <v>JOHN</v>
      </c>
      <c r="P34" s="297"/>
      <c r="Q34" s="298"/>
      <c r="R34" s="300" t="s">
        <v>51</v>
      </c>
      <c r="S34" s="299"/>
      <c r="T34" s="302">
        <f>T2</f>
        <v>4</v>
      </c>
      <c r="U34" s="30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06" t="s">
        <v>8</v>
      </c>
      <c r="P36" s="306"/>
      <c r="Q36" s="306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3"/>
      <c r="P37" s="314"/>
      <c r="Q37" s="315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4"/>
      <c r="P38" s="311"/>
      <c r="Q38" s="31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3"/>
      <c r="P39" s="314"/>
      <c r="Q39" s="315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6"/>
      <c r="P40" s="317"/>
      <c r="Q40" s="318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6"/>
      <c r="P41" s="317"/>
      <c r="Q41" s="318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3"/>
      <c r="P42" s="304"/>
      <c r="Q42" s="30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3"/>
      <c r="P43" s="314"/>
      <c r="Q43" s="315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3"/>
      <c r="P44" s="314"/>
      <c r="Q44" s="31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3"/>
      <c r="P45" s="314"/>
      <c r="Q45" s="315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3"/>
      <c r="P46" s="314"/>
      <c r="Q46" s="31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3"/>
      <c r="P47" s="314"/>
      <c r="Q47" s="315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3"/>
      <c r="P48" s="314"/>
      <c r="Q48" s="315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3"/>
      <c r="P49" s="314"/>
      <c r="Q49" s="315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3"/>
      <c r="P50" s="314"/>
      <c r="Q50" s="315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3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3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3"/>
      <c r="Q53" s="313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3"/>
      <c r="Q54" s="313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3"/>
      <c r="Q55" s="313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3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3"/>
      <c r="P60" s="314"/>
      <c r="Q60" s="31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3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7.25" thickBot="1" x14ac:dyDescent="0.3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7.25" thickBot="1" x14ac:dyDescent="0.3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5"/>
      <c r="O64" s="336"/>
      <c r="P64" s="336"/>
      <c r="Q64" s="380"/>
      <c r="R64" s="381" t="s">
        <v>17</v>
      </c>
      <c r="S64" s="382"/>
      <c r="T64" s="382"/>
      <c r="U64" s="383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 t="str">
        <f>A34</f>
        <v>25 - 4 - 2022</v>
      </c>
      <c r="B66" s="297"/>
      <c r="C66" s="297"/>
      <c r="D66" s="297"/>
      <c r="E66" s="297"/>
      <c r="F66" s="297"/>
      <c r="G66" s="298"/>
      <c r="H66" s="299" t="s">
        <v>49</v>
      </c>
      <c r="I66" s="300"/>
      <c r="J66" s="296" t="str">
        <f>J34</f>
        <v>CLOUDY</v>
      </c>
      <c r="K66" s="298"/>
      <c r="L66" s="300" t="s">
        <v>50</v>
      </c>
      <c r="M66" s="301"/>
      <c r="N66" s="299"/>
      <c r="O66" s="297" t="str">
        <f>O34</f>
        <v>JOHN</v>
      </c>
      <c r="P66" s="297"/>
      <c r="Q66" s="298"/>
      <c r="R66" s="300" t="s">
        <v>51</v>
      </c>
      <c r="S66" s="299"/>
      <c r="T66" s="302">
        <f>T34</f>
        <v>4</v>
      </c>
      <c r="U66" s="30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06" t="s">
        <v>8</v>
      </c>
      <c r="P68" s="306"/>
      <c r="Q68" s="306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3"/>
      <c r="P69" s="314"/>
      <c r="Q69" s="315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4"/>
      <c r="P70" s="311"/>
      <c r="Q70" s="31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3"/>
      <c r="P71" s="314"/>
      <c r="Q71" s="31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6"/>
      <c r="P72" s="317"/>
      <c r="Q72" s="318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6"/>
      <c r="P73" s="317"/>
      <c r="Q73" s="318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3"/>
      <c r="P74" s="304"/>
      <c r="Q74" s="30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3"/>
      <c r="P75" s="314"/>
      <c r="Q75" s="31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3"/>
      <c r="P76" s="314"/>
      <c r="Q76" s="315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3"/>
      <c r="P77" s="314"/>
      <c r="Q77" s="315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3"/>
      <c r="P78" s="314"/>
      <c r="Q78" s="315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3"/>
      <c r="P79" s="314"/>
      <c r="Q79" s="315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3"/>
      <c r="P80" s="314"/>
      <c r="Q80" s="315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3"/>
      <c r="P81" s="314"/>
      <c r="Q81" s="315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3"/>
      <c r="P82" s="314"/>
      <c r="Q82" s="315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3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3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3"/>
      <c r="Q85" s="31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3"/>
      <c r="Q86" s="31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3"/>
      <c r="Q87" s="31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3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3"/>
      <c r="P92" s="314"/>
      <c r="Q92" s="31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3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7.25" thickBot="1" x14ac:dyDescent="0.3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7.25" thickBot="1" x14ac:dyDescent="0.3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5"/>
      <c r="O96" s="336"/>
      <c r="P96" s="336"/>
      <c r="Q96" s="380"/>
      <c r="R96" s="381" t="s">
        <v>52</v>
      </c>
      <c r="S96" s="382"/>
      <c r="T96" s="382"/>
      <c r="U96" s="383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D20" sqref="D2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6" t="s">
        <v>132</v>
      </c>
      <c r="B2" s="297"/>
      <c r="C2" s="297"/>
      <c r="D2" s="297"/>
      <c r="E2" s="297"/>
      <c r="F2" s="297"/>
      <c r="G2" s="298"/>
      <c r="H2" s="299" t="s">
        <v>49</v>
      </c>
      <c r="I2" s="300"/>
      <c r="J2" s="296" t="s">
        <v>133</v>
      </c>
      <c r="K2" s="298"/>
      <c r="L2" s="300" t="s">
        <v>96</v>
      </c>
      <c r="M2" s="301"/>
      <c r="N2" s="299"/>
      <c r="O2" s="297" t="s">
        <v>134</v>
      </c>
      <c r="P2" s="297"/>
      <c r="Q2" s="298"/>
      <c r="R2" s="300" t="s">
        <v>51</v>
      </c>
      <c r="S2" s="299"/>
      <c r="T2" s="302">
        <v>4</v>
      </c>
      <c r="U2" s="30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6" t="s">
        <v>8</v>
      </c>
      <c r="P4" s="306"/>
      <c r="Q4" s="30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3108</v>
      </c>
      <c r="C5" s="68" t="s">
        <v>135</v>
      </c>
      <c r="D5" s="200" t="s">
        <v>136</v>
      </c>
      <c r="E5" s="181" t="s">
        <v>91</v>
      </c>
      <c r="F5" s="170">
        <v>1015</v>
      </c>
      <c r="G5" s="118" t="s">
        <v>117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103</v>
      </c>
      <c r="O5" s="307"/>
      <c r="P5" s="308"/>
      <c r="Q5" s="309"/>
      <c r="R5" s="33" t="s">
        <v>134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3109</v>
      </c>
      <c r="C6" s="67" t="s">
        <v>137</v>
      </c>
      <c r="D6" s="200" t="s">
        <v>138</v>
      </c>
      <c r="E6" s="181" t="s">
        <v>92</v>
      </c>
      <c r="F6" s="171">
        <v>1100</v>
      </c>
      <c r="G6" s="118" t="s">
        <v>139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134</v>
      </c>
      <c r="O6" s="354"/>
      <c r="P6" s="311"/>
      <c r="Q6" s="312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267">
        <v>3</v>
      </c>
      <c r="B7" s="268">
        <v>3110</v>
      </c>
      <c r="C7" s="269" t="s">
        <v>140</v>
      </c>
      <c r="D7" s="270" t="s">
        <v>141</v>
      </c>
      <c r="E7" s="271" t="s">
        <v>92</v>
      </c>
      <c r="F7" s="272">
        <v>1120</v>
      </c>
      <c r="G7" s="268" t="s">
        <v>142</v>
      </c>
      <c r="H7" s="273"/>
      <c r="I7" s="273">
        <v>280</v>
      </c>
      <c r="J7" s="273" t="str">
        <f t="shared" si="1"/>
        <v>0</v>
      </c>
      <c r="K7" s="273" t="str">
        <f t="shared" si="2"/>
        <v>0</v>
      </c>
      <c r="L7" s="274"/>
      <c r="M7" s="274"/>
      <c r="N7" s="275" t="s">
        <v>134</v>
      </c>
      <c r="O7" s="313"/>
      <c r="P7" s="314"/>
      <c r="Q7" s="315"/>
      <c r="R7" s="134" t="s">
        <v>100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3111</v>
      </c>
      <c r="C8" s="27" t="s">
        <v>143</v>
      </c>
      <c r="D8" s="200" t="s">
        <v>144</v>
      </c>
      <c r="E8" s="181" t="s">
        <v>92</v>
      </c>
      <c r="F8" s="171">
        <v>1245</v>
      </c>
      <c r="G8" s="118" t="s">
        <v>145</v>
      </c>
      <c r="H8" s="91"/>
      <c r="I8" s="124"/>
      <c r="J8" s="130" t="str">
        <f t="shared" si="1"/>
        <v>0</v>
      </c>
      <c r="K8" s="130" t="str">
        <f t="shared" si="2"/>
        <v>58.3</v>
      </c>
      <c r="L8" s="131"/>
      <c r="M8" s="131"/>
      <c r="N8" s="134" t="s">
        <v>134</v>
      </c>
      <c r="O8" s="386">
        <v>202869.83333333334</v>
      </c>
      <c r="P8" s="317"/>
      <c r="Q8" s="318"/>
      <c r="R8" s="26" t="s">
        <v>104</v>
      </c>
      <c r="S8" s="31">
        <v>0.45833333333333331</v>
      </c>
      <c r="T8" s="32">
        <v>0.70833333333333337</v>
      </c>
      <c r="U8" s="92">
        <f t="shared" si="0"/>
        <v>6.0000000000000018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3112</v>
      </c>
      <c r="C9" s="63" t="s">
        <v>146</v>
      </c>
      <c r="D9" s="201" t="s">
        <v>147</v>
      </c>
      <c r="E9" s="181" t="s">
        <v>91</v>
      </c>
      <c r="F9" s="172">
        <v>1245</v>
      </c>
      <c r="G9" s="119" t="s">
        <v>113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6" t="s">
        <v>148</v>
      </c>
      <c r="P9" s="317"/>
      <c r="Q9" s="318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3113</v>
      </c>
      <c r="C10" s="28" t="s">
        <v>149</v>
      </c>
      <c r="D10" s="202" t="s">
        <v>150</v>
      </c>
      <c r="E10" s="181" t="s">
        <v>92</v>
      </c>
      <c r="F10" s="173">
        <v>1250</v>
      </c>
      <c r="G10" s="120" t="s">
        <v>117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3"/>
      <c r="P10" s="304"/>
      <c r="Q10" s="305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3114</v>
      </c>
      <c r="C11" s="18" t="s">
        <v>151</v>
      </c>
      <c r="D11" s="203" t="s">
        <v>152</v>
      </c>
      <c r="E11" s="181" t="s">
        <v>92</v>
      </c>
      <c r="F11" s="66">
        <v>1315</v>
      </c>
      <c r="G11" s="121" t="s">
        <v>139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134</v>
      </c>
      <c r="O11" s="313"/>
      <c r="P11" s="314"/>
      <c r="Q11" s="31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3115</v>
      </c>
      <c r="C12" s="64" t="s">
        <v>153</v>
      </c>
      <c r="D12" s="204" t="s">
        <v>154</v>
      </c>
      <c r="E12" s="181" t="s">
        <v>91</v>
      </c>
      <c r="F12" s="173">
        <v>1320</v>
      </c>
      <c r="G12" s="119" t="s">
        <v>113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134</v>
      </c>
      <c r="O12" s="313"/>
      <c r="P12" s="314"/>
      <c r="Q12" s="31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3116</v>
      </c>
      <c r="C13" s="64" t="s">
        <v>155</v>
      </c>
      <c r="D13" s="204" t="s">
        <v>156</v>
      </c>
      <c r="E13" s="181" t="s">
        <v>92</v>
      </c>
      <c r="F13" s="173">
        <v>1345</v>
      </c>
      <c r="G13" s="119" t="s">
        <v>139</v>
      </c>
      <c r="H13" s="169">
        <v>55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134</v>
      </c>
      <c r="O13" s="313"/>
      <c r="P13" s="314"/>
      <c r="Q13" s="31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3117</v>
      </c>
      <c r="C14" s="65" t="s">
        <v>157</v>
      </c>
      <c r="D14" s="205" t="s">
        <v>158</v>
      </c>
      <c r="E14" s="181" t="s">
        <v>92</v>
      </c>
      <c r="F14" s="174">
        <v>1415</v>
      </c>
      <c r="G14" s="122" t="s">
        <v>145</v>
      </c>
      <c r="H14" s="123"/>
      <c r="I14" s="125"/>
      <c r="J14" s="130" t="str">
        <f t="shared" si="1"/>
        <v>0</v>
      </c>
      <c r="K14" s="130">
        <v>158.33000000000001</v>
      </c>
      <c r="L14" s="131"/>
      <c r="M14" s="131"/>
      <c r="N14" s="134" t="s">
        <v>134</v>
      </c>
      <c r="O14" s="313" t="s">
        <v>159</v>
      </c>
      <c r="P14" s="314"/>
      <c r="Q14" s="31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3118</v>
      </c>
      <c r="C15" s="65" t="s">
        <v>160</v>
      </c>
      <c r="D15" s="205" t="s">
        <v>161</v>
      </c>
      <c r="E15" s="181" t="s">
        <v>91</v>
      </c>
      <c r="F15" s="174">
        <v>1445</v>
      </c>
      <c r="G15" s="122" t="s">
        <v>145</v>
      </c>
      <c r="H15" s="123"/>
      <c r="I15" s="124"/>
      <c r="J15" s="130" t="str">
        <f t="shared" si="1"/>
        <v>0</v>
      </c>
      <c r="K15" s="130" t="str">
        <f t="shared" si="2"/>
        <v>58.3</v>
      </c>
      <c r="L15" s="131"/>
      <c r="M15" s="131"/>
      <c r="N15" s="134" t="s">
        <v>134</v>
      </c>
      <c r="O15" s="385" t="s">
        <v>162</v>
      </c>
      <c r="P15" s="314"/>
      <c r="Q15" s="31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3119</v>
      </c>
      <c r="C16" s="65" t="s">
        <v>163</v>
      </c>
      <c r="D16" s="205" t="s">
        <v>164</v>
      </c>
      <c r="E16" s="181" t="s">
        <v>91</v>
      </c>
      <c r="F16" s="174">
        <v>1500</v>
      </c>
      <c r="G16" s="122" t="s">
        <v>44</v>
      </c>
      <c r="H16" s="123"/>
      <c r="I16" s="124">
        <v>20</v>
      </c>
      <c r="J16" s="130" t="str">
        <f t="shared" si="1"/>
        <v>55</v>
      </c>
      <c r="K16" s="130" t="str">
        <f t="shared" si="2"/>
        <v>0</v>
      </c>
      <c r="L16" s="131"/>
      <c r="M16" s="131"/>
      <c r="N16" s="134" t="s">
        <v>134</v>
      </c>
      <c r="O16" s="313">
        <v>202203049</v>
      </c>
      <c r="P16" s="314"/>
      <c r="Q16" s="315"/>
      <c r="R16" s="82">
        <f>H32/U16</f>
        <v>0.41935483870967732</v>
      </c>
      <c r="S16" s="83">
        <f>H32/(U16-U5)</f>
        <v>0.59090909090909072</v>
      </c>
      <c r="T16" s="83">
        <f>C32/U16</f>
        <v>41.959032258064504</v>
      </c>
      <c r="U16" s="83">
        <f>SUM(U5:U15)</f>
        <v>31.000000000000007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3120</v>
      </c>
      <c r="C17" s="18" t="s">
        <v>165</v>
      </c>
      <c r="D17" s="203" t="s">
        <v>166</v>
      </c>
      <c r="E17" s="181" t="s">
        <v>92</v>
      </c>
      <c r="F17" s="66">
        <v>1510</v>
      </c>
      <c r="G17" s="121" t="s">
        <v>167</v>
      </c>
      <c r="H17" s="123"/>
      <c r="I17" s="124"/>
      <c r="J17" s="130" t="str">
        <f t="shared" si="1"/>
        <v>0</v>
      </c>
      <c r="K17" s="130" t="str">
        <f t="shared" si="2"/>
        <v>45.8</v>
      </c>
      <c r="L17" s="131"/>
      <c r="M17" s="131"/>
      <c r="N17" s="134" t="s">
        <v>134</v>
      </c>
      <c r="O17" s="313" t="s">
        <v>168</v>
      </c>
      <c r="P17" s="314"/>
      <c r="Q17" s="31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3"/>
      <c r="P18" s="314"/>
      <c r="Q18" s="31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3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1"/>
      <c r="P20" s="322"/>
      <c r="Q20" s="32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3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3"/>
      <c r="P22" s="314"/>
      <c r="Q22" s="31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9"/>
      <c r="Y23" s="320"/>
      <c r="Z23" s="32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3"/>
      <c r="P24" s="314"/>
      <c r="Q24" s="31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3"/>
      <c r="P25" s="314"/>
      <c r="Q25" s="31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3">
        <f>((C32+(R26+S26+T26)*0.5))</f>
        <v>1300.73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3"/>
      <c r="P26" s="314"/>
      <c r="Q26" s="315"/>
      <c r="R26" s="112">
        <f>R25*37.5</f>
        <v>0</v>
      </c>
      <c r="S26" s="102">
        <f>S25*41.5</f>
        <v>0</v>
      </c>
      <c r="T26" s="102">
        <f>T25*50</f>
        <v>0</v>
      </c>
      <c r="U26" s="32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3"/>
      <c r="P27" s="314"/>
      <c r="Q27" s="315"/>
      <c r="R27" s="332" t="s">
        <v>56</v>
      </c>
      <c r="S27" s="333"/>
      <c r="T27" s="333"/>
      <c r="U27" s="33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3"/>
      <c r="P28" s="314"/>
      <c r="Q28" s="315"/>
      <c r="R28" s="325"/>
      <c r="S28" s="326"/>
      <c r="T28" s="32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150</v>
      </c>
      <c r="I30" s="105">
        <f>SUM(I5:I29)</f>
        <v>775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320.73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150</v>
      </c>
      <c r="I31" s="103">
        <f t="shared" si="4"/>
        <v>775</v>
      </c>
      <c r="J31" s="103">
        <f t="shared" si="4"/>
        <v>55</v>
      </c>
      <c r="K31" s="103">
        <f>K30+K62+K94</f>
        <v>320.73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150</v>
      </c>
      <c r="T31" s="337">
        <f>H31+I31+L31+M31</f>
        <v>925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8" t="s">
        <v>55</v>
      </c>
      <c r="B32" s="329"/>
      <c r="C32" s="107">
        <f>H31+I31+J31+K31</f>
        <v>1300.73</v>
      </c>
      <c r="D32" s="196"/>
      <c r="E32" s="107"/>
      <c r="F32" s="330" t="s">
        <v>53</v>
      </c>
      <c r="G32" s="330"/>
      <c r="H32" s="109">
        <f>COUNT(B5:B29,B37:B61,B69:B93)</f>
        <v>13</v>
      </c>
      <c r="I32" s="331" t="s">
        <v>54</v>
      </c>
      <c r="J32" s="331"/>
      <c r="K32" s="108">
        <f>C32/H32</f>
        <v>100.05615384615385</v>
      </c>
      <c r="L32" s="260"/>
      <c r="M32" s="260"/>
      <c r="N32" s="260">
        <f>H31/C32</f>
        <v>0.11531985884849277</v>
      </c>
      <c r="O32" s="260">
        <f>I31/C32</f>
        <v>0.59581927071721263</v>
      </c>
      <c r="P32" s="260">
        <f>K31/C32</f>
        <v>0.24657692218984725</v>
      </c>
      <c r="Q32" s="110">
        <f>J31/C32</f>
        <v>4.2283948244447346E-2</v>
      </c>
      <c r="R32" s="99" t="s">
        <v>82</v>
      </c>
      <c r="S32" s="266">
        <f>I31+M31</f>
        <v>775</v>
      </c>
      <c r="T32" s="339"/>
      <c r="U32" s="340"/>
      <c r="V32" s="55"/>
      <c r="W32" s="55"/>
      <c r="X32" s="56" t="s">
        <v>27</v>
      </c>
      <c r="Y32" s="56"/>
      <c r="Z32" s="54">
        <f>I31</f>
        <v>775</v>
      </c>
      <c r="AE32" s="37"/>
      <c r="AF32" s="37"/>
      <c r="AG32" s="37"/>
      <c r="AH32" s="37"/>
    </row>
    <row r="33" spans="1:34" ht="17.25" thickBot="1" x14ac:dyDescent="0.35">
      <c r="A33" s="335" t="s">
        <v>24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297"/>
      <c r="U33" s="298"/>
      <c r="X33" s="57" t="s">
        <v>29</v>
      </c>
      <c r="Y33" s="57"/>
      <c r="Z33" s="58">
        <f>SUM(Z31:Z32)</f>
        <v>-1970</v>
      </c>
      <c r="AE33" s="37"/>
      <c r="AF33" s="37"/>
      <c r="AG33" s="59"/>
      <c r="AH33" s="37"/>
    </row>
    <row r="34" spans="1:34" ht="17.25" thickBot="1" x14ac:dyDescent="0.35">
      <c r="A34" s="296" t="str">
        <f>A2</f>
        <v>26 - 4 - 2022</v>
      </c>
      <c r="B34" s="297"/>
      <c r="C34" s="297"/>
      <c r="D34" s="297"/>
      <c r="E34" s="297"/>
      <c r="F34" s="297"/>
      <c r="G34" s="298"/>
      <c r="H34" s="299" t="s">
        <v>49</v>
      </c>
      <c r="I34" s="300"/>
      <c r="J34" s="296" t="str">
        <f>J2</f>
        <v>SHOWER</v>
      </c>
      <c r="K34" s="298"/>
      <c r="L34" s="300" t="s">
        <v>50</v>
      </c>
      <c r="M34" s="301"/>
      <c r="N34" s="299"/>
      <c r="O34" s="297" t="str">
        <f>O2</f>
        <v>HENDRA</v>
      </c>
      <c r="P34" s="297"/>
      <c r="Q34" s="298"/>
      <c r="R34" s="300" t="s">
        <v>51</v>
      </c>
      <c r="S34" s="299"/>
      <c r="T34" s="302">
        <f>T2</f>
        <v>4</v>
      </c>
      <c r="U34" s="30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6" t="s">
        <v>8</v>
      </c>
      <c r="P36" s="306"/>
      <c r="Q36" s="30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3"/>
      <c r="P37" s="314"/>
      <c r="Q37" s="31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4"/>
      <c r="P38" s="311"/>
      <c r="Q38" s="31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3"/>
      <c r="P39" s="314"/>
      <c r="Q39" s="31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6"/>
      <c r="P40" s="317"/>
      <c r="Q40" s="318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6"/>
      <c r="P41" s="317"/>
      <c r="Q41" s="318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3"/>
      <c r="P42" s="304"/>
      <c r="Q42" s="30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3"/>
      <c r="P43" s="314"/>
      <c r="Q43" s="31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3"/>
      <c r="P44" s="314"/>
      <c r="Q44" s="31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3"/>
      <c r="P45" s="314"/>
      <c r="Q45" s="31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3"/>
      <c r="P46" s="314"/>
      <c r="Q46" s="31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3"/>
      <c r="P47" s="314"/>
      <c r="Q47" s="31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3"/>
      <c r="P48" s="314"/>
      <c r="Q48" s="31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3"/>
      <c r="P49" s="314"/>
      <c r="Q49" s="31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3"/>
      <c r="P50" s="314"/>
      <c r="Q50" s="31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3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3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3"/>
      <c r="Q53" s="31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3"/>
      <c r="Q54" s="31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3"/>
      <c r="Q55" s="31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3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3"/>
      <c r="P60" s="314"/>
      <c r="Q60" s="31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3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7.25" thickBot="1" x14ac:dyDescent="0.3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7.25" thickBot="1" x14ac:dyDescent="0.3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5"/>
      <c r="O64" s="336"/>
      <c r="P64" s="336"/>
      <c r="Q64" s="380"/>
      <c r="R64" s="381" t="s">
        <v>17</v>
      </c>
      <c r="S64" s="382"/>
      <c r="T64" s="382"/>
      <c r="U64" s="383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 t="str">
        <f>A34</f>
        <v>26 - 4 - 2022</v>
      </c>
      <c r="B66" s="297"/>
      <c r="C66" s="297"/>
      <c r="D66" s="297"/>
      <c r="E66" s="297"/>
      <c r="F66" s="297"/>
      <c r="G66" s="298"/>
      <c r="H66" s="299" t="s">
        <v>49</v>
      </c>
      <c r="I66" s="300"/>
      <c r="J66" s="296" t="str">
        <f>J34</f>
        <v>SHOWER</v>
      </c>
      <c r="K66" s="298"/>
      <c r="L66" s="300" t="s">
        <v>50</v>
      </c>
      <c r="M66" s="301"/>
      <c r="N66" s="299"/>
      <c r="O66" s="297" t="str">
        <f>O34</f>
        <v>HENDRA</v>
      </c>
      <c r="P66" s="297"/>
      <c r="Q66" s="298"/>
      <c r="R66" s="300" t="s">
        <v>51</v>
      </c>
      <c r="S66" s="299"/>
      <c r="T66" s="302">
        <f>T34</f>
        <v>4</v>
      </c>
      <c r="U66" s="30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6" t="s">
        <v>8</v>
      </c>
      <c r="P68" s="306"/>
      <c r="Q68" s="30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3"/>
      <c r="P69" s="314"/>
      <c r="Q69" s="31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4"/>
      <c r="P70" s="311"/>
      <c r="Q70" s="31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3"/>
      <c r="P71" s="314"/>
      <c r="Q71" s="31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6"/>
      <c r="P72" s="317"/>
      <c r="Q72" s="318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6"/>
      <c r="P73" s="317"/>
      <c r="Q73" s="318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3"/>
      <c r="P74" s="304"/>
      <c r="Q74" s="30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3"/>
      <c r="P75" s="314"/>
      <c r="Q75" s="31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3"/>
      <c r="P76" s="314"/>
      <c r="Q76" s="31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3"/>
      <c r="P77" s="314"/>
      <c r="Q77" s="31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3"/>
      <c r="P78" s="314"/>
      <c r="Q78" s="31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3"/>
      <c r="P79" s="314"/>
      <c r="Q79" s="31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3"/>
      <c r="P80" s="314"/>
      <c r="Q80" s="31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3"/>
      <c r="P81" s="314"/>
      <c r="Q81" s="31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3"/>
      <c r="P82" s="314"/>
      <c r="Q82" s="31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3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3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3"/>
      <c r="Q85" s="31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3"/>
      <c r="Q86" s="31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3"/>
      <c r="Q87" s="31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3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3"/>
      <c r="P92" s="314"/>
      <c r="Q92" s="31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3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7.25" thickBot="1" x14ac:dyDescent="0.3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7.25" thickBot="1" x14ac:dyDescent="0.3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5"/>
      <c r="O96" s="336"/>
      <c r="P96" s="336"/>
      <c r="Q96" s="380"/>
      <c r="R96" s="381" t="s">
        <v>52</v>
      </c>
      <c r="S96" s="382"/>
      <c r="T96" s="382"/>
      <c r="U96" s="383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O21" sqref="O21:Q2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6" t="s">
        <v>169</v>
      </c>
      <c r="B2" s="297"/>
      <c r="C2" s="297"/>
      <c r="D2" s="297"/>
      <c r="E2" s="297"/>
      <c r="F2" s="297"/>
      <c r="G2" s="298"/>
      <c r="H2" s="299" t="s">
        <v>49</v>
      </c>
      <c r="I2" s="300"/>
      <c r="J2" s="296" t="s">
        <v>212</v>
      </c>
      <c r="K2" s="298"/>
      <c r="L2" s="300" t="s">
        <v>96</v>
      </c>
      <c r="M2" s="301"/>
      <c r="N2" s="299"/>
      <c r="O2" s="297" t="s">
        <v>134</v>
      </c>
      <c r="P2" s="297"/>
      <c r="Q2" s="298"/>
      <c r="R2" s="300" t="s">
        <v>51</v>
      </c>
      <c r="S2" s="299"/>
      <c r="T2" s="302">
        <v>6</v>
      </c>
      <c r="U2" s="30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6" t="s">
        <v>8</v>
      </c>
      <c r="P4" s="306"/>
      <c r="Q4" s="30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3121</v>
      </c>
      <c r="C5" s="68" t="s">
        <v>171</v>
      </c>
      <c r="D5" s="200" t="s">
        <v>172</v>
      </c>
      <c r="E5" s="181" t="s">
        <v>91</v>
      </c>
      <c r="F5" s="170">
        <v>840</v>
      </c>
      <c r="G5" s="118" t="s">
        <v>113</v>
      </c>
      <c r="H5" s="91">
        <v>150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134</v>
      </c>
      <c r="O5" s="307"/>
      <c r="P5" s="308"/>
      <c r="Q5" s="309"/>
      <c r="R5" s="33" t="s">
        <v>134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3122</v>
      </c>
      <c r="C6" s="67" t="s">
        <v>174</v>
      </c>
      <c r="D6" s="200" t="s">
        <v>175</v>
      </c>
      <c r="E6" s="181" t="s">
        <v>91</v>
      </c>
      <c r="F6" s="171">
        <v>900</v>
      </c>
      <c r="G6" s="118" t="s">
        <v>167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45.8</v>
      </c>
      <c r="L6" s="131"/>
      <c r="M6" s="131"/>
      <c r="N6" s="134" t="s">
        <v>134</v>
      </c>
      <c r="O6" s="310" t="s">
        <v>176</v>
      </c>
      <c r="P6" s="311"/>
      <c r="Q6" s="312"/>
      <c r="R6" s="132" t="s">
        <v>103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3123</v>
      </c>
      <c r="C7" s="67" t="s">
        <v>177</v>
      </c>
      <c r="D7" s="200" t="s">
        <v>178</v>
      </c>
      <c r="E7" s="181" t="s">
        <v>91</v>
      </c>
      <c r="F7" s="171">
        <v>920</v>
      </c>
      <c r="G7" s="118" t="s">
        <v>44</v>
      </c>
      <c r="H7" s="91"/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134</v>
      </c>
      <c r="O7" s="313">
        <v>202202002</v>
      </c>
      <c r="P7" s="314"/>
      <c r="Q7" s="315"/>
      <c r="R7" s="134" t="s">
        <v>100</v>
      </c>
      <c r="S7" s="31">
        <v>0.40625</v>
      </c>
      <c r="T7" s="32">
        <v>0.66666666666666663</v>
      </c>
      <c r="U7" s="92">
        <f t="shared" si="0"/>
        <v>6.2499999999999991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276">
        <v>3124</v>
      </c>
      <c r="C8" s="27" t="s">
        <v>179</v>
      </c>
      <c r="D8" s="200" t="s">
        <v>180</v>
      </c>
      <c r="E8" s="181" t="s">
        <v>92</v>
      </c>
      <c r="F8" s="171">
        <v>925</v>
      </c>
      <c r="G8" s="118" t="s">
        <v>117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134</v>
      </c>
      <c r="O8" s="316"/>
      <c r="P8" s="317"/>
      <c r="Q8" s="318"/>
      <c r="R8" s="26" t="s">
        <v>101</v>
      </c>
      <c r="S8" s="31">
        <v>0.38541666666666669</v>
      </c>
      <c r="T8" s="32">
        <v>0.66666666666666663</v>
      </c>
      <c r="U8" s="92">
        <f t="shared" si="0"/>
        <v>6.7499999999999982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3125</v>
      </c>
      <c r="C9" s="63" t="s">
        <v>182</v>
      </c>
      <c r="D9" s="201" t="s">
        <v>183</v>
      </c>
      <c r="E9" s="181" t="s">
        <v>92</v>
      </c>
      <c r="F9" s="172">
        <v>945</v>
      </c>
      <c r="G9" s="119" t="s">
        <v>139</v>
      </c>
      <c r="H9" s="91">
        <v>100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6" t="s">
        <v>184</v>
      </c>
      <c r="P9" s="317"/>
      <c r="Q9" s="318"/>
      <c r="R9" s="26" t="s">
        <v>104</v>
      </c>
      <c r="S9" s="31">
        <v>0.42708333333333331</v>
      </c>
      <c r="T9" s="32">
        <v>0.66666666666666663</v>
      </c>
      <c r="U9" s="92">
        <f t="shared" si="0"/>
        <v>5.75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3126</v>
      </c>
      <c r="C10" s="28" t="s">
        <v>185</v>
      </c>
      <c r="D10" s="202" t="s">
        <v>186</v>
      </c>
      <c r="E10" s="181" t="s">
        <v>92</v>
      </c>
      <c r="F10" s="173">
        <v>1000</v>
      </c>
      <c r="G10" s="120" t="s">
        <v>113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3"/>
      <c r="P10" s="304"/>
      <c r="Q10" s="305"/>
      <c r="R10" s="26" t="s">
        <v>170</v>
      </c>
      <c r="S10" s="31">
        <v>0.45833333333333331</v>
      </c>
      <c r="T10" s="32">
        <v>0.66666666666666663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3127</v>
      </c>
      <c r="C11" s="18" t="s">
        <v>187</v>
      </c>
      <c r="D11" s="203" t="s">
        <v>188</v>
      </c>
      <c r="E11" s="181" t="s">
        <v>91</v>
      </c>
      <c r="F11" s="66">
        <v>1015</v>
      </c>
      <c r="G11" s="121" t="s">
        <v>117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134</v>
      </c>
      <c r="O11" s="313"/>
      <c r="P11" s="314"/>
      <c r="Q11" s="31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3128</v>
      </c>
      <c r="C12" s="64" t="s">
        <v>189</v>
      </c>
      <c r="D12" s="204" t="s">
        <v>190</v>
      </c>
      <c r="E12" s="181" t="s">
        <v>92</v>
      </c>
      <c r="F12" s="173">
        <v>1100</v>
      </c>
      <c r="G12" s="119" t="s">
        <v>191</v>
      </c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134</v>
      </c>
      <c r="O12" s="313" t="s">
        <v>192</v>
      </c>
      <c r="P12" s="314"/>
      <c r="Q12" s="31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3129</v>
      </c>
      <c r="C13" s="64" t="s">
        <v>193</v>
      </c>
      <c r="D13" s="204" t="s">
        <v>194</v>
      </c>
      <c r="E13" s="181" t="s">
        <v>92</v>
      </c>
      <c r="F13" s="173">
        <v>1115</v>
      </c>
      <c r="G13" s="119" t="s">
        <v>122</v>
      </c>
      <c r="H13" s="169">
        <v>100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134</v>
      </c>
      <c r="O13" s="313" t="s">
        <v>184</v>
      </c>
      <c r="P13" s="314"/>
      <c r="Q13" s="31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3130</v>
      </c>
      <c r="C14" s="65" t="s">
        <v>195</v>
      </c>
      <c r="D14" s="205" t="s">
        <v>196</v>
      </c>
      <c r="E14" s="181" t="s">
        <v>92</v>
      </c>
      <c r="F14" s="174">
        <v>1130</v>
      </c>
      <c r="G14" s="122" t="s">
        <v>117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104</v>
      </c>
      <c r="O14" s="313"/>
      <c r="P14" s="314"/>
      <c r="Q14" s="31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3131</v>
      </c>
      <c r="C15" s="65" t="s">
        <v>197</v>
      </c>
      <c r="D15" s="205" t="s">
        <v>198</v>
      </c>
      <c r="E15" s="181" t="s">
        <v>92</v>
      </c>
      <c r="F15" s="174">
        <v>1145</v>
      </c>
      <c r="G15" s="122" t="s">
        <v>44</v>
      </c>
      <c r="H15" s="123">
        <v>15</v>
      </c>
      <c r="I15" s="124"/>
      <c r="J15" s="130" t="str">
        <f t="shared" si="1"/>
        <v>55</v>
      </c>
      <c r="K15" s="130" t="str">
        <f t="shared" si="2"/>
        <v>0</v>
      </c>
      <c r="L15" s="131"/>
      <c r="M15" s="131"/>
      <c r="N15" s="134" t="s">
        <v>134</v>
      </c>
      <c r="O15" s="313">
        <v>202202026</v>
      </c>
      <c r="P15" s="314"/>
      <c r="Q15" s="31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3132</v>
      </c>
      <c r="C16" s="65" t="s">
        <v>199</v>
      </c>
      <c r="D16" s="205" t="s">
        <v>200</v>
      </c>
      <c r="E16" s="181" t="s">
        <v>92</v>
      </c>
      <c r="F16" s="174">
        <v>1215</v>
      </c>
      <c r="G16" s="122" t="s">
        <v>191</v>
      </c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134</v>
      </c>
      <c r="O16" s="313" t="s">
        <v>201</v>
      </c>
      <c r="P16" s="314"/>
      <c r="Q16" s="315"/>
      <c r="R16" s="82">
        <f>H32/U16</f>
        <v>0.39506172839506171</v>
      </c>
      <c r="S16" s="83">
        <f>H32/(U16-U5)</f>
        <v>0.50393700787401574</v>
      </c>
      <c r="T16" s="83">
        <f>C32/U16</f>
        <v>32.199999999999996</v>
      </c>
      <c r="U16" s="83">
        <f>SUM(U5:U15)</f>
        <v>40.5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3133</v>
      </c>
      <c r="C17" s="18" t="s">
        <v>209</v>
      </c>
      <c r="D17" s="203" t="s">
        <v>210</v>
      </c>
      <c r="E17" s="181" t="s">
        <v>92</v>
      </c>
      <c r="F17" s="66">
        <v>1215</v>
      </c>
      <c r="G17" s="121" t="s">
        <v>139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134</v>
      </c>
      <c r="O17" s="313"/>
      <c r="P17" s="314"/>
      <c r="Q17" s="31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3134</v>
      </c>
      <c r="C18" s="18" t="s">
        <v>202</v>
      </c>
      <c r="D18" s="203" t="s">
        <v>203</v>
      </c>
      <c r="E18" s="181" t="s">
        <v>92</v>
      </c>
      <c r="F18" s="66">
        <v>1230</v>
      </c>
      <c r="G18" s="20" t="s">
        <v>145</v>
      </c>
      <c r="H18" s="123"/>
      <c r="I18" s="124"/>
      <c r="J18" s="130" t="str">
        <f t="shared" si="1"/>
        <v>0</v>
      </c>
      <c r="K18" s="130" t="str">
        <f t="shared" si="2"/>
        <v>58.3</v>
      </c>
      <c r="L18" s="131"/>
      <c r="M18" s="131"/>
      <c r="N18" s="134" t="s">
        <v>134</v>
      </c>
      <c r="O18" s="313" t="s">
        <v>204</v>
      </c>
      <c r="P18" s="314"/>
      <c r="Q18" s="31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3135</v>
      </c>
      <c r="C19" s="18" t="s">
        <v>205</v>
      </c>
      <c r="D19" s="203" t="s">
        <v>206</v>
      </c>
      <c r="E19" s="181" t="s">
        <v>92</v>
      </c>
      <c r="F19" s="66">
        <v>1300</v>
      </c>
      <c r="G19" s="121" t="s">
        <v>139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134</v>
      </c>
      <c r="O19" s="313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3136</v>
      </c>
      <c r="C20" s="18" t="s">
        <v>207</v>
      </c>
      <c r="D20" s="203" t="s">
        <v>208</v>
      </c>
      <c r="E20" s="181" t="s">
        <v>181</v>
      </c>
      <c r="F20" s="66">
        <v>1410</v>
      </c>
      <c r="G20" s="121" t="s">
        <v>142</v>
      </c>
      <c r="H20" s="123">
        <v>160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134</v>
      </c>
      <c r="O20" s="321" t="s">
        <v>78</v>
      </c>
      <c r="P20" s="322"/>
      <c r="Q20" s="32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3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3"/>
      <c r="P22" s="314"/>
      <c r="Q22" s="31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9"/>
      <c r="Y23" s="320"/>
      <c r="Z23" s="32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3"/>
      <c r="P24" s="314"/>
      <c r="Q24" s="31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3"/>
      <c r="P25" s="314"/>
      <c r="Q25" s="31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2</v>
      </c>
      <c r="U25" s="323">
        <f>((C32+(R26+S26+T26)*0.5))</f>
        <v>1354.1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3"/>
      <c r="P26" s="314"/>
      <c r="Q26" s="315"/>
      <c r="R26" s="112">
        <f>R25*37.5</f>
        <v>0</v>
      </c>
      <c r="S26" s="102">
        <f>S25*41.5</f>
        <v>0</v>
      </c>
      <c r="T26" s="102">
        <f>T25*50</f>
        <v>100</v>
      </c>
      <c r="U26" s="32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3"/>
      <c r="P27" s="314"/>
      <c r="Q27" s="315"/>
      <c r="R27" s="332" t="s">
        <v>56</v>
      </c>
      <c r="S27" s="333"/>
      <c r="T27" s="333"/>
      <c r="U27" s="33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3"/>
      <c r="P28" s="314"/>
      <c r="Q28" s="315"/>
      <c r="R28" s="325" t="s">
        <v>173</v>
      </c>
      <c r="S28" s="326"/>
      <c r="T28" s="32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695</v>
      </c>
      <c r="I30" s="105">
        <f>SUM(I5:I29)</f>
        <v>395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104.1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695</v>
      </c>
      <c r="I31" s="103">
        <f t="shared" si="4"/>
        <v>395</v>
      </c>
      <c r="J31" s="103">
        <f t="shared" si="4"/>
        <v>110</v>
      </c>
      <c r="K31" s="103">
        <f>K30+K62+K94</f>
        <v>104.1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695</v>
      </c>
      <c r="T31" s="337">
        <f>H31+I31+L31+M31</f>
        <v>1090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8" t="s">
        <v>55</v>
      </c>
      <c r="B32" s="329"/>
      <c r="C32" s="107">
        <f>H31+I31+J31+K31</f>
        <v>1304.0999999999999</v>
      </c>
      <c r="D32" s="196"/>
      <c r="E32" s="107"/>
      <c r="F32" s="330" t="s">
        <v>53</v>
      </c>
      <c r="G32" s="330"/>
      <c r="H32" s="109">
        <f>COUNT(B5:B29,B37:B61,B69:B93)</f>
        <v>16</v>
      </c>
      <c r="I32" s="331" t="s">
        <v>54</v>
      </c>
      <c r="J32" s="331"/>
      <c r="K32" s="108">
        <f>C32/H32</f>
        <v>81.506249999999994</v>
      </c>
      <c r="L32" s="260"/>
      <c r="M32" s="260"/>
      <c r="N32" s="260">
        <f>H31/C32</f>
        <v>0.53293459090560547</v>
      </c>
      <c r="O32" s="260">
        <f>I31/C32</f>
        <v>0.30289088260102753</v>
      </c>
      <c r="P32" s="260">
        <f>K31/C32</f>
        <v>7.9825166781688522E-2</v>
      </c>
      <c r="Q32" s="110">
        <f>J31/C32</f>
        <v>8.4349359711678562E-2</v>
      </c>
      <c r="R32" s="99" t="s">
        <v>82</v>
      </c>
      <c r="S32" s="266">
        <f>I31+M31</f>
        <v>395</v>
      </c>
      <c r="T32" s="339"/>
      <c r="U32" s="340"/>
      <c r="V32" s="55"/>
      <c r="W32" s="55"/>
      <c r="X32" s="56" t="s">
        <v>27</v>
      </c>
      <c r="Y32" s="56"/>
      <c r="Z32" s="54">
        <f>I31</f>
        <v>395</v>
      </c>
      <c r="AE32" s="37"/>
      <c r="AF32" s="37"/>
      <c r="AG32" s="37"/>
      <c r="AH32" s="37"/>
    </row>
    <row r="33" spans="1:34" ht="17.25" thickBot="1" x14ac:dyDescent="0.35">
      <c r="A33" s="335" t="s">
        <v>24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297"/>
      <c r="U33" s="298"/>
      <c r="X33" s="57" t="s">
        <v>29</v>
      </c>
      <c r="Y33" s="57"/>
      <c r="Z33" s="58">
        <f>SUM(Z31:Z32)</f>
        <v>-2350</v>
      </c>
      <c r="AE33" s="37"/>
      <c r="AF33" s="37"/>
      <c r="AG33" s="59"/>
      <c r="AH33" s="37"/>
    </row>
    <row r="34" spans="1:34" ht="17.25" thickBot="1" x14ac:dyDescent="0.35">
      <c r="A34" s="296" t="str">
        <f>A2</f>
        <v xml:space="preserve">27 - 4 - 2022 </v>
      </c>
      <c r="B34" s="297"/>
      <c r="C34" s="297"/>
      <c r="D34" s="297"/>
      <c r="E34" s="297"/>
      <c r="F34" s="297"/>
      <c r="G34" s="298"/>
      <c r="H34" s="299" t="s">
        <v>49</v>
      </c>
      <c r="I34" s="300"/>
      <c r="J34" s="296" t="str">
        <f>J2</f>
        <v>MIX</v>
      </c>
      <c r="K34" s="298"/>
      <c r="L34" s="300" t="s">
        <v>50</v>
      </c>
      <c r="M34" s="301"/>
      <c r="N34" s="299"/>
      <c r="O34" s="297" t="str">
        <f>O2</f>
        <v>HENDRA</v>
      </c>
      <c r="P34" s="297"/>
      <c r="Q34" s="298"/>
      <c r="R34" s="300" t="s">
        <v>51</v>
      </c>
      <c r="S34" s="299"/>
      <c r="T34" s="302">
        <f>T2</f>
        <v>6</v>
      </c>
      <c r="U34" s="30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6" t="s">
        <v>8</v>
      </c>
      <c r="P36" s="306"/>
      <c r="Q36" s="30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3"/>
      <c r="P37" s="314"/>
      <c r="Q37" s="31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4"/>
      <c r="P38" s="311"/>
      <c r="Q38" s="31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3"/>
      <c r="P39" s="314"/>
      <c r="Q39" s="31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6"/>
      <c r="P40" s="317"/>
      <c r="Q40" s="318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6"/>
      <c r="P41" s="317"/>
      <c r="Q41" s="318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3"/>
      <c r="P42" s="304"/>
      <c r="Q42" s="30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3"/>
      <c r="P43" s="314"/>
      <c r="Q43" s="31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3"/>
      <c r="P44" s="314"/>
      <c r="Q44" s="31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3"/>
      <c r="P45" s="314"/>
      <c r="Q45" s="31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3"/>
      <c r="P46" s="314"/>
      <c r="Q46" s="31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3"/>
      <c r="P47" s="314"/>
      <c r="Q47" s="31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3"/>
      <c r="P48" s="314"/>
      <c r="Q48" s="31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3"/>
      <c r="P49" s="314"/>
      <c r="Q49" s="31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3"/>
      <c r="P50" s="314"/>
      <c r="Q50" s="31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3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3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3"/>
      <c r="Q53" s="31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3"/>
      <c r="Q54" s="31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3"/>
      <c r="Q55" s="31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3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3"/>
      <c r="P60" s="314"/>
      <c r="Q60" s="31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3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7.25" thickBot="1" x14ac:dyDescent="0.3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7.25" thickBot="1" x14ac:dyDescent="0.3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5"/>
      <c r="O64" s="336"/>
      <c r="P64" s="336"/>
      <c r="Q64" s="380"/>
      <c r="R64" s="381" t="s">
        <v>17</v>
      </c>
      <c r="S64" s="382"/>
      <c r="T64" s="382"/>
      <c r="U64" s="383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 t="str">
        <f>A34</f>
        <v xml:space="preserve">27 - 4 - 2022 </v>
      </c>
      <c r="B66" s="297"/>
      <c r="C66" s="297"/>
      <c r="D66" s="297"/>
      <c r="E66" s="297"/>
      <c r="F66" s="297"/>
      <c r="G66" s="298"/>
      <c r="H66" s="299" t="s">
        <v>49</v>
      </c>
      <c r="I66" s="300"/>
      <c r="J66" s="296" t="str">
        <f>J34</f>
        <v>MIX</v>
      </c>
      <c r="K66" s="298"/>
      <c r="L66" s="300" t="s">
        <v>50</v>
      </c>
      <c r="M66" s="301"/>
      <c r="N66" s="299"/>
      <c r="O66" s="297" t="str">
        <f>O34</f>
        <v>HENDRA</v>
      </c>
      <c r="P66" s="297"/>
      <c r="Q66" s="298"/>
      <c r="R66" s="300" t="s">
        <v>51</v>
      </c>
      <c r="S66" s="299"/>
      <c r="T66" s="302">
        <f>T34</f>
        <v>6</v>
      </c>
      <c r="U66" s="30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6" t="s">
        <v>8</v>
      </c>
      <c r="P68" s="306"/>
      <c r="Q68" s="30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3"/>
      <c r="P69" s="314"/>
      <c r="Q69" s="31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4"/>
      <c r="P70" s="311"/>
      <c r="Q70" s="31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3"/>
      <c r="P71" s="314"/>
      <c r="Q71" s="31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6"/>
      <c r="P72" s="317"/>
      <c r="Q72" s="318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6"/>
      <c r="P73" s="317"/>
      <c r="Q73" s="318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3"/>
      <c r="P74" s="304"/>
      <c r="Q74" s="30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3"/>
      <c r="P75" s="314"/>
      <c r="Q75" s="31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3"/>
      <c r="P76" s="314"/>
      <c r="Q76" s="31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3"/>
      <c r="P77" s="314"/>
      <c r="Q77" s="31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3"/>
      <c r="P78" s="314"/>
      <c r="Q78" s="31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3"/>
      <c r="P79" s="314"/>
      <c r="Q79" s="31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3"/>
      <c r="P80" s="314"/>
      <c r="Q80" s="31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3"/>
      <c r="P81" s="314"/>
      <c r="Q81" s="31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3"/>
      <c r="P82" s="314"/>
      <c r="Q82" s="31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3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3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3"/>
      <c r="Q85" s="31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3"/>
      <c r="Q86" s="31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3"/>
      <c r="Q87" s="31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3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3"/>
      <c r="P92" s="314"/>
      <c r="Q92" s="31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3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7.25" thickBot="1" x14ac:dyDescent="0.3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7.25" thickBot="1" x14ac:dyDescent="0.3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5"/>
      <c r="O96" s="336"/>
      <c r="P96" s="336"/>
      <c r="Q96" s="380"/>
      <c r="R96" s="381" t="s">
        <v>52</v>
      </c>
      <c r="S96" s="382"/>
      <c r="T96" s="382"/>
      <c r="U96" s="38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T10" sqref="T1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6" t="s">
        <v>211</v>
      </c>
      <c r="B2" s="297"/>
      <c r="C2" s="297"/>
      <c r="D2" s="297"/>
      <c r="E2" s="297"/>
      <c r="F2" s="297"/>
      <c r="G2" s="298"/>
      <c r="H2" s="299" t="s">
        <v>49</v>
      </c>
      <c r="I2" s="300"/>
      <c r="J2" s="296" t="s">
        <v>212</v>
      </c>
      <c r="K2" s="298"/>
      <c r="L2" s="300" t="s">
        <v>96</v>
      </c>
      <c r="M2" s="301"/>
      <c r="N2" s="299"/>
      <c r="O2" s="297" t="s">
        <v>134</v>
      </c>
      <c r="P2" s="297"/>
      <c r="Q2" s="298"/>
      <c r="R2" s="300" t="s">
        <v>51</v>
      </c>
      <c r="S2" s="299"/>
      <c r="T2" s="302">
        <v>6</v>
      </c>
      <c r="U2" s="30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6" t="s">
        <v>8</v>
      </c>
      <c r="P4" s="306"/>
      <c r="Q4" s="30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3137</v>
      </c>
      <c r="C5" s="68" t="s">
        <v>214</v>
      </c>
      <c r="D5" s="200" t="s">
        <v>215</v>
      </c>
      <c r="E5" s="181" t="s">
        <v>92</v>
      </c>
      <c r="F5" s="170">
        <v>925</v>
      </c>
      <c r="G5" s="118" t="s">
        <v>139</v>
      </c>
      <c r="H5" s="91">
        <v>55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134</v>
      </c>
      <c r="O5" s="307"/>
      <c r="P5" s="308"/>
      <c r="Q5" s="309"/>
      <c r="R5" s="33" t="s">
        <v>134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67">
        <v>2</v>
      </c>
      <c r="B6" s="279">
        <v>3138</v>
      </c>
      <c r="C6" s="269" t="s">
        <v>216</v>
      </c>
      <c r="D6" s="270" t="s">
        <v>217</v>
      </c>
      <c r="E6" s="271" t="s">
        <v>92</v>
      </c>
      <c r="F6" s="272">
        <v>945</v>
      </c>
      <c r="G6" s="268" t="s">
        <v>191</v>
      </c>
      <c r="H6" s="273"/>
      <c r="I6" s="273"/>
      <c r="J6" s="273" t="str">
        <f t="shared" ref="J6:J29" si="1">IF(G6="RSL","55","0")</f>
        <v>0</v>
      </c>
      <c r="K6" s="273" t="str">
        <f t="shared" ref="K6:K29" si="2">IF(G6="GVS","37.5",IF(G6="GVM","41.5",IF(G6="GVL","50",IF(G6="PCS","45.8",IF(G6="PCM","50",IF(G6="PCL","58.3","0"))))))</f>
        <v>0</v>
      </c>
      <c r="L6" s="274"/>
      <c r="M6" s="274">
        <v>475</v>
      </c>
      <c r="N6" s="275" t="s">
        <v>134</v>
      </c>
      <c r="O6" s="387" t="s">
        <v>218</v>
      </c>
      <c r="P6" s="388"/>
      <c r="Q6" s="389"/>
      <c r="R6" s="132" t="s">
        <v>103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3139</v>
      </c>
      <c r="C7" s="67" t="s">
        <v>219</v>
      </c>
      <c r="D7" s="200" t="s">
        <v>220</v>
      </c>
      <c r="E7" s="181" t="s">
        <v>91</v>
      </c>
      <c r="F7" s="171">
        <v>1000</v>
      </c>
      <c r="G7" s="118" t="s">
        <v>117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134</v>
      </c>
      <c r="O7" s="313"/>
      <c r="P7" s="314"/>
      <c r="Q7" s="315"/>
      <c r="R7" s="134" t="s">
        <v>100</v>
      </c>
      <c r="S7" s="31">
        <v>0.375</v>
      </c>
      <c r="T7" s="32">
        <v>0.58333333333333337</v>
      </c>
      <c r="U7" s="92">
        <f t="shared" si="0"/>
        <v>5.0000000000000009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3140</v>
      </c>
      <c r="C8" s="27" t="s">
        <v>221</v>
      </c>
      <c r="D8" s="200" t="s">
        <v>222</v>
      </c>
      <c r="E8" s="181" t="s">
        <v>92</v>
      </c>
      <c r="F8" s="171">
        <v>1000</v>
      </c>
      <c r="G8" s="118" t="s">
        <v>117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134</v>
      </c>
      <c r="O8" s="316"/>
      <c r="P8" s="317"/>
      <c r="Q8" s="318"/>
      <c r="R8" s="26" t="s">
        <v>101</v>
      </c>
      <c r="S8" s="31">
        <v>0.39583333333333331</v>
      </c>
      <c r="T8" s="32">
        <v>0.69791666666666663</v>
      </c>
      <c r="U8" s="92">
        <f t="shared" si="0"/>
        <v>7.25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77">
        <v>5</v>
      </c>
      <c r="B9" s="268">
        <v>3141</v>
      </c>
      <c r="C9" s="275" t="s">
        <v>223</v>
      </c>
      <c r="D9" s="278" t="s">
        <v>224</v>
      </c>
      <c r="E9" s="271" t="s">
        <v>92</v>
      </c>
      <c r="F9" s="272">
        <v>1130</v>
      </c>
      <c r="G9" s="279" t="s">
        <v>225</v>
      </c>
      <c r="H9" s="273">
        <v>280</v>
      </c>
      <c r="I9" s="273"/>
      <c r="J9" s="273" t="str">
        <f t="shared" si="1"/>
        <v>0</v>
      </c>
      <c r="K9" s="273" t="str">
        <f t="shared" si="2"/>
        <v>0</v>
      </c>
      <c r="L9" s="274"/>
      <c r="M9" s="274"/>
      <c r="N9" s="275" t="s">
        <v>134</v>
      </c>
      <c r="O9" s="390" t="s">
        <v>79</v>
      </c>
      <c r="P9" s="391"/>
      <c r="Q9" s="392"/>
      <c r="R9" s="26" t="s">
        <v>104</v>
      </c>
      <c r="S9" s="31">
        <v>0.45833333333333331</v>
      </c>
      <c r="T9" s="32">
        <v>0.69791666666666663</v>
      </c>
      <c r="U9" s="92">
        <f t="shared" si="0"/>
        <v>5.75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3142</v>
      </c>
      <c r="C10" s="28" t="s">
        <v>226</v>
      </c>
      <c r="D10" s="202" t="s">
        <v>227</v>
      </c>
      <c r="E10" s="181" t="s">
        <v>92</v>
      </c>
      <c r="F10" s="173">
        <v>1145</v>
      </c>
      <c r="G10" s="120" t="s">
        <v>122</v>
      </c>
      <c r="H10" s="123"/>
      <c r="I10" s="125">
        <v>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3"/>
      <c r="P10" s="304"/>
      <c r="Q10" s="305"/>
      <c r="R10" s="26" t="s">
        <v>213</v>
      </c>
      <c r="S10" s="31">
        <v>0.41666666666666669</v>
      </c>
      <c r="T10" s="32">
        <v>0.625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77">
        <v>7</v>
      </c>
      <c r="B11" s="268">
        <v>3143</v>
      </c>
      <c r="C11" s="280" t="s">
        <v>228</v>
      </c>
      <c r="D11" s="281" t="s">
        <v>229</v>
      </c>
      <c r="E11" s="271" t="s">
        <v>92</v>
      </c>
      <c r="F11" s="282">
        <v>1145</v>
      </c>
      <c r="G11" s="283" t="s">
        <v>167</v>
      </c>
      <c r="H11" s="284"/>
      <c r="I11" s="273"/>
      <c r="J11" s="273" t="str">
        <f t="shared" si="1"/>
        <v>0</v>
      </c>
      <c r="K11" s="273">
        <v>183.2</v>
      </c>
      <c r="L11" s="274">
        <v>375</v>
      </c>
      <c r="M11" s="274"/>
      <c r="N11" s="275" t="s">
        <v>134</v>
      </c>
      <c r="O11" s="390" t="s">
        <v>230</v>
      </c>
      <c r="P11" s="391"/>
      <c r="Q11" s="392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3144</v>
      </c>
      <c r="C12" s="64" t="s">
        <v>235</v>
      </c>
      <c r="D12" s="204" t="s">
        <v>236</v>
      </c>
      <c r="E12" s="181" t="s">
        <v>92</v>
      </c>
      <c r="F12" s="173">
        <v>1230</v>
      </c>
      <c r="G12" s="119" t="s">
        <v>117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134</v>
      </c>
      <c r="O12" s="313"/>
      <c r="P12" s="314"/>
      <c r="Q12" s="31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3145</v>
      </c>
      <c r="C13" s="64" t="s">
        <v>231</v>
      </c>
      <c r="D13" s="204" t="s">
        <v>232</v>
      </c>
      <c r="E13" s="181" t="s">
        <v>91</v>
      </c>
      <c r="F13" s="173">
        <v>1230</v>
      </c>
      <c r="G13" s="119" t="s">
        <v>44</v>
      </c>
      <c r="H13" s="169"/>
      <c r="I13" s="168"/>
      <c r="J13" s="130" t="str">
        <f t="shared" si="1"/>
        <v>55</v>
      </c>
      <c r="K13" s="130" t="str">
        <f t="shared" si="2"/>
        <v>0</v>
      </c>
      <c r="L13" s="131"/>
      <c r="M13" s="131"/>
      <c r="N13" s="134" t="s">
        <v>134</v>
      </c>
      <c r="O13" s="313">
        <v>202112050</v>
      </c>
      <c r="P13" s="314"/>
      <c r="Q13" s="31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3146</v>
      </c>
      <c r="C14" s="65" t="s">
        <v>233</v>
      </c>
      <c r="D14" s="205" t="s">
        <v>234</v>
      </c>
      <c r="E14" s="181" t="s">
        <v>92</v>
      </c>
      <c r="F14" s="174">
        <v>1330</v>
      </c>
      <c r="G14" s="122" t="s">
        <v>139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134</v>
      </c>
      <c r="O14" s="313"/>
      <c r="P14" s="314"/>
      <c r="Q14" s="31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3147</v>
      </c>
      <c r="C15" s="65" t="s">
        <v>237</v>
      </c>
      <c r="D15" s="205" t="s">
        <v>238</v>
      </c>
      <c r="E15" s="181" t="s">
        <v>92</v>
      </c>
      <c r="F15" s="174">
        <v>1545</v>
      </c>
      <c r="G15" s="122" t="s">
        <v>117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134</v>
      </c>
      <c r="O15" s="313"/>
      <c r="P15" s="314"/>
      <c r="Q15" s="31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3"/>
      <c r="P16" s="314"/>
      <c r="Q16" s="315"/>
      <c r="R16" s="82">
        <f>H32/U16</f>
        <v>0.27160493827160492</v>
      </c>
      <c r="S16" s="83">
        <f>H32/(U16-U5)</f>
        <v>0.34645669291338582</v>
      </c>
      <c r="T16" s="83">
        <f>C32/U16</f>
        <v>25.634567901234568</v>
      </c>
      <c r="U16" s="83">
        <f>SUM(U5:U15)</f>
        <v>40.5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3"/>
      <c r="P17" s="314"/>
      <c r="Q17" s="31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3"/>
      <c r="P18" s="314"/>
      <c r="Q18" s="31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3"/>
      <c r="P19" s="314"/>
      <c r="Q19" s="314"/>
      <c r="R19" s="93" t="s">
        <v>45</v>
      </c>
      <c r="S19" s="94">
        <f>COUNT(L5:M29,L37:M61,L69:M93)</f>
        <v>2</v>
      </c>
      <c r="T19" s="116">
        <f>SUM(L5:M29,L37:M61,L69:M93)</f>
        <v>850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1"/>
      <c r="P20" s="322"/>
      <c r="Q20" s="32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3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3"/>
      <c r="P22" s="314"/>
      <c r="Q22" s="31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9"/>
      <c r="Y23" s="320"/>
      <c r="Z23" s="32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3"/>
      <c r="P24" s="314"/>
      <c r="Q24" s="31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3"/>
      <c r="P25" s="314"/>
      <c r="Q25" s="31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3">
        <f>((C32+(R26+S26+T26)*0.5))</f>
        <v>1063.2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3"/>
      <c r="P26" s="314"/>
      <c r="Q26" s="315"/>
      <c r="R26" s="112">
        <f>R25*37.5</f>
        <v>0</v>
      </c>
      <c r="S26" s="102">
        <f>S25*41.5</f>
        <v>0</v>
      </c>
      <c r="T26" s="102">
        <f>T25*50</f>
        <v>50</v>
      </c>
      <c r="U26" s="32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3"/>
      <c r="P27" s="314"/>
      <c r="Q27" s="315"/>
      <c r="R27" s="332" t="s">
        <v>56</v>
      </c>
      <c r="S27" s="333"/>
      <c r="T27" s="333"/>
      <c r="U27" s="33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3"/>
      <c r="P28" s="314"/>
      <c r="Q28" s="315"/>
      <c r="R28" s="325"/>
      <c r="S28" s="326"/>
      <c r="T28" s="32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430</v>
      </c>
      <c r="I30" s="105">
        <f>SUM(I5:I29)</f>
        <v>370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183.2</v>
      </c>
      <c r="L30" s="106">
        <f t="shared" si="3"/>
        <v>375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430</v>
      </c>
      <c r="I31" s="103">
        <f t="shared" si="4"/>
        <v>370</v>
      </c>
      <c r="J31" s="103">
        <f t="shared" si="4"/>
        <v>55</v>
      </c>
      <c r="K31" s="103">
        <f>K30+K62+K94</f>
        <v>183.2</v>
      </c>
      <c r="L31" s="97">
        <f>L30+L62+L94</f>
        <v>375</v>
      </c>
      <c r="M31" s="97">
        <f>M30+M62+M94</f>
        <v>475</v>
      </c>
      <c r="N31" s="262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805</v>
      </c>
      <c r="T31" s="337">
        <f>H31+I31+L31+M31</f>
        <v>1650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8" t="s">
        <v>55</v>
      </c>
      <c r="B32" s="329"/>
      <c r="C32" s="107">
        <f>H31+I31+J31+K31</f>
        <v>1038.2</v>
      </c>
      <c r="D32" s="196"/>
      <c r="E32" s="107"/>
      <c r="F32" s="330" t="s">
        <v>53</v>
      </c>
      <c r="G32" s="330"/>
      <c r="H32" s="109">
        <f>COUNT(B5:B29,B37:B61,B69:B93)</f>
        <v>11</v>
      </c>
      <c r="I32" s="331" t="s">
        <v>54</v>
      </c>
      <c r="J32" s="331"/>
      <c r="K32" s="108">
        <f>C32/H32</f>
        <v>94.38181818181819</v>
      </c>
      <c r="L32" s="260"/>
      <c r="M32" s="260"/>
      <c r="N32" s="260">
        <f>H31/C32</f>
        <v>0.41417838566750143</v>
      </c>
      <c r="O32" s="260">
        <f>I31/C32</f>
        <v>0.35638605278366403</v>
      </c>
      <c r="P32" s="260">
        <f>K31/C32</f>
        <v>0.17645925640531687</v>
      </c>
      <c r="Q32" s="110">
        <f>J31/C32</f>
        <v>5.2976305143517623E-2</v>
      </c>
      <c r="R32" s="99" t="s">
        <v>82</v>
      </c>
      <c r="S32" s="266">
        <f>I31+M31</f>
        <v>845</v>
      </c>
      <c r="T32" s="339"/>
      <c r="U32" s="340"/>
      <c r="V32" s="55"/>
      <c r="W32" s="55"/>
      <c r="X32" s="56" t="s">
        <v>27</v>
      </c>
      <c r="Y32" s="56"/>
      <c r="Z32" s="54">
        <f>I31</f>
        <v>370</v>
      </c>
      <c r="AE32" s="37"/>
      <c r="AF32" s="37"/>
      <c r="AG32" s="37"/>
      <c r="AH32" s="37"/>
    </row>
    <row r="33" spans="1:34" ht="17.25" thickBot="1" x14ac:dyDescent="0.35">
      <c r="A33" s="335" t="s">
        <v>24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297"/>
      <c r="U33" s="298"/>
      <c r="X33" s="57" t="s">
        <v>29</v>
      </c>
      <c r="Y33" s="57"/>
      <c r="Z33" s="58">
        <f>SUM(Z31:Z32)</f>
        <v>-2375</v>
      </c>
      <c r="AE33" s="37"/>
      <c r="AF33" s="37"/>
      <c r="AG33" s="59"/>
      <c r="AH33" s="37"/>
    </row>
    <row r="34" spans="1:34" ht="17.25" thickBot="1" x14ac:dyDescent="0.35">
      <c r="A34" s="296" t="str">
        <f>A2</f>
        <v>28 - 4 - 2022</v>
      </c>
      <c r="B34" s="297"/>
      <c r="C34" s="297"/>
      <c r="D34" s="297"/>
      <c r="E34" s="297"/>
      <c r="F34" s="297"/>
      <c r="G34" s="298"/>
      <c r="H34" s="299" t="s">
        <v>49</v>
      </c>
      <c r="I34" s="300"/>
      <c r="J34" s="296" t="str">
        <f>J2</f>
        <v>MIX</v>
      </c>
      <c r="K34" s="298"/>
      <c r="L34" s="300" t="s">
        <v>50</v>
      </c>
      <c r="M34" s="301"/>
      <c r="N34" s="299"/>
      <c r="O34" s="297" t="str">
        <f>O2</f>
        <v>HENDRA</v>
      </c>
      <c r="P34" s="297"/>
      <c r="Q34" s="298"/>
      <c r="R34" s="300" t="s">
        <v>51</v>
      </c>
      <c r="S34" s="299"/>
      <c r="T34" s="302">
        <f>T2</f>
        <v>6</v>
      </c>
      <c r="U34" s="30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6" t="s">
        <v>8</v>
      </c>
      <c r="P36" s="306"/>
      <c r="Q36" s="30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3"/>
      <c r="P37" s="314"/>
      <c r="Q37" s="31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4"/>
      <c r="P38" s="311"/>
      <c r="Q38" s="31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3"/>
      <c r="P39" s="314"/>
      <c r="Q39" s="31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6"/>
      <c r="P40" s="317"/>
      <c r="Q40" s="318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6"/>
      <c r="P41" s="317"/>
      <c r="Q41" s="318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3"/>
      <c r="P42" s="304"/>
      <c r="Q42" s="30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3"/>
      <c r="P43" s="314"/>
      <c r="Q43" s="31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3"/>
      <c r="P44" s="314"/>
      <c r="Q44" s="31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3"/>
      <c r="P45" s="314"/>
      <c r="Q45" s="31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3"/>
      <c r="P46" s="314"/>
      <c r="Q46" s="31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3"/>
      <c r="P47" s="314"/>
      <c r="Q47" s="31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3"/>
      <c r="P48" s="314"/>
      <c r="Q48" s="31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3"/>
      <c r="P49" s="314"/>
      <c r="Q49" s="31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3"/>
      <c r="P50" s="314"/>
      <c r="Q50" s="31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3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3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3"/>
      <c r="Q53" s="31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3"/>
      <c r="Q54" s="31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3"/>
      <c r="Q55" s="31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3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3"/>
      <c r="P60" s="314"/>
      <c r="Q60" s="31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3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7.25" thickBot="1" x14ac:dyDescent="0.3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7.25" thickBot="1" x14ac:dyDescent="0.3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5"/>
      <c r="O64" s="336"/>
      <c r="P64" s="336"/>
      <c r="Q64" s="380"/>
      <c r="R64" s="381" t="s">
        <v>17</v>
      </c>
      <c r="S64" s="382"/>
      <c r="T64" s="382"/>
      <c r="U64" s="383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 t="str">
        <f>A34</f>
        <v>28 - 4 - 2022</v>
      </c>
      <c r="B66" s="297"/>
      <c r="C66" s="297"/>
      <c r="D66" s="297"/>
      <c r="E66" s="297"/>
      <c r="F66" s="297"/>
      <c r="G66" s="298"/>
      <c r="H66" s="299" t="s">
        <v>49</v>
      </c>
      <c r="I66" s="300"/>
      <c r="J66" s="296" t="str">
        <f>J34</f>
        <v>MIX</v>
      </c>
      <c r="K66" s="298"/>
      <c r="L66" s="300" t="s">
        <v>50</v>
      </c>
      <c r="M66" s="301"/>
      <c r="N66" s="299"/>
      <c r="O66" s="297" t="str">
        <f>O34</f>
        <v>HENDRA</v>
      </c>
      <c r="P66" s="297"/>
      <c r="Q66" s="298"/>
      <c r="R66" s="300" t="s">
        <v>51</v>
      </c>
      <c r="S66" s="299"/>
      <c r="T66" s="302">
        <f>T34</f>
        <v>6</v>
      </c>
      <c r="U66" s="30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6" t="s">
        <v>8</v>
      </c>
      <c r="P68" s="306"/>
      <c r="Q68" s="30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3"/>
      <c r="P69" s="314"/>
      <c r="Q69" s="31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4"/>
      <c r="P70" s="311"/>
      <c r="Q70" s="31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3"/>
      <c r="P71" s="314"/>
      <c r="Q71" s="31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6"/>
      <c r="P72" s="317"/>
      <c r="Q72" s="318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6"/>
      <c r="P73" s="317"/>
      <c r="Q73" s="318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3"/>
      <c r="P74" s="304"/>
      <c r="Q74" s="30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3"/>
      <c r="P75" s="314"/>
      <c r="Q75" s="31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3"/>
      <c r="P76" s="314"/>
      <c r="Q76" s="31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3"/>
      <c r="P77" s="314"/>
      <c r="Q77" s="31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3"/>
      <c r="P78" s="314"/>
      <c r="Q78" s="31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3"/>
      <c r="P79" s="314"/>
      <c r="Q79" s="31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3"/>
      <c r="P80" s="314"/>
      <c r="Q80" s="31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3"/>
      <c r="P81" s="314"/>
      <c r="Q81" s="31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3"/>
      <c r="P82" s="314"/>
      <c r="Q82" s="31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3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3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3"/>
      <c r="Q85" s="31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3"/>
      <c r="Q86" s="31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3"/>
      <c r="Q87" s="31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3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3"/>
      <c r="P92" s="314"/>
      <c r="Q92" s="31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3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7.25" thickBot="1" x14ac:dyDescent="0.3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7.25" thickBot="1" x14ac:dyDescent="0.3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5"/>
      <c r="O96" s="336"/>
      <c r="P96" s="336"/>
      <c r="Q96" s="380"/>
      <c r="R96" s="381" t="s">
        <v>52</v>
      </c>
      <c r="S96" s="382"/>
      <c r="T96" s="382"/>
      <c r="U96" s="383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F25" sqref="F2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6" t="s">
        <v>239</v>
      </c>
      <c r="B2" s="297"/>
      <c r="C2" s="297"/>
      <c r="D2" s="297"/>
      <c r="E2" s="297"/>
      <c r="F2" s="297"/>
      <c r="G2" s="298"/>
      <c r="H2" s="299" t="s">
        <v>49</v>
      </c>
      <c r="I2" s="300"/>
      <c r="J2" s="296" t="s">
        <v>240</v>
      </c>
      <c r="K2" s="298"/>
      <c r="L2" s="300" t="s">
        <v>96</v>
      </c>
      <c r="M2" s="301"/>
      <c r="N2" s="299"/>
      <c r="O2" s="297" t="s">
        <v>134</v>
      </c>
      <c r="P2" s="297"/>
      <c r="Q2" s="298"/>
      <c r="R2" s="300" t="s">
        <v>51</v>
      </c>
      <c r="S2" s="299"/>
      <c r="T2" s="302">
        <v>6</v>
      </c>
      <c r="U2" s="30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6" t="s">
        <v>8</v>
      </c>
      <c r="P4" s="306"/>
      <c r="Q4" s="30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3148</v>
      </c>
      <c r="C5" s="68" t="s">
        <v>242</v>
      </c>
      <c r="D5" s="200" t="s">
        <v>243</v>
      </c>
      <c r="E5" s="181" t="s">
        <v>91</v>
      </c>
      <c r="F5" s="170">
        <v>840</v>
      </c>
      <c r="G5" s="118" t="s">
        <v>44</v>
      </c>
      <c r="H5" s="91">
        <v>10</v>
      </c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134</v>
      </c>
      <c r="O5" s="307">
        <v>202202012</v>
      </c>
      <c r="P5" s="308"/>
      <c r="Q5" s="309"/>
      <c r="R5" s="33" t="s">
        <v>134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3149</v>
      </c>
      <c r="C6" s="67" t="s">
        <v>146</v>
      </c>
      <c r="D6" s="200" t="s">
        <v>147</v>
      </c>
      <c r="E6" s="181" t="s">
        <v>91</v>
      </c>
      <c r="F6" s="171">
        <v>840</v>
      </c>
      <c r="G6" s="118" t="s">
        <v>117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134</v>
      </c>
      <c r="O6" s="354" t="s">
        <v>244</v>
      </c>
      <c r="P6" s="311"/>
      <c r="Q6" s="312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3150</v>
      </c>
      <c r="C7" s="67" t="s">
        <v>245</v>
      </c>
      <c r="D7" s="200" t="s">
        <v>200</v>
      </c>
      <c r="E7" s="181" t="s">
        <v>91</v>
      </c>
      <c r="F7" s="171">
        <v>900</v>
      </c>
      <c r="G7" s="118" t="s">
        <v>145</v>
      </c>
      <c r="H7" s="91"/>
      <c r="I7" s="124"/>
      <c r="J7" s="130" t="str">
        <f t="shared" si="1"/>
        <v>0</v>
      </c>
      <c r="K7" s="130">
        <v>79.16</v>
      </c>
      <c r="L7" s="131"/>
      <c r="M7" s="131"/>
      <c r="N7" s="134" t="s">
        <v>134</v>
      </c>
      <c r="O7" s="313" t="s">
        <v>246</v>
      </c>
      <c r="P7" s="314"/>
      <c r="Q7" s="315"/>
      <c r="R7" s="134" t="s">
        <v>101</v>
      </c>
      <c r="S7" s="31">
        <v>0.375</v>
      </c>
      <c r="T7" s="32">
        <v>0.70833333333333337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3151</v>
      </c>
      <c r="C8" s="27" t="s">
        <v>247</v>
      </c>
      <c r="D8" s="200" t="s">
        <v>190</v>
      </c>
      <c r="E8" s="181" t="s">
        <v>91</v>
      </c>
      <c r="F8" s="171">
        <v>930</v>
      </c>
      <c r="G8" s="118" t="s">
        <v>44</v>
      </c>
      <c r="H8" s="91">
        <v>10</v>
      </c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134</v>
      </c>
      <c r="O8" s="316">
        <v>202202054</v>
      </c>
      <c r="P8" s="317"/>
      <c r="Q8" s="318"/>
      <c r="R8" s="26" t="s">
        <v>241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3152</v>
      </c>
      <c r="C9" s="63" t="s">
        <v>248</v>
      </c>
      <c r="D9" s="201" t="s">
        <v>249</v>
      </c>
      <c r="E9" s="181" t="s">
        <v>91</v>
      </c>
      <c r="F9" s="172">
        <v>930</v>
      </c>
      <c r="G9" s="119" t="s">
        <v>117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134</v>
      </c>
      <c r="O9" s="316"/>
      <c r="P9" s="317"/>
      <c r="Q9" s="318"/>
      <c r="R9" s="26" t="s">
        <v>104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3153</v>
      </c>
      <c r="C10" s="28" t="s">
        <v>250</v>
      </c>
      <c r="D10" s="202" t="s">
        <v>251</v>
      </c>
      <c r="E10" s="181" t="s">
        <v>92</v>
      </c>
      <c r="F10" s="173">
        <v>1020</v>
      </c>
      <c r="G10" s="120" t="s">
        <v>117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134</v>
      </c>
      <c r="O10" s="303"/>
      <c r="P10" s="304"/>
      <c r="Q10" s="305"/>
      <c r="R10" s="26" t="s">
        <v>213</v>
      </c>
      <c r="S10" s="31">
        <v>0.40625</v>
      </c>
      <c r="T10" s="32">
        <v>0.70833333333333337</v>
      </c>
      <c r="U10" s="92">
        <f t="shared" si="0"/>
        <v>7.2500000000000009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3154</v>
      </c>
      <c r="C11" s="18" t="s">
        <v>254</v>
      </c>
      <c r="D11" s="203" t="s">
        <v>255</v>
      </c>
      <c r="E11" s="181" t="s">
        <v>92</v>
      </c>
      <c r="F11" s="66">
        <v>1135</v>
      </c>
      <c r="G11" s="121" t="s">
        <v>117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103</v>
      </c>
      <c r="O11" s="313"/>
      <c r="P11" s="314"/>
      <c r="Q11" s="31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3155</v>
      </c>
      <c r="C12" s="64" t="s">
        <v>252</v>
      </c>
      <c r="D12" s="204" t="s">
        <v>253</v>
      </c>
      <c r="E12" s="181" t="s">
        <v>91</v>
      </c>
      <c r="F12" s="173">
        <v>1145</v>
      </c>
      <c r="G12" s="119" t="s">
        <v>117</v>
      </c>
      <c r="H12" s="123"/>
      <c r="I12" s="125">
        <v>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134</v>
      </c>
      <c r="O12" s="313"/>
      <c r="P12" s="314"/>
      <c r="Q12" s="31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3156</v>
      </c>
      <c r="C13" s="64" t="s">
        <v>256</v>
      </c>
      <c r="D13" s="204" t="s">
        <v>257</v>
      </c>
      <c r="E13" s="181" t="s">
        <v>92</v>
      </c>
      <c r="F13" s="173">
        <v>1200</v>
      </c>
      <c r="G13" s="119" t="s">
        <v>117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134</v>
      </c>
      <c r="O13" s="313"/>
      <c r="P13" s="314"/>
      <c r="Q13" s="31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3157</v>
      </c>
      <c r="C14" s="65" t="s">
        <v>258</v>
      </c>
      <c r="D14" s="205" t="s">
        <v>259</v>
      </c>
      <c r="E14" s="181" t="s">
        <v>92</v>
      </c>
      <c r="F14" s="174">
        <v>1210</v>
      </c>
      <c r="G14" s="122" t="s">
        <v>139</v>
      </c>
      <c r="H14" s="123"/>
      <c r="I14" s="125">
        <v>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134</v>
      </c>
      <c r="O14" s="313"/>
      <c r="P14" s="314"/>
      <c r="Q14" s="31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3158</v>
      </c>
      <c r="C15" s="65" t="s">
        <v>260</v>
      </c>
      <c r="D15" s="205" t="s">
        <v>261</v>
      </c>
      <c r="E15" s="181" t="s">
        <v>92</v>
      </c>
      <c r="F15" s="174">
        <v>1215</v>
      </c>
      <c r="G15" s="122" t="s">
        <v>139</v>
      </c>
      <c r="H15" s="123"/>
      <c r="I15" s="124">
        <v>65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134</v>
      </c>
      <c r="O15" s="313"/>
      <c r="P15" s="314"/>
      <c r="Q15" s="31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77">
        <v>12</v>
      </c>
      <c r="B16" s="279">
        <v>3159</v>
      </c>
      <c r="C16" s="286" t="s">
        <v>262</v>
      </c>
      <c r="D16" s="287" t="s">
        <v>263</v>
      </c>
      <c r="E16" s="271" t="s">
        <v>91</v>
      </c>
      <c r="F16" s="288">
        <v>1220</v>
      </c>
      <c r="G16" s="268" t="s">
        <v>264</v>
      </c>
      <c r="H16" s="284"/>
      <c r="I16" s="273">
        <v>200</v>
      </c>
      <c r="J16" s="273" t="str">
        <f t="shared" si="1"/>
        <v>0</v>
      </c>
      <c r="K16" s="273" t="str">
        <f t="shared" si="2"/>
        <v>0</v>
      </c>
      <c r="L16" s="274"/>
      <c r="M16" s="274"/>
      <c r="N16" s="275" t="s">
        <v>134</v>
      </c>
      <c r="O16" s="390" t="s">
        <v>79</v>
      </c>
      <c r="P16" s="391"/>
      <c r="Q16" s="392"/>
      <c r="R16" s="82">
        <f>H32/U16</f>
        <v>0.41450777202072536</v>
      </c>
      <c r="S16" s="83">
        <f>H32/(U16-U5)</f>
        <v>0.50955414012738853</v>
      </c>
      <c r="T16" s="83">
        <f>C32/U16</f>
        <v>31.174093264248707</v>
      </c>
      <c r="U16" s="83">
        <f>SUM(U5:U15)</f>
        <v>48.25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3160</v>
      </c>
      <c r="C17" s="18" t="s">
        <v>265</v>
      </c>
      <c r="D17" s="203" t="s">
        <v>266</v>
      </c>
      <c r="E17" s="181" t="s">
        <v>92</v>
      </c>
      <c r="F17" s="66">
        <v>1300</v>
      </c>
      <c r="G17" s="121" t="s">
        <v>139</v>
      </c>
      <c r="H17" s="123"/>
      <c r="I17" s="124">
        <v>55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134</v>
      </c>
      <c r="O17" s="313"/>
      <c r="P17" s="314"/>
      <c r="Q17" s="31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3161</v>
      </c>
      <c r="C18" s="18" t="s">
        <v>267</v>
      </c>
      <c r="D18" s="203" t="s">
        <v>268</v>
      </c>
      <c r="E18" s="181" t="s">
        <v>92</v>
      </c>
      <c r="F18" s="66">
        <v>1255</v>
      </c>
      <c r="G18" s="20" t="s">
        <v>139</v>
      </c>
      <c r="H18" s="123"/>
      <c r="I18" s="124">
        <v>55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134</v>
      </c>
      <c r="O18" s="313"/>
      <c r="P18" s="314"/>
      <c r="Q18" s="31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3162</v>
      </c>
      <c r="C19" s="18" t="s">
        <v>269</v>
      </c>
      <c r="D19" s="203" t="s">
        <v>270</v>
      </c>
      <c r="E19" s="181" t="s">
        <v>92</v>
      </c>
      <c r="F19" s="66">
        <v>1320</v>
      </c>
      <c r="G19" s="121" t="s">
        <v>44</v>
      </c>
      <c r="H19" s="123"/>
      <c r="I19" s="124"/>
      <c r="J19" s="130">
        <v>110</v>
      </c>
      <c r="K19" s="130" t="str">
        <f t="shared" si="2"/>
        <v>0</v>
      </c>
      <c r="L19" s="131"/>
      <c r="M19" s="131"/>
      <c r="N19" s="134" t="s">
        <v>103</v>
      </c>
      <c r="O19" s="313" t="s">
        <v>271</v>
      </c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3163</v>
      </c>
      <c r="C20" s="18" t="s">
        <v>280</v>
      </c>
      <c r="D20" s="203" t="s">
        <v>281</v>
      </c>
      <c r="E20" s="181" t="s">
        <v>92</v>
      </c>
      <c r="F20" s="66">
        <v>1400</v>
      </c>
      <c r="G20" s="121" t="s">
        <v>191</v>
      </c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134</v>
      </c>
      <c r="O20" s="321" t="s">
        <v>282</v>
      </c>
      <c r="P20" s="322"/>
      <c r="Q20" s="32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3164</v>
      </c>
      <c r="C21" s="18" t="s">
        <v>272</v>
      </c>
      <c r="D21" s="203" t="s">
        <v>273</v>
      </c>
      <c r="E21" s="181" t="s">
        <v>92</v>
      </c>
      <c r="F21" s="66">
        <v>1400</v>
      </c>
      <c r="G21" s="20" t="s">
        <v>167</v>
      </c>
      <c r="H21" s="123"/>
      <c r="I21" s="124"/>
      <c r="J21" s="130" t="str">
        <f t="shared" si="1"/>
        <v>0</v>
      </c>
      <c r="K21" s="130">
        <v>70.83</v>
      </c>
      <c r="L21" s="131"/>
      <c r="M21" s="131"/>
      <c r="N21" s="134" t="s">
        <v>134</v>
      </c>
      <c r="O21" s="313" t="s">
        <v>274</v>
      </c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3165</v>
      </c>
      <c r="C22" s="127" t="s">
        <v>275</v>
      </c>
      <c r="D22" s="206" t="s">
        <v>276</v>
      </c>
      <c r="E22" s="181" t="s">
        <v>91</v>
      </c>
      <c r="F22" s="175">
        <v>1400</v>
      </c>
      <c r="G22" s="263" t="s">
        <v>145</v>
      </c>
      <c r="H22" s="89"/>
      <c r="I22" s="141"/>
      <c r="J22" s="130" t="str">
        <f t="shared" si="1"/>
        <v>0</v>
      </c>
      <c r="K22" s="130">
        <v>79.16</v>
      </c>
      <c r="L22" s="69"/>
      <c r="M22" s="69"/>
      <c r="N22" s="134" t="s">
        <v>134</v>
      </c>
      <c r="O22" s="313" t="s">
        <v>277</v>
      </c>
      <c r="P22" s="314"/>
      <c r="Q22" s="31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3166</v>
      </c>
      <c r="C23" s="136" t="s">
        <v>278</v>
      </c>
      <c r="D23" s="207" t="s">
        <v>279</v>
      </c>
      <c r="E23" s="181" t="s">
        <v>92</v>
      </c>
      <c r="F23" s="176">
        <v>1520</v>
      </c>
      <c r="G23" s="165" t="s">
        <v>44</v>
      </c>
      <c r="H23" s="89"/>
      <c r="I23" s="141"/>
      <c r="J23" s="130" t="str">
        <f t="shared" si="1"/>
        <v>55</v>
      </c>
      <c r="K23" s="130" t="str">
        <f t="shared" si="2"/>
        <v>0</v>
      </c>
      <c r="L23" s="126"/>
      <c r="M23" s="126"/>
      <c r="N23" s="126" t="s">
        <v>134</v>
      </c>
      <c r="O23" s="163"/>
      <c r="P23" s="164">
        <v>202202081</v>
      </c>
      <c r="Q23" s="159"/>
      <c r="R23" s="113"/>
      <c r="S23" s="114"/>
      <c r="T23" s="114"/>
      <c r="U23" s="115"/>
      <c r="X23" s="319"/>
      <c r="Y23" s="320"/>
      <c r="Z23" s="32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3167</v>
      </c>
      <c r="C24" s="127" t="s">
        <v>283</v>
      </c>
      <c r="D24" s="206" t="s">
        <v>284</v>
      </c>
      <c r="E24" s="181" t="s">
        <v>91</v>
      </c>
      <c r="F24" s="175">
        <v>1615</v>
      </c>
      <c r="G24" s="263" t="s">
        <v>117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104</v>
      </c>
      <c r="O24" s="313"/>
      <c r="P24" s="314"/>
      <c r="Q24" s="31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3"/>
      <c r="P25" s="314"/>
      <c r="Q25" s="31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3">
        <f>((C32+(R26+S26+T26)*0.5))</f>
        <v>1554.15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3"/>
      <c r="P26" s="314"/>
      <c r="Q26" s="315"/>
      <c r="R26" s="112">
        <f>R25*37.5</f>
        <v>0</v>
      </c>
      <c r="S26" s="102">
        <f>S25*41.5</f>
        <v>0</v>
      </c>
      <c r="T26" s="102">
        <v>100</v>
      </c>
      <c r="U26" s="32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3"/>
      <c r="P27" s="314"/>
      <c r="Q27" s="315"/>
      <c r="R27" s="332" t="s">
        <v>56</v>
      </c>
      <c r="S27" s="333"/>
      <c r="T27" s="333"/>
      <c r="U27" s="33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3"/>
      <c r="P28" s="314"/>
      <c r="Q28" s="315"/>
      <c r="R28" s="325"/>
      <c r="S28" s="326"/>
      <c r="T28" s="32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20</v>
      </c>
      <c r="I30" s="105">
        <f>SUM(I5:I29)</f>
        <v>980</v>
      </c>
      <c r="J30" s="105">
        <f>J5+J6+J7+J8+J9+J10+J11+J12+J13+J14+J15+J16+J18+J19+J17+J20+J22+J23+J21+J24+J25+J26+J27+J28+J29</f>
        <v>275</v>
      </c>
      <c r="K30" s="105">
        <f>K5+K6+K7+K8+K9+K10+K11+K12+K13+K14+K15+K16+K18+K19+K17+K20+K22+K23+K21+K24+K25+K26+K27+K28+K29</f>
        <v>229.14999999999998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20</v>
      </c>
      <c r="I31" s="103">
        <f t="shared" si="4"/>
        <v>980</v>
      </c>
      <c r="J31" s="103">
        <f t="shared" si="4"/>
        <v>275</v>
      </c>
      <c r="K31" s="103">
        <f>K30+K62+K94</f>
        <v>229.14999999999998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20</v>
      </c>
      <c r="T31" s="337">
        <f>H31+I31+L31+M31</f>
        <v>1000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8" t="s">
        <v>55</v>
      </c>
      <c r="B32" s="329"/>
      <c r="C32" s="107">
        <f>H31+I31+J31+K31</f>
        <v>1504.15</v>
      </c>
      <c r="D32" s="196"/>
      <c r="E32" s="107"/>
      <c r="F32" s="330" t="s">
        <v>53</v>
      </c>
      <c r="G32" s="330"/>
      <c r="H32" s="109">
        <f>COUNT(B5:B29,B37:B61,B69:B93)</f>
        <v>20</v>
      </c>
      <c r="I32" s="331" t="s">
        <v>54</v>
      </c>
      <c r="J32" s="331"/>
      <c r="K32" s="108">
        <f>C32/H32</f>
        <v>75.20750000000001</v>
      </c>
      <c r="L32" s="260"/>
      <c r="M32" s="260"/>
      <c r="N32" s="260">
        <f>H31/C32</f>
        <v>1.3296546222118804E-2</v>
      </c>
      <c r="O32" s="260">
        <f>I31/C32</f>
        <v>0.65153076488382133</v>
      </c>
      <c r="P32" s="260">
        <f>K31/C32</f>
        <v>0.15234517833992617</v>
      </c>
      <c r="Q32" s="110">
        <f>J31/C32</f>
        <v>0.18282751055413354</v>
      </c>
      <c r="R32" s="99" t="s">
        <v>82</v>
      </c>
      <c r="S32" s="266">
        <f>I31+M31</f>
        <v>980</v>
      </c>
      <c r="T32" s="339"/>
      <c r="U32" s="340"/>
      <c r="V32" s="55"/>
      <c r="W32" s="55"/>
      <c r="X32" s="56" t="s">
        <v>27</v>
      </c>
      <c r="Y32" s="56"/>
      <c r="Z32" s="54">
        <f>I31</f>
        <v>980</v>
      </c>
      <c r="AE32" s="37"/>
      <c r="AF32" s="37"/>
      <c r="AG32" s="37"/>
      <c r="AH32" s="37"/>
    </row>
    <row r="33" spans="1:34" ht="17.25" thickBot="1" x14ac:dyDescent="0.35">
      <c r="A33" s="335" t="s">
        <v>24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297"/>
      <c r="U33" s="298"/>
      <c r="X33" s="57" t="s">
        <v>29</v>
      </c>
      <c r="Y33" s="57"/>
      <c r="Z33" s="58">
        <f>SUM(Z31:Z32)</f>
        <v>-1765</v>
      </c>
      <c r="AE33" s="37"/>
      <c r="AF33" s="37"/>
      <c r="AG33" s="59"/>
      <c r="AH33" s="37"/>
    </row>
    <row r="34" spans="1:34" ht="17.25" thickBot="1" x14ac:dyDescent="0.35">
      <c r="A34" s="296" t="str">
        <f>A2</f>
        <v>29 - 4 - 2022</v>
      </c>
      <c r="B34" s="297"/>
      <c r="C34" s="297"/>
      <c r="D34" s="297"/>
      <c r="E34" s="297"/>
      <c r="F34" s="297"/>
      <c r="G34" s="298"/>
      <c r="H34" s="299" t="s">
        <v>49</v>
      </c>
      <c r="I34" s="300"/>
      <c r="J34" s="296" t="str">
        <f>J2</f>
        <v>SUNNY</v>
      </c>
      <c r="K34" s="298"/>
      <c r="L34" s="300" t="s">
        <v>50</v>
      </c>
      <c r="M34" s="301"/>
      <c r="N34" s="299"/>
      <c r="O34" s="297" t="str">
        <f>O2</f>
        <v>HENDRA</v>
      </c>
      <c r="P34" s="297"/>
      <c r="Q34" s="298"/>
      <c r="R34" s="300" t="s">
        <v>51</v>
      </c>
      <c r="S34" s="299"/>
      <c r="T34" s="302">
        <f>T2</f>
        <v>6</v>
      </c>
      <c r="U34" s="30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6" t="s">
        <v>8</v>
      </c>
      <c r="P36" s="306"/>
      <c r="Q36" s="30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3"/>
      <c r="P37" s="314"/>
      <c r="Q37" s="31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54"/>
      <c r="P38" s="311"/>
      <c r="Q38" s="31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3"/>
      <c r="P39" s="314"/>
      <c r="Q39" s="315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6"/>
      <c r="P40" s="317"/>
      <c r="Q40" s="318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6"/>
      <c r="P41" s="317"/>
      <c r="Q41" s="318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3"/>
      <c r="P42" s="304"/>
      <c r="Q42" s="30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3"/>
      <c r="P43" s="314"/>
      <c r="Q43" s="31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3"/>
      <c r="P44" s="314"/>
      <c r="Q44" s="31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3"/>
      <c r="P45" s="314"/>
      <c r="Q45" s="31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3"/>
      <c r="P46" s="314"/>
      <c r="Q46" s="31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3"/>
      <c r="P47" s="314"/>
      <c r="Q47" s="31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3"/>
      <c r="P48" s="314"/>
      <c r="Q48" s="31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3"/>
      <c r="P49" s="314"/>
      <c r="Q49" s="31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3"/>
      <c r="P50" s="314"/>
      <c r="Q50" s="31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3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3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3"/>
      <c r="Q53" s="31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3"/>
      <c r="Q54" s="31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3"/>
      <c r="Q55" s="31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3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3"/>
      <c r="P60" s="314"/>
      <c r="Q60" s="31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3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7.25" thickBot="1" x14ac:dyDescent="0.3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7.25" thickBot="1" x14ac:dyDescent="0.3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5"/>
      <c r="O64" s="336"/>
      <c r="P64" s="336"/>
      <c r="Q64" s="380"/>
      <c r="R64" s="381" t="s">
        <v>17</v>
      </c>
      <c r="S64" s="382"/>
      <c r="T64" s="382"/>
      <c r="U64" s="383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 t="str">
        <f>A34</f>
        <v>29 - 4 - 2022</v>
      </c>
      <c r="B66" s="297"/>
      <c r="C66" s="297"/>
      <c r="D66" s="297"/>
      <c r="E66" s="297"/>
      <c r="F66" s="297"/>
      <c r="G66" s="298"/>
      <c r="H66" s="299" t="s">
        <v>49</v>
      </c>
      <c r="I66" s="300"/>
      <c r="J66" s="296" t="str">
        <f>J34</f>
        <v>SUNNY</v>
      </c>
      <c r="K66" s="298"/>
      <c r="L66" s="300" t="s">
        <v>50</v>
      </c>
      <c r="M66" s="301"/>
      <c r="N66" s="299"/>
      <c r="O66" s="297" t="str">
        <f>O34</f>
        <v>HENDRA</v>
      </c>
      <c r="P66" s="297"/>
      <c r="Q66" s="298"/>
      <c r="R66" s="300" t="s">
        <v>51</v>
      </c>
      <c r="S66" s="299"/>
      <c r="T66" s="302">
        <f>T34</f>
        <v>6</v>
      </c>
      <c r="U66" s="30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6" t="s">
        <v>8</v>
      </c>
      <c r="P68" s="306"/>
      <c r="Q68" s="30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3"/>
      <c r="P69" s="314"/>
      <c r="Q69" s="31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4"/>
      <c r="P70" s="311"/>
      <c r="Q70" s="31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3"/>
      <c r="P71" s="314"/>
      <c r="Q71" s="31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6"/>
      <c r="P72" s="317"/>
      <c r="Q72" s="318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6"/>
      <c r="P73" s="317"/>
      <c r="Q73" s="318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3"/>
      <c r="P74" s="304"/>
      <c r="Q74" s="30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3"/>
      <c r="P75" s="314"/>
      <c r="Q75" s="31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3"/>
      <c r="P76" s="314"/>
      <c r="Q76" s="31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3"/>
      <c r="P77" s="314"/>
      <c r="Q77" s="31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3"/>
      <c r="P78" s="314"/>
      <c r="Q78" s="31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3"/>
      <c r="P79" s="314"/>
      <c r="Q79" s="31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3"/>
      <c r="P80" s="314"/>
      <c r="Q80" s="31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3"/>
      <c r="P81" s="314"/>
      <c r="Q81" s="31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3"/>
      <c r="P82" s="314"/>
      <c r="Q82" s="31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3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3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3"/>
      <c r="Q85" s="31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3"/>
      <c r="Q86" s="31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3"/>
      <c r="Q87" s="31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3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3"/>
      <c r="P92" s="314"/>
      <c r="Q92" s="31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3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7.25" thickBot="1" x14ac:dyDescent="0.3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7.25" thickBot="1" x14ac:dyDescent="0.3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5"/>
      <c r="O96" s="336"/>
      <c r="P96" s="336"/>
      <c r="Q96" s="380"/>
      <c r="R96" s="381" t="s">
        <v>52</v>
      </c>
      <c r="S96" s="382"/>
      <c r="T96" s="382"/>
      <c r="U96" s="38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R12" sqref="R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6" t="s">
        <v>330</v>
      </c>
      <c r="B2" s="297"/>
      <c r="C2" s="297"/>
      <c r="D2" s="297"/>
      <c r="E2" s="297"/>
      <c r="F2" s="297"/>
      <c r="G2" s="298"/>
      <c r="H2" s="299" t="s">
        <v>49</v>
      </c>
      <c r="I2" s="300"/>
      <c r="J2" s="296" t="s">
        <v>212</v>
      </c>
      <c r="K2" s="298"/>
      <c r="L2" s="300" t="s">
        <v>96</v>
      </c>
      <c r="M2" s="301"/>
      <c r="N2" s="299"/>
      <c r="O2" s="297" t="s">
        <v>99</v>
      </c>
      <c r="P2" s="297"/>
      <c r="Q2" s="298"/>
      <c r="R2" s="300" t="s">
        <v>51</v>
      </c>
      <c r="S2" s="299"/>
      <c r="T2" s="302">
        <v>7</v>
      </c>
      <c r="U2" s="30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6" t="s">
        <v>8</v>
      </c>
      <c r="P4" s="306"/>
      <c r="Q4" s="30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89">
        <v>3168</v>
      </c>
      <c r="C5" s="68" t="s">
        <v>285</v>
      </c>
      <c r="D5" s="200" t="s">
        <v>286</v>
      </c>
      <c r="E5" s="181" t="s">
        <v>287</v>
      </c>
      <c r="F5" s="170">
        <v>800</v>
      </c>
      <c r="G5" s="118" t="s">
        <v>44</v>
      </c>
      <c r="H5" s="91"/>
      <c r="I5" s="290"/>
      <c r="J5" s="291">
        <v>110</v>
      </c>
      <c r="K5" s="291" t="str">
        <f>IF(G5="GVS","37.5",IF(G5="GVM","41.5",IF(G5="GVL","50",IF(G5="PCS","45.8",IF(G5="PCM","50",IF(G5="PCL","58.3","0"))))))</f>
        <v>0</v>
      </c>
      <c r="L5" s="131"/>
      <c r="M5" s="131"/>
      <c r="N5" s="134" t="s">
        <v>103</v>
      </c>
      <c r="O5" s="307" t="s">
        <v>288</v>
      </c>
      <c r="P5" s="308"/>
      <c r="Q5" s="309"/>
      <c r="R5" s="33" t="s">
        <v>99</v>
      </c>
      <c r="S5" s="31">
        <v>0.34375</v>
      </c>
      <c r="T5" s="32">
        <v>0.71875</v>
      </c>
      <c r="U5" s="92">
        <f t="shared" ref="U5:U15" si="0">(T5-S5)*24</f>
        <v>9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292">
        <v>3169</v>
      </c>
      <c r="C6" s="67" t="s">
        <v>289</v>
      </c>
      <c r="D6" s="200" t="s">
        <v>290</v>
      </c>
      <c r="E6" s="181" t="s">
        <v>181</v>
      </c>
      <c r="F6" s="171">
        <v>800</v>
      </c>
      <c r="G6" s="118" t="s">
        <v>44</v>
      </c>
      <c r="H6" s="91"/>
      <c r="I6" s="290"/>
      <c r="J6" s="291">
        <v>110</v>
      </c>
      <c r="K6" s="291" t="str">
        <f t="shared" ref="K6:K22" si="1">IF(G6="GVS","37.5",IF(G6="GVM","41.5",IF(G6="GVL","50",IF(G6="PCS","45.8",IF(G6="PCM","50",IF(G6="PCL","58.3","0"))))))</f>
        <v>0</v>
      </c>
      <c r="L6" s="131"/>
      <c r="M6" s="131"/>
      <c r="N6" s="134" t="s">
        <v>103</v>
      </c>
      <c r="O6" s="354" t="s">
        <v>291</v>
      </c>
      <c r="P6" s="311"/>
      <c r="Q6" s="312"/>
      <c r="R6" s="132" t="s">
        <v>103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289">
        <v>3170</v>
      </c>
      <c r="C7" s="67" t="s">
        <v>292</v>
      </c>
      <c r="D7" s="200" t="s">
        <v>293</v>
      </c>
      <c r="E7" s="181" t="s">
        <v>92</v>
      </c>
      <c r="F7" s="171">
        <v>820</v>
      </c>
      <c r="G7" s="118" t="s">
        <v>113</v>
      </c>
      <c r="H7" s="91"/>
      <c r="I7" s="290">
        <v>100</v>
      </c>
      <c r="J7" s="291" t="str">
        <f t="shared" ref="J7:J22" si="2">IF(G7="RSL","55","0")</f>
        <v>0</v>
      </c>
      <c r="K7" s="291" t="str">
        <f t="shared" si="1"/>
        <v>0</v>
      </c>
      <c r="L7" s="131"/>
      <c r="M7" s="131"/>
      <c r="N7" s="134" t="s">
        <v>103</v>
      </c>
      <c r="O7" s="313"/>
      <c r="P7" s="314"/>
      <c r="Q7" s="315"/>
      <c r="R7" s="134" t="s">
        <v>100</v>
      </c>
      <c r="S7" s="31">
        <v>0.39583333333333331</v>
      </c>
      <c r="T7" s="32">
        <v>0.70833333333333337</v>
      </c>
      <c r="U7" s="92">
        <f t="shared" si="0"/>
        <v>7.5000000000000018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292">
        <v>3171</v>
      </c>
      <c r="C8" s="27" t="s">
        <v>294</v>
      </c>
      <c r="D8" s="200" t="s">
        <v>295</v>
      </c>
      <c r="E8" s="181" t="s">
        <v>92</v>
      </c>
      <c r="F8" s="171">
        <v>845</v>
      </c>
      <c r="G8" s="118" t="s">
        <v>139</v>
      </c>
      <c r="H8" s="91"/>
      <c r="I8" s="290">
        <v>55</v>
      </c>
      <c r="J8" s="291" t="str">
        <f t="shared" si="2"/>
        <v>0</v>
      </c>
      <c r="K8" s="291" t="str">
        <f t="shared" si="1"/>
        <v>0</v>
      </c>
      <c r="L8" s="131"/>
      <c r="M8" s="131"/>
      <c r="N8" s="134" t="s">
        <v>99</v>
      </c>
      <c r="O8" s="316"/>
      <c r="P8" s="317"/>
      <c r="Q8" s="318"/>
      <c r="R8" s="26" t="s">
        <v>101</v>
      </c>
      <c r="S8" s="31">
        <v>0.38541666666666669</v>
      </c>
      <c r="T8" s="32">
        <v>0.71875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89">
        <v>3172</v>
      </c>
      <c r="C9" s="63" t="s">
        <v>296</v>
      </c>
      <c r="D9" s="201" t="s">
        <v>297</v>
      </c>
      <c r="E9" s="181" t="s">
        <v>91</v>
      </c>
      <c r="F9" s="172">
        <v>915</v>
      </c>
      <c r="G9" s="119" t="s">
        <v>145</v>
      </c>
      <c r="H9" s="91"/>
      <c r="I9" s="91"/>
      <c r="J9" s="291" t="str">
        <f t="shared" si="2"/>
        <v>0</v>
      </c>
      <c r="K9" s="291">
        <v>79.099999999999994</v>
      </c>
      <c r="L9" s="131"/>
      <c r="M9" s="131"/>
      <c r="N9" s="134" t="s">
        <v>99</v>
      </c>
      <c r="O9" s="316" t="s">
        <v>298</v>
      </c>
      <c r="P9" s="317"/>
      <c r="Q9" s="318"/>
      <c r="R9" s="26" t="s">
        <v>102</v>
      </c>
      <c r="S9" s="31">
        <v>0.375</v>
      </c>
      <c r="T9" s="32">
        <v>0.71875</v>
      </c>
      <c r="U9" s="92">
        <f t="shared" si="0"/>
        <v>8.25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292">
        <v>3173</v>
      </c>
      <c r="C10" s="28" t="s">
        <v>299</v>
      </c>
      <c r="D10" s="202" t="s">
        <v>300</v>
      </c>
      <c r="E10" s="181" t="s">
        <v>91</v>
      </c>
      <c r="F10" s="173">
        <v>940</v>
      </c>
      <c r="G10" s="120" t="s">
        <v>117</v>
      </c>
      <c r="H10" s="123"/>
      <c r="I10" s="293">
        <v>95</v>
      </c>
      <c r="J10" s="291" t="str">
        <f t="shared" si="2"/>
        <v>0</v>
      </c>
      <c r="K10" s="291" t="str">
        <f t="shared" si="1"/>
        <v>0</v>
      </c>
      <c r="L10" s="131"/>
      <c r="M10" s="131"/>
      <c r="N10" s="134" t="s">
        <v>99</v>
      </c>
      <c r="O10" s="303"/>
      <c r="P10" s="304"/>
      <c r="Q10" s="305"/>
      <c r="R10" s="26" t="s">
        <v>331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289">
        <v>3174</v>
      </c>
      <c r="C11" s="18" t="s">
        <v>301</v>
      </c>
      <c r="D11" s="203" t="s">
        <v>302</v>
      </c>
      <c r="E11" s="181" t="s">
        <v>92</v>
      </c>
      <c r="F11" s="66">
        <v>950</v>
      </c>
      <c r="G11" s="121" t="s">
        <v>142</v>
      </c>
      <c r="H11" s="123">
        <v>180</v>
      </c>
      <c r="I11" s="290"/>
      <c r="J11" s="291" t="str">
        <f t="shared" si="2"/>
        <v>0</v>
      </c>
      <c r="K11" s="291" t="str">
        <f t="shared" si="1"/>
        <v>0</v>
      </c>
      <c r="L11" s="131"/>
      <c r="M11" s="131"/>
      <c r="N11" s="134" t="s">
        <v>99</v>
      </c>
      <c r="O11" s="313"/>
      <c r="P11" s="314"/>
      <c r="Q11" s="315"/>
      <c r="R11" s="26" t="s">
        <v>213</v>
      </c>
      <c r="S11" s="31">
        <v>0.41666666666666669</v>
      </c>
      <c r="T11" s="32">
        <v>0.70833333333333337</v>
      </c>
      <c r="U11" s="92">
        <f t="shared" si="0"/>
        <v>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292">
        <v>3175</v>
      </c>
      <c r="C12" s="64" t="s">
        <v>303</v>
      </c>
      <c r="D12" s="204" t="s">
        <v>304</v>
      </c>
      <c r="E12" s="181" t="s">
        <v>92</v>
      </c>
      <c r="F12" s="173">
        <v>1015</v>
      </c>
      <c r="G12" s="119" t="s">
        <v>44</v>
      </c>
      <c r="H12" s="123"/>
      <c r="I12" s="293"/>
      <c r="J12" s="291" t="str">
        <f t="shared" si="2"/>
        <v>55</v>
      </c>
      <c r="K12" s="291" t="str">
        <f t="shared" si="1"/>
        <v>0</v>
      </c>
      <c r="L12" s="131"/>
      <c r="M12" s="131"/>
      <c r="N12" s="134" t="s">
        <v>99</v>
      </c>
      <c r="O12" s="313" t="s">
        <v>305</v>
      </c>
      <c r="P12" s="314"/>
      <c r="Q12" s="31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289">
        <v>3176</v>
      </c>
      <c r="C13" s="64" t="s">
        <v>306</v>
      </c>
      <c r="D13" s="204" t="s">
        <v>307</v>
      </c>
      <c r="E13" s="181" t="s">
        <v>92</v>
      </c>
      <c r="F13" s="173">
        <v>1045</v>
      </c>
      <c r="G13" s="119" t="s">
        <v>127</v>
      </c>
      <c r="H13" s="169"/>
      <c r="I13" s="294">
        <v>280</v>
      </c>
      <c r="J13" s="291" t="str">
        <f t="shared" si="2"/>
        <v>0</v>
      </c>
      <c r="K13" s="291" t="str">
        <f t="shared" si="1"/>
        <v>0</v>
      </c>
      <c r="L13" s="131"/>
      <c r="M13" s="131"/>
      <c r="N13" s="134" t="s">
        <v>99</v>
      </c>
      <c r="O13" s="313"/>
      <c r="P13" s="314"/>
      <c r="Q13" s="31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292">
        <v>3177</v>
      </c>
      <c r="C14" s="65" t="s">
        <v>308</v>
      </c>
      <c r="D14" s="205" t="s">
        <v>309</v>
      </c>
      <c r="E14" s="181" t="s">
        <v>92</v>
      </c>
      <c r="F14" s="174">
        <v>1110</v>
      </c>
      <c r="G14" s="122" t="s">
        <v>117</v>
      </c>
      <c r="H14" s="123"/>
      <c r="I14" s="293">
        <v>150</v>
      </c>
      <c r="J14" s="291" t="str">
        <f t="shared" si="2"/>
        <v>0</v>
      </c>
      <c r="K14" s="291" t="str">
        <f t="shared" si="1"/>
        <v>0</v>
      </c>
      <c r="L14" s="131"/>
      <c r="M14" s="131"/>
      <c r="N14" s="134" t="s">
        <v>99</v>
      </c>
      <c r="O14" s="313"/>
      <c r="P14" s="314"/>
      <c r="Q14" s="31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289">
        <v>3178</v>
      </c>
      <c r="C15" s="65" t="s">
        <v>310</v>
      </c>
      <c r="D15" s="205" t="s">
        <v>311</v>
      </c>
      <c r="E15" s="181" t="s">
        <v>91</v>
      </c>
      <c r="F15" s="174">
        <v>1110</v>
      </c>
      <c r="G15" s="122" t="s">
        <v>312</v>
      </c>
      <c r="H15" s="123"/>
      <c r="I15" s="290">
        <v>250</v>
      </c>
      <c r="J15" s="291" t="str">
        <f t="shared" si="2"/>
        <v>0</v>
      </c>
      <c r="K15" s="291" t="str">
        <f t="shared" si="1"/>
        <v>0</v>
      </c>
      <c r="L15" s="131"/>
      <c r="M15" s="131"/>
      <c r="N15" s="134" t="s">
        <v>99</v>
      </c>
      <c r="O15" s="313"/>
      <c r="P15" s="314"/>
      <c r="Q15" s="31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279">
        <v>3179</v>
      </c>
      <c r="C16" s="286" t="s">
        <v>313</v>
      </c>
      <c r="D16" s="287" t="s">
        <v>314</v>
      </c>
      <c r="E16" s="271" t="s">
        <v>91</v>
      </c>
      <c r="F16" s="288">
        <v>1110</v>
      </c>
      <c r="G16" s="268" t="s">
        <v>145</v>
      </c>
      <c r="H16" s="284"/>
      <c r="I16" s="273"/>
      <c r="J16" s="273" t="str">
        <f t="shared" si="2"/>
        <v>0</v>
      </c>
      <c r="K16" s="273">
        <v>79.099999999999994</v>
      </c>
      <c r="L16" s="274"/>
      <c r="M16" s="274">
        <v>475</v>
      </c>
      <c r="N16" s="275" t="s">
        <v>99</v>
      </c>
      <c r="O16" s="390" t="s">
        <v>315</v>
      </c>
      <c r="P16" s="391"/>
      <c r="Q16" s="392"/>
      <c r="R16" s="82">
        <f>H32/U16</f>
        <v>0.32286995515695066</v>
      </c>
      <c r="S16" s="83">
        <f>H32/(U16-U5)</f>
        <v>0.38502673796791442</v>
      </c>
      <c r="T16" s="83">
        <f>C32/U16</f>
        <v>51.447533632286991</v>
      </c>
      <c r="U16" s="83">
        <f>SUM(U5:U15)</f>
        <v>55.75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289">
        <v>3180</v>
      </c>
      <c r="C17" s="18" t="s">
        <v>316</v>
      </c>
      <c r="D17" s="203" t="s">
        <v>317</v>
      </c>
      <c r="E17" s="181" t="s">
        <v>91</v>
      </c>
      <c r="F17" s="66">
        <v>1230</v>
      </c>
      <c r="G17" s="121" t="s">
        <v>318</v>
      </c>
      <c r="H17" s="123">
        <v>300</v>
      </c>
      <c r="I17" s="290"/>
      <c r="J17" s="291" t="str">
        <f t="shared" si="2"/>
        <v>0</v>
      </c>
      <c r="K17" s="291" t="str">
        <f t="shared" si="1"/>
        <v>0</v>
      </c>
      <c r="L17" s="131"/>
      <c r="M17" s="131"/>
      <c r="N17" s="134" t="s">
        <v>99</v>
      </c>
      <c r="O17" s="313"/>
      <c r="P17" s="314"/>
      <c r="Q17" s="31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292">
        <v>3181</v>
      </c>
      <c r="C18" s="18" t="s">
        <v>319</v>
      </c>
      <c r="D18" s="203" t="s">
        <v>320</v>
      </c>
      <c r="E18" s="181" t="s">
        <v>92</v>
      </c>
      <c r="F18" s="66">
        <v>1315</v>
      </c>
      <c r="G18" s="20" t="s">
        <v>44</v>
      </c>
      <c r="H18" s="123">
        <v>25</v>
      </c>
      <c r="I18" s="290"/>
      <c r="J18" s="291" t="str">
        <f t="shared" si="2"/>
        <v>55</v>
      </c>
      <c r="K18" s="291" t="str">
        <f t="shared" si="1"/>
        <v>0</v>
      </c>
      <c r="L18" s="131"/>
      <c r="M18" s="131"/>
      <c r="N18" s="134" t="s">
        <v>99</v>
      </c>
      <c r="O18" s="313" t="s">
        <v>321</v>
      </c>
      <c r="P18" s="314"/>
      <c r="Q18" s="31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289">
        <v>3182</v>
      </c>
      <c r="C19" s="18" t="s">
        <v>322</v>
      </c>
      <c r="D19" s="203" t="s">
        <v>323</v>
      </c>
      <c r="E19" s="181" t="s">
        <v>91</v>
      </c>
      <c r="F19" s="66">
        <v>1250</v>
      </c>
      <c r="G19" s="121" t="s">
        <v>142</v>
      </c>
      <c r="H19" s="123"/>
      <c r="I19" s="290">
        <v>180</v>
      </c>
      <c r="J19" s="291" t="str">
        <f t="shared" si="2"/>
        <v>0</v>
      </c>
      <c r="K19" s="291" t="str">
        <f t="shared" si="1"/>
        <v>0</v>
      </c>
      <c r="L19" s="131"/>
      <c r="M19" s="131"/>
      <c r="N19" s="134" t="s">
        <v>99</v>
      </c>
      <c r="O19" s="313"/>
      <c r="P19" s="314"/>
      <c r="Q19" s="314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292">
        <v>3183</v>
      </c>
      <c r="C20" s="18" t="s">
        <v>324</v>
      </c>
      <c r="D20" s="203" t="s">
        <v>325</v>
      </c>
      <c r="E20" s="181" t="s">
        <v>91</v>
      </c>
      <c r="F20" s="66">
        <v>1500</v>
      </c>
      <c r="G20" s="121" t="s">
        <v>127</v>
      </c>
      <c r="H20" s="123"/>
      <c r="I20" s="219">
        <v>320</v>
      </c>
      <c r="J20" s="291" t="str">
        <f t="shared" si="2"/>
        <v>0</v>
      </c>
      <c r="K20" s="221" t="str">
        <f t="shared" si="1"/>
        <v>0</v>
      </c>
      <c r="L20" s="220"/>
      <c r="M20" s="220"/>
      <c r="N20" s="134" t="s">
        <v>99</v>
      </c>
      <c r="O20" s="321" t="s">
        <v>114</v>
      </c>
      <c r="P20" s="322"/>
      <c r="Q20" s="32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289">
        <v>3184</v>
      </c>
      <c r="C21" s="18" t="s">
        <v>326</v>
      </c>
      <c r="D21" s="203" t="s">
        <v>327</v>
      </c>
      <c r="E21" s="181" t="s">
        <v>92</v>
      </c>
      <c r="F21" s="66">
        <v>1505</v>
      </c>
      <c r="G21" s="121" t="s">
        <v>139</v>
      </c>
      <c r="H21" s="123"/>
      <c r="I21" s="290">
        <v>55</v>
      </c>
      <c r="J21" s="291" t="str">
        <f t="shared" si="2"/>
        <v>0</v>
      </c>
      <c r="K21" s="291" t="str">
        <f t="shared" si="1"/>
        <v>0</v>
      </c>
      <c r="L21" s="131"/>
      <c r="M21" s="131"/>
      <c r="N21" s="134" t="s">
        <v>99</v>
      </c>
      <c r="O21" s="313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292">
        <v>3185</v>
      </c>
      <c r="C22" s="127" t="s">
        <v>328</v>
      </c>
      <c r="D22" s="206" t="s">
        <v>329</v>
      </c>
      <c r="E22" s="181" t="s">
        <v>91</v>
      </c>
      <c r="F22" s="175">
        <v>1545</v>
      </c>
      <c r="G22" s="285" t="s">
        <v>318</v>
      </c>
      <c r="H22" s="89"/>
      <c r="I22" s="295">
        <v>390</v>
      </c>
      <c r="J22" s="291" t="str">
        <f t="shared" si="2"/>
        <v>0</v>
      </c>
      <c r="K22" s="291" t="str">
        <f t="shared" si="1"/>
        <v>0</v>
      </c>
      <c r="L22" s="69"/>
      <c r="M22" s="69"/>
      <c r="N22" s="134" t="s">
        <v>99</v>
      </c>
      <c r="O22" s="313"/>
      <c r="P22" s="314"/>
      <c r="Q22" s="31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ref="J23:J29" si="3">IF(G23="RSL","55","0")</f>
        <v>0</v>
      </c>
      <c r="K23" s="130" t="str">
        <f t="shared" ref="K23:K29" si="4">IF(G23="GVS","37.5",IF(G23="GVM","41.5",IF(G23="GVL","50",IF(G23="PCS","45.8",IF(G23="PCM","50",IF(G23="PCL","58.3","0"))))))</f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9"/>
      <c r="Y23" s="320"/>
      <c r="Z23" s="32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3"/>
        <v>0</v>
      </c>
      <c r="K24" s="130" t="str">
        <f t="shared" si="4"/>
        <v>0</v>
      </c>
      <c r="L24" s="69"/>
      <c r="M24" s="69"/>
      <c r="N24" s="134"/>
      <c r="O24" s="313"/>
      <c r="P24" s="314"/>
      <c r="Q24" s="31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3"/>
        <v>0</v>
      </c>
      <c r="K25" s="130" t="str">
        <f t="shared" si="4"/>
        <v>0</v>
      </c>
      <c r="L25" s="69"/>
      <c r="M25" s="69"/>
      <c r="N25" s="134"/>
      <c r="O25" s="313"/>
      <c r="P25" s="314"/>
      <c r="Q25" s="31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3">
        <f>((C32+(R26+S26+T26)*0.5))</f>
        <v>2868.2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3"/>
        <v>0</v>
      </c>
      <c r="K26" s="130" t="str">
        <f t="shared" si="4"/>
        <v>0</v>
      </c>
      <c r="L26" s="69"/>
      <c r="M26" s="69"/>
      <c r="N26" s="134"/>
      <c r="O26" s="313"/>
      <c r="P26" s="314"/>
      <c r="Q26" s="315"/>
      <c r="R26" s="112">
        <f>R25*37.5</f>
        <v>0</v>
      </c>
      <c r="S26" s="102">
        <f>S25*41.5</f>
        <v>0</v>
      </c>
      <c r="T26" s="102">
        <f>T25*50</f>
        <v>0</v>
      </c>
      <c r="U26" s="32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3"/>
        <v>0</v>
      </c>
      <c r="K27" s="130" t="str">
        <f t="shared" si="4"/>
        <v>0</v>
      </c>
      <c r="L27" s="69"/>
      <c r="M27" s="69"/>
      <c r="N27" s="134"/>
      <c r="O27" s="313"/>
      <c r="P27" s="314"/>
      <c r="Q27" s="315"/>
      <c r="R27" s="332" t="s">
        <v>56</v>
      </c>
      <c r="S27" s="333"/>
      <c r="T27" s="333"/>
      <c r="U27" s="33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3"/>
        <v>0</v>
      </c>
      <c r="K28" s="130" t="str">
        <f t="shared" si="4"/>
        <v>0</v>
      </c>
      <c r="L28" s="69"/>
      <c r="M28" s="69"/>
      <c r="N28" s="134"/>
      <c r="O28" s="313"/>
      <c r="P28" s="314"/>
      <c r="Q28" s="315"/>
      <c r="R28" s="325"/>
      <c r="S28" s="326"/>
      <c r="T28" s="32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3"/>
        <v>0</v>
      </c>
      <c r="K29" s="130" t="str">
        <f t="shared" si="4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5">SUM(H5:H29)</f>
        <v>505</v>
      </c>
      <c r="I30" s="105">
        <f>SUM(I5:I29)</f>
        <v>1875</v>
      </c>
      <c r="J30" s="105">
        <f>J5+J6+J7+J8+J9+J10+J11+J12+J13+J14+J15+J16+J18+J19+J17+J20+J22+J23+J21+J24+J25+J26+J27+J28+J29</f>
        <v>330</v>
      </c>
      <c r="K30" s="105">
        <f>K5+K6+K7+K8+K9+K10+K11+K12+K13+K14+K15+K16+K18+K19+K17+K20+K22+K23+K21+K24+K25+K26+K27+K28+K29</f>
        <v>158.19999999999999</v>
      </c>
      <c r="L30" s="106">
        <f t="shared" si="5"/>
        <v>0</v>
      </c>
      <c r="M30" s="106">
        <f t="shared" si="5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6">H30+H62+H94</f>
        <v>505</v>
      </c>
      <c r="I31" s="103">
        <f t="shared" si="6"/>
        <v>1875</v>
      </c>
      <c r="J31" s="103">
        <f t="shared" si="6"/>
        <v>330</v>
      </c>
      <c r="K31" s="103">
        <f>K30+K62+K94</f>
        <v>158.19999999999999</v>
      </c>
      <c r="L31" s="97">
        <f>L30+L62+L94</f>
        <v>0</v>
      </c>
      <c r="M31" s="97">
        <f>M30+M62+M94</f>
        <v>475</v>
      </c>
      <c r="N31" s="262">
        <f>COUNT(H5:H29,H37:H61,H69:H93)</f>
        <v>3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505</v>
      </c>
      <c r="T31" s="337">
        <f>H31+I31+L31+M31</f>
        <v>2855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8" t="s">
        <v>55</v>
      </c>
      <c r="B32" s="329"/>
      <c r="C32" s="107">
        <f>H31+I31+J31+K31</f>
        <v>2868.2</v>
      </c>
      <c r="D32" s="196"/>
      <c r="E32" s="107"/>
      <c r="F32" s="330" t="s">
        <v>53</v>
      </c>
      <c r="G32" s="330"/>
      <c r="H32" s="109">
        <f>COUNT(B5:B29,B37:B61,B69:B93)</f>
        <v>18</v>
      </c>
      <c r="I32" s="331" t="s">
        <v>54</v>
      </c>
      <c r="J32" s="331"/>
      <c r="K32" s="108">
        <f>C32/H32</f>
        <v>159.34444444444443</v>
      </c>
      <c r="L32" s="260"/>
      <c r="M32" s="260"/>
      <c r="N32" s="260">
        <f>H31/C32</f>
        <v>0.17606861446203195</v>
      </c>
      <c r="O32" s="260">
        <f>I31/C32</f>
        <v>0.65372010320061369</v>
      </c>
      <c r="P32" s="260">
        <f>K31/C32</f>
        <v>5.5156544174046439E-2</v>
      </c>
      <c r="Q32" s="110">
        <f>J31/C32</f>
        <v>0.11505473816330801</v>
      </c>
      <c r="R32" s="99" t="s">
        <v>82</v>
      </c>
      <c r="S32" s="266">
        <f>I31+M31</f>
        <v>2350</v>
      </c>
      <c r="T32" s="339"/>
      <c r="U32" s="340"/>
      <c r="V32" s="55"/>
      <c r="W32" s="55"/>
      <c r="X32" s="56" t="s">
        <v>27</v>
      </c>
      <c r="Y32" s="56"/>
      <c r="Z32" s="54">
        <f>I31</f>
        <v>1875</v>
      </c>
      <c r="AE32" s="37"/>
      <c r="AF32" s="37"/>
      <c r="AG32" s="37"/>
      <c r="AH32" s="37"/>
    </row>
    <row r="33" spans="1:34" ht="17.25" thickBot="1" x14ac:dyDescent="0.35">
      <c r="A33" s="335" t="s">
        <v>24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297"/>
      <c r="U33" s="298"/>
      <c r="X33" s="57" t="s">
        <v>29</v>
      </c>
      <c r="Y33" s="57"/>
      <c r="Z33" s="58">
        <f>SUM(Z31:Z32)</f>
        <v>-870</v>
      </c>
      <c r="AE33" s="37"/>
      <c r="AF33" s="37"/>
      <c r="AG33" s="59"/>
      <c r="AH33" s="37"/>
    </row>
    <row r="34" spans="1:34" ht="17.25" thickBot="1" x14ac:dyDescent="0.35">
      <c r="A34" s="296" t="str">
        <f>A2</f>
        <v>30-04-2022</v>
      </c>
      <c r="B34" s="297"/>
      <c r="C34" s="297"/>
      <c r="D34" s="297"/>
      <c r="E34" s="297"/>
      <c r="F34" s="297"/>
      <c r="G34" s="298"/>
      <c r="H34" s="299" t="s">
        <v>49</v>
      </c>
      <c r="I34" s="300"/>
      <c r="J34" s="296" t="str">
        <f>J2</f>
        <v>MIX</v>
      </c>
      <c r="K34" s="298"/>
      <c r="L34" s="300" t="s">
        <v>50</v>
      </c>
      <c r="M34" s="301"/>
      <c r="N34" s="299"/>
      <c r="O34" s="297" t="str">
        <f>O2</f>
        <v>JOHN</v>
      </c>
      <c r="P34" s="297"/>
      <c r="Q34" s="298"/>
      <c r="R34" s="300" t="s">
        <v>51</v>
      </c>
      <c r="S34" s="299"/>
      <c r="T34" s="302">
        <f>T2</f>
        <v>7</v>
      </c>
      <c r="U34" s="30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6" t="s">
        <v>8</v>
      </c>
      <c r="P36" s="306"/>
      <c r="Q36" s="30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7">IF(G37="GVS","37.5",IF(G37="GVM","41.5",IF(G37="GVL","50",IF(G37="PCS","45.8",IF(G37="PCM","50",IF(G37="PCL","58.3","0"))))))</f>
        <v>0</v>
      </c>
      <c r="L37" s="131"/>
      <c r="M37" s="131"/>
      <c r="N37" s="69"/>
      <c r="O37" s="313"/>
      <c r="P37" s="314"/>
      <c r="Q37" s="315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8">IF(G38="RSL","55","0")</f>
        <v>0</v>
      </c>
      <c r="K38" s="130" t="str">
        <f t="shared" si="7"/>
        <v>0</v>
      </c>
      <c r="L38" s="131"/>
      <c r="M38" s="131"/>
      <c r="N38" s="69"/>
      <c r="O38" s="354"/>
      <c r="P38" s="311"/>
      <c r="Q38" s="312"/>
      <c r="R38" s="78"/>
      <c r="S38" s="71"/>
      <c r="T38" s="16"/>
      <c r="U38" s="72"/>
    </row>
    <row r="39" spans="1:34" x14ac:dyDescent="0.3">
      <c r="A39" s="128">
        <f t="shared" ref="A39:A61" si="9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8"/>
        <v>0</v>
      </c>
      <c r="K39" s="130" t="str">
        <f t="shared" si="7"/>
        <v>0</v>
      </c>
      <c r="L39" s="131"/>
      <c r="M39" s="131"/>
      <c r="N39" s="69"/>
      <c r="O39" s="313"/>
      <c r="P39" s="314"/>
      <c r="Q39" s="315"/>
      <c r="R39" s="79"/>
      <c r="S39" s="13"/>
      <c r="T39" s="12"/>
      <c r="U39" s="72"/>
    </row>
    <row r="40" spans="1:34" x14ac:dyDescent="0.3">
      <c r="A40" s="128">
        <f t="shared" si="9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8"/>
        <v>0</v>
      </c>
      <c r="K40" s="130" t="str">
        <f t="shared" si="7"/>
        <v>0</v>
      </c>
      <c r="L40" s="131"/>
      <c r="M40" s="131"/>
      <c r="N40" s="69"/>
      <c r="O40" s="316"/>
      <c r="P40" s="317"/>
      <c r="Q40" s="318"/>
      <c r="R40" s="78"/>
      <c r="S40" s="71"/>
      <c r="T40" s="71"/>
      <c r="U40" s="72"/>
    </row>
    <row r="41" spans="1:34" x14ac:dyDescent="0.3">
      <c r="A41" s="128">
        <f t="shared" si="9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8"/>
        <v>0</v>
      </c>
      <c r="K41" s="130" t="str">
        <f t="shared" si="7"/>
        <v>0</v>
      </c>
      <c r="L41" s="131"/>
      <c r="M41" s="131"/>
      <c r="N41" s="69"/>
      <c r="O41" s="316"/>
      <c r="P41" s="317"/>
      <c r="Q41" s="318"/>
      <c r="R41" s="80"/>
      <c r="S41" s="73"/>
      <c r="T41" s="73"/>
      <c r="U41" s="74"/>
    </row>
    <row r="42" spans="1:34" x14ac:dyDescent="0.3">
      <c r="A42" s="128">
        <f t="shared" si="9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8"/>
        <v>0</v>
      </c>
      <c r="K42" s="130" t="str">
        <f t="shared" si="7"/>
        <v>0</v>
      </c>
      <c r="L42" s="131"/>
      <c r="M42" s="131"/>
      <c r="N42" s="69"/>
      <c r="O42" s="303"/>
      <c r="P42" s="304"/>
      <c r="Q42" s="305"/>
      <c r="R42" s="80"/>
      <c r="S42" s="73"/>
      <c r="T42" s="73"/>
      <c r="U42" s="74"/>
    </row>
    <row r="43" spans="1:34" x14ac:dyDescent="0.3">
      <c r="A43" s="128">
        <f t="shared" si="9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8"/>
        <v>0</v>
      </c>
      <c r="K43" s="130" t="str">
        <f t="shared" si="7"/>
        <v>0</v>
      </c>
      <c r="L43" s="131"/>
      <c r="M43" s="131"/>
      <c r="N43" s="69"/>
      <c r="O43" s="313"/>
      <c r="P43" s="314"/>
      <c r="Q43" s="315"/>
      <c r="R43" s="78"/>
      <c r="S43" s="71"/>
      <c r="T43" s="71"/>
      <c r="U43" s="72"/>
    </row>
    <row r="44" spans="1:34" x14ac:dyDescent="0.3">
      <c r="A44" s="128">
        <f t="shared" si="9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8"/>
        <v>0</v>
      </c>
      <c r="K44" s="130" t="str">
        <f t="shared" si="7"/>
        <v>0</v>
      </c>
      <c r="L44" s="131"/>
      <c r="M44" s="131"/>
      <c r="N44" s="69"/>
      <c r="O44" s="313"/>
      <c r="P44" s="314"/>
      <c r="Q44" s="315"/>
      <c r="R44" s="5"/>
      <c r="S44" s="71"/>
      <c r="T44" s="71"/>
      <c r="U44" s="72"/>
    </row>
    <row r="45" spans="1:34" x14ac:dyDescent="0.3">
      <c r="A45" s="128">
        <f t="shared" si="9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8"/>
        <v>0</v>
      </c>
      <c r="K45" s="130" t="str">
        <f t="shared" si="7"/>
        <v>0</v>
      </c>
      <c r="L45" s="131"/>
      <c r="M45" s="131"/>
      <c r="N45" s="69"/>
      <c r="O45" s="313"/>
      <c r="P45" s="314"/>
      <c r="Q45" s="315"/>
      <c r="R45" s="5"/>
      <c r="S45" s="71"/>
      <c r="T45" s="71"/>
      <c r="U45" s="72"/>
    </row>
    <row r="46" spans="1:34" x14ac:dyDescent="0.3">
      <c r="A46" s="128">
        <f t="shared" si="9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8"/>
        <v>0</v>
      </c>
      <c r="K46" s="130" t="str">
        <f t="shared" si="7"/>
        <v>0</v>
      </c>
      <c r="L46" s="131"/>
      <c r="M46" s="131"/>
      <c r="N46" s="69"/>
      <c r="O46" s="313"/>
      <c r="P46" s="314"/>
      <c r="Q46" s="315"/>
      <c r="R46" s="5"/>
      <c r="S46" s="71"/>
      <c r="T46" s="71"/>
      <c r="U46" s="72"/>
    </row>
    <row r="47" spans="1:34" x14ac:dyDescent="0.3">
      <c r="A47" s="128">
        <f t="shared" si="9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8"/>
        <v>0</v>
      </c>
      <c r="K47" s="130" t="str">
        <f t="shared" si="7"/>
        <v>0</v>
      </c>
      <c r="L47" s="131"/>
      <c r="M47" s="131"/>
      <c r="N47" s="69"/>
      <c r="O47" s="313"/>
      <c r="P47" s="314"/>
      <c r="Q47" s="315"/>
      <c r="R47" s="5"/>
      <c r="S47" s="71"/>
      <c r="T47" s="71"/>
      <c r="U47" s="72"/>
    </row>
    <row r="48" spans="1:34" x14ac:dyDescent="0.3">
      <c r="A48" s="128">
        <f t="shared" si="9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8"/>
        <v>0</v>
      </c>
      <c r="K48" s="130" t="str">
        <f t="shared" si="7"/>
        <v>0</v>
      </c>
      <c r="L48" s="131"/>
      <c r="M48" s="131"/>
      <c r="N48" s="69"/>
      <c r="O48" s="313"/>
      <c r="P48" s="314"/>
      <c r="Q48" s="315"/>
      <c r="R48" s="5"/>
      <c r="S48" s="71"/>
      <c r="T48" s="71"/>
      <c r="U48" s="72"/>
    </row>
    <row r="49" spans="1:21" x14ac:dyDescent="0.3">
      <c r="A49" s="128">
        <f t="shared" si="9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8"/>
        <v>0</v>
      </c>
      <c r="K49" s="130" t="str">
        <f t="shared" si="7"/>
        <v>0</v>
      </c>
      <c r="L49" s="131"/>
      <c r="M49" s="131"/>
      <c r="N49" s="69"/>
      <c r="O49" s="313"/>
      <c r="P49" s="314"/>
      <c r="Q49" s="315"/>
      <c r="R49" s="5"/>
      <c r="S49" s="71"/>
      <c r="T49" s="75"/>
      <c r="U49" s="72"/>
    </row>
    <row r="50" spans="1:21" x14ac:dyDescent="0.3">
      <c r="A50" s="128">
        <f t="shared" si="9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8"/>
        <v>0</v>
      </c>
      <c r="K50" s="130" t="str">
        <f t="shared" si="7"/>
        <v>0</v>
      </c>
      <c r="L50" s="131"/>
      <c r="M50" s="131"/>
      <c r="N50" s="69"/>
      <c r="O50" s="313"/>
      <c r="P50" s="314"/>
      <c r="Q50" s="315"/>
      <c r="R50" s="5"/>
      <c r="S50" s="71"/>
      <c r="T50" s="75"/>
      <c r="U50" s="72"/>
    </row>
    <row r="51" spans="1:21" x14ac:dyDescent="0.3">
      <c r="A51" s="128">
        <f t="shared" si="9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8"/>
        <v>0</v>
      </c>
      <c r="K51" s="130" t="str">
        <f t="shared" si="7"/>
        <v>0</v>
      </c>
      <c r="L51" s="131"/>
      <c r="M51" s="131"/>
      <c r="N51" s="69"/>
      <c r="O51" s="313"/>
      <c r="P51" s="314"/>
      <c r="Q51" s="314"/>
      <c r="R51" s="5"/>
      <c r="S51" s="71"/>
      <c r="T51" s="75"/>
      <c r="U51" s="72"/>
    </row>
    <row r="52" spans="1:21" x14ac:dyDescent="0.3">
      <c r="A52" s="128">
        <f t="shared" si="9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8"/>
        <v>0</v>
      </c>
      <c r="K52" s="130" t="str">
        <f t="shared" si="7"/>
        <v>0</v>
      </c>
      <c r="L52" s="131"/>
      <c r="M52" s="131"/>
      <c r="N52" s="69"/>
      <c r="O52" s="313"/>
      <c r="P52" s="314"/>
      <c r="Q52" s="314"/>
      <c r="R52" s="81"/>
      <c r="S52" s="68"/>
      <c r="T52" s="76"/>
      <c r="U52" s="77"/>
    </row>
    <row r="53" spans="1:21" x14ac:dyDescent="0.3">
      <c r="A53" s="128">
        <f t="shared" si="9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8"/>
        <v>0</v>
      </c>
      <c r="K53" s="130" t="str">
        <f t="shared" si="7"/>
        <v>0</v>
      </c>
      <c r="L53" s="69"/>
      <c r="M53" s="69"/>
      <c r="N53" s="69"/>
      <c r="O53" s="355"/>
      <c r="P53" s="313"/>
      <c r="Q53" s="313"/>
      <c r="R53" s="81"/>
      <c r="S53" s="68"/>
      <c r="T53" s="76"/>
      <c r="U53" s="77"/>
    </row>
    <row r="54" spans="1:21" x14ac:dyDescent="0.3">
      <c r="A54" s="128">
        <f t="shared" si="9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8"/>
        <v>0</v>
      </c>
      <c r="K54" s="130" t="str">
        <f t="shared" si="7"/>
        <v>0</v>
      </c>
      <c r="L54" s="69"/>
      <c r="M54" s="69"/>
      <c r="N54" s="69"/>
      <c r="O54" s="355"/>
      <c r="P54" s="313"/>
      <c r="Q54" s="313"/>
      <c r="R54" s="81"/>
      <c r="S54" s="68"/>
      <c r="T54" s="76"/>
      <c r="U54" s="77"/>
    </row>
    <row r="55" spans="1:21" x14ac:dyDescent="0.3">
      <c r="A55" s="128">
        <f t="shared" si="9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8"/>
        <v>0</v>
      </c>
      <c r="K55" s="130" t="str">
        <f t="shared" si="7"/>
        <v>0</v>
      </c>
      <c r="L55" s="69"/>
      <c r="M55" s="69"/>
      <c r="N55" s="69"/>
      <c r="O55" s="355"/>
      <c r="P55" s="313"/>
      <c r="Q55" s="313"/>
      <c r="R55" s="81"/>
      <c r="S55" s="68"/>
      <c r="T55" s="76"/>
      <c r="U55" s="77"/>
    </row>
    <row r="56" spans="1:21" x14ac:dyDescent="0.3">
      <c r="A56" s="128">
        <f t="shared" si="9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8"/>
        <v>0</v>
      </c>
      <c r="K56" s="130" t="str">
        <f t="shared" si="7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9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8"/>
        <v>0</v>
      </c>
      <c r="K57" s="130" t="str">
        <f t="shared" si="7"/>
        <v>0</v>
      </c>
      <c r="L57" s="69"/>
      <c r="M57" s="69"/>
      <c r="N57" s="69"/>
      <c r="O57" s="313"/>
      <c r="P57" s="314"/>
      <c r="Q57" s="314"/>
      <c r="R57" s="81"/>
      <c r="S57" s="68"/>
      <c r="T57" s="68"/>
      <c r="U57" s="77"/>
    </row>
    <row r="58" spans="1:21" x14ac:dyDescent="0.3">
      <c r="A58" s="128">
        <f t="shared" si="9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8"/>
        <v>0</v>
      </c>
      <c r="K58" s="130" t="str">
        <f t="shared" si="7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9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8"/>
        <v>0</v>
      </c>
      <c r="K59" s="130" t="str">
        <f t="shared" si="7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9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8"/>
        <v>0</v>
      </c>
      <c r="K60" s="130" t="str">
        <f t="shared" si="7"/>
        <v>0</v>
      </c>
      <c r="L60" s="69"/>
      <c r="M60" s="69"/>
      <c r="N60" s="69"/>
      <c r="O60" s="313"/>
      <c r="P60" s="314"/>
      <c r="Q60" s="315"/>
      <c r="R60" s="81"/>
      <c r="S60" s="68"/>
      <c r="T60" s="68"/>
      <c r="U60" s="77"/>
    </row>
    <row r="61" spans="1:21" ht="17.25" thickBot="1" x14ac:dyDescent="0.35">
      <c r="A61" s="128">
        <f t="shared" si="9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8"/>
        <v>0</v>
      </c>
      <c r="K61" s="130" t="str">
        <f t="shared" si="7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3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10">SUM(H37:H61)</f>
        <v>0</v>
      </c>
      <c r="I62" s="365">
        <f t="shared" si="10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10"/>
        <v>0</v>
      </c>
      <c r="M62" s="371">
        <f t="shared" si="10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7.25" thickBot="1" x14ac:dyDescent="0.3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7.25" thickBot="1" x14ac:dyDescent="0.3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5"/>
      <c r="O64" s="336"/>
      <c r="P64" s="336"/>
      <c r="Q64" s="380"/>
      <c r="R64" s="381" t="s">
        <v>17</v>
      </c>
      <c r="S64" s="382"/>
      <c r="T64" s="382"/>
      <c r="U64" s="383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 t="str">
        <f>A34</f>
        <v>30-04-2022</v>
      </c>
      <c r="B66" s="297"/>
      <c r="C66" s="297"/>
      <c r="D66" s="297"/>
      <c r="E66" s="297"/>
      <c r="F66" s="297"/>
      <c r="G66" s="298"/>
      <c r="H66" s="299" t="s">
        <v>49</v>
      </c>
      <c r="I66" s="300"/>
      <c r="J66" s="296" t="str">
        <f>J34</f>
        <v>MIX</v>
      </c>
      <c r="K66" s="298"/>
      <c r="L66" s="300" t="s">
        <v>50</v>
      </c>
      <c r="M66" s="301"/>
      <c r="N66" s="299"/>
      <c r="O66" s="297" t="str">
        <f>O34</f>
        <v>JOHN</v>
      </c>
      <c r="P66" s="297"/>
      <c r="Q66" s="298"/>
      <c r="R66" s="300" t="s">
        <v>51</v>
      </c>
      <c r="S66" s="299"/>
      <c r="T66" s="302">
        <f>T34</f>
        <v>7</v>
      </c>
      <c r="U66" s="30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6" t="s">
        <v>8</v>
      </c>
      <c r="P68" s="306"/>
      <c r="Q68" s="30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11">IF(G69="GVS","37.5",IF(G69="GVM","41.5",IF(G69="GVL","50",IF(G69="PCS","45.8",IF(G69="PCM","50",IF(G69="PCL","58.3","0"))))))</f>
        <v>0</v>
      </c>
      <c r="L69" s="131"/>
      <c r="M69" s="131"/>
      <c r="N69" s="69"/>
      <c r="O69" s="313"/>
      <c r="P69" s="314"/>
      <c r="Q69" s="31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2">IF(G70="RSL","55","0")</f>
        <v>0</v>
      </c>
      <c r="K70" s="130" t="str">
        <f t="shared" si="11"/>
        <v>0</v>
      </c>
      <c r="L70" s="131"/>
      <c r="M70" s="131"/>
      <c r="N70" s="69"/>
      <c r="O70" s="354"/>
      <c r="P70" s="311"/>
      <c r="Q70" s="312"/>
      <c r="R70" s="78"/>
      <c r="S70" s="71"/>
      <c r="T70" s="16"/>
      <c r="U70" s="72"/>
    </row>
    <row r="71" spans="1:21" x14ac:dyDescent="0.3">
      <c r="A71" s="128">
        <f t="shared" ref="A71:A93" si="13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2"/>
        <v>0</v>
      </c>
      <c r="K71" s="130" t="str">
        <f t="shared" si="11"/>
        <v>0</v>
      </c>
      <c r="L71" s="131"/>
      <c r="M71" s="131"/>
      <c r="N71" s="69"/>
      <c r="O71" s="313"/>
      <c r="P71" s="314"/>
      <c r="Q71" s="315"/>
      <c r="R71" s="79"/>
      <c r="S71" s="13"/>
      <c r="T71" s="12"/>
      <c r="U71" s="72"/>
    </row>
    <row r="72" spans="1:21" x14ac:dyDescent="0.3">
      <c r="A72" s="128">
        <f t="shared" si="13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2"/>
        <v>0</v>
      </c>
      <c r="K72" s="130" t="str">
        <f t="shared" si="11"/>
        <v>0</v>
      </c>
      <c r="L72" s="131"/>
      <c r="M72" s="131"/>
      <c r="N72" s="69"/>
      <c r="O72" s="316"/>
      <c r="P72" s="317"/>
      <c r="Q72" s="318"/>
      <c r="R72" s="78"/>
      <c r="S72" s="71"/>
      <c r="T72" s="71"/>
      <c r="U72" s="72"/>
    </row>
    <row r="73" spans="1:21" x14ac:dyDescent="0.3">
      <c r="A73" s="128">
        <f t="shared" si="13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2"/>
        <v>0</v>
      </c>
      <c r="K73" s="130" t="str">
        <f t="shared" si="11"/>
        <v>0</v>
      </c>
      <c r="L73" s="131"/>
      <c r="M73" s="131"/>
      <c r="N73" s="69"/>
      <c r="O73" s="316"/>
      <c r="P73" s="317"/>
      <c r="Q73" s="318"/>
      <c r="R73" s="80"/>
      <c r="S73" s="73"/>
      <c r="T73" s="73"/>
      <c r="U73" s="74"/>
    </row>
    <row r="74" spans="1:21" x14ac:dyDescent="0.3">
      <c r="A74" s="128">
        <f t="shared" si="13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2"/>
        <v>0</v>
      </c>
      <c r="K74" s="130" t="str">
        <f t="shared" si="11"/>
        <v>0</v>
      </c>
      <c r="L74" s="131"/>
      <c r="M74" s="131"/>
      <c r="N74" s="69"/>
      <c r="O74" s="303"/>
      <c r="P74" s="304"/>
      <c r="Q74" s="305"/>
      <c r="R74" s="80"/>
      <c r="S74" s="73"/>
      <c r="T74" s="73"/>
      <c r="U74" s="74"/>
    </row>
    <row r="75" spans="1:21" x14ac:dyDescent="0.3">
      <c r="A75" s="128">
        <f t="shared" si="13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2"/>
        <v>0</v>
      </c>
      <c r="K75" s="130" t="str">
        <f t="shared" si="11"/>
        <v>0</v>
      </c>
      <c r="L75" s="131"/>
      <c r="M75" s="131"/>
      <c r="N75" s="69"/>
      <c r="O75" s="313"/>
      <c r="P75" s="314"/>
      <c r="Q75" s="315"/>
      <c r="R75" s="78"/>
      <c r="S75" s="71"/>
      <c r="T75" s="71"/>
      <c r="U75" s="72"/>
    </row>
    <row r="76" spans="1:21" x14ac:dyDescent="0.3">
      <c r="A76" s="128">
        <f t="shared" si="13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2"/>
        <v>0</v>
      </c>
      <c r="K76" s="130" t="str">
        <f t="shared" si="11"/>
        <v>0</v>
      </c>
      <c r="L76" s="131"/>
      <c r="M76" s="131"/>
      <c r="N76" s="69"/>
      <c r="O76" s="313"/>
      <c r="P76" s="314"/>
      <c r="Q76" s="315"/>
      <c r="R76" s="5"/>
      <c r="S76" s="71"/>
      <c r="T76" s="71"/>
      <c r="U76" s="72"/>
    </row>
    <row r="77" spans="1:21" x14ac:dyDescent="0.3">
      <c r="A77" s="128">
        <f t="shared" si="13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2"/>
        <v>0</v>
      </c>
      <c r="K77" s="130" t="str">
        <f t="shared" si="11"/>
        <v>0</v>
      </c>
      <c r="L77" s="131"/>
      <c r="M77" s="131"/>
      <c r="N77" s="69"/>
      <c r="O77" s="313"/>
      <c r="P77" s="314"/>
      <c r="Q77" s="315"/>
      <c r="R77" s="5"/>
      <c r="S77" s="71"/>
      <c r="T77" s="71"/>
      <c r="U77" s="72"/>
    </row>
    <row r="78" spans="1:21" x14ac:dyDescent="0.3">
      <c r="A78" s="128">
        <f t="shared" si="13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2"/>
        <v>0</v>
      </c>
      <c r="K78" s="130" t="str">
        <f t="shared" si="11"/>
        <v>0</v>
      </c>
      <c r="L78" s="131"/>
      <c r="M78" s="131"/>
      <c r="N78" s="69"/>
      <c r="O78" s="313"/>
      <c r="P78" s="314"/>
      <c r="Q78" s="315"/>
      <c r="R78" s="5"/>
      <c r="S78" s="71"/>
      <c r="T78" s="71"/>
      <c r="U78" s="72"/>
    </row>
    <row r="79" spans="1:21" x14ac:dyDescent="0.3">
      <c r="A79" s="128">
        <f t="shared" si="13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2"/>
        <v>0</v>
      </c>
      <c r="K79" s="130" t="str">
        <f t="shared" si="11"/>
        <v>0</v>
      </c>
      <c r="L79" s="131"/>
      <c r="M79" s="131"/>
      <c r="N79" s="69"/>
      <c r="O79" s="313"/>
      <c r="P79" s="314"/>
      <c r="Q79" s="315"/>
      <c r="R79" s="5"/>
      <c r="S79" s="71"/>
      <c r="T79" s="71"/>
      <c r="U79" s="72"/>
    </row>
    <row r="80" spans="1:21" x14ac:dyDescent="0.3">
      <c r="A80" s="128">
        <f t="shared" si="13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2"/>
        <v>0</v>
      </c>
      <c r="K80" s="130" t="str">
        <f t="shared" si="11"/>
        <v>0</v>
      </c>
      <c r="L80" s="131"/>
      <c r="M80" s="131"/>
      <c r="N80" s="69"/>
      <c r="O80" s="313"/>
      <c r="P80" s="314"/>
      <c r="Q80" s="315"/>
      <c r="R80" s="5"/>
      <c r="S80" s="71"/>
      <c r="T80" s="71"/>
      <c r="U80" s="72"/>
    </row>
    <row r="81" spans="1:21" x14ac:dyDescent="0.3">
      <c r="A81" s="128">
        <f t="shared" si="13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2"/>
        <v>0</v>
      </c>
      <c r="K81" s="130" t="str">
        <f t="shared" si="11"/>
        <v>0</v>
      </c>
      <c r="L81" s="131"/>
      <c r="M81" s="131"/>
      <c r="N81" s="69"/>
      <c r="O81" s="313"/>
      <c r="P81" s="314"/>
      <c r="Q81" s="315"/>
      <c r="R81" s="5"/>
      <c r="S81" s="71"/>
      <c r="T81" s="75"/>
      <c r="U81" s="72"/>
    </row>
    <row r="82" spans="1:21" x14ac:dyDescent="0.3">
      <c r="A82" s="128">
        <f t="shared" si="13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2"/>
        <v>0</v>
      </c>
      <c r="K82" s="130" t="str">
        <f t="shared" si="11"/>
        <v>0</v>
      </c>
      <c r="L82" s="131"/>
      <c r="M82" s="131"/>
      <c r="N82" s="69"/>
      <c r="O82" s="313"/>
      <c r="P82" s="314"/>
      <c r="Q82" s="315"/>
      <c r="R82" s="5"/>
      <c r="S82" s="71"/>
      <c r="T82" s="75"/>
      <c r="U82" s="72"/>
    </row>
    <row r="83" spans="1:21" x14ac:dyDescent="0.3">
      <c r="A83" s="128">
        <f t="shared" si="13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2"/>
        <v>0</v>
      </c>
      <c r="K83" s="130" t="str">
        <f t="shared" si="11"/>
        <v>0</v>
      </c>
      <c r="L83" s="131"/>
      <c r="M83" s="131"/>
      <c r="N83" s="69"/>
      <c r="O83" s="313"/>
      <c r="P83" s="314"/>
      <c r="Q83" s="314"/>
      <c r="R83" s="5"/>
      <c r="S83" s="71"/>
      <c r="T83" s="75"/>
      <c r="U83" s="72"/>
    </row>
    <row r="84" spans="1:21" x14ac:dyDescent="0.3">
      <c r="A84" s="128">
        <f t="shared" si="13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2"/>
        <v>0</v>
      </c>
      <c r="K84" s="130" t="str">
        <f t="shared" si="11"/>
        <v>0</v>
      </c>
      <c r="L84" s="131"/>
      <c r="M84" s="131"/>
      <c r="N84" s="69"/>
      <c r="O84" s="313"/>
      <c r="P84" s="314"/>
      <c r="Q84" s="314"/>
      <c r="R84" s="81"/>
      <c r="S84" s="68"/>
      <c r="T84" s="76"/>
      <c r="U84" s="77"/>
    </row>
    <row r="85" spans="1:21" x14ac:dyDescent="0.3">
      <c r="A85" s="128">
        <f t="shared" si="13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2"/>
        <v>0</v>
      </c>
      <c r="K85" s="130" t="str">
        <f t="shared" si="11"/>
        <v>0</v>
      </c>
      <c r="L85" s="69"/>
      <c r="M85" s="69"/>
      <c r="N85" s="69"/>
      <c r="O85" s="355"/>
      <c r="P85" s="313"/>
      <c r="Q85" s="313"/>
      <c r="R85" s="81"/>
      <c r="S85" s="68"/>
      <c r="T85" s="76"/>
      <c r="U85" s="77"/>
    </row>
    <row r="86" spans="1:21" x14ac:dyDescent="0.3">
      <c r="A86" s="128">
        <f t="shared" si="13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2"/>
        <v>0</v>
      </c>
      <c r="K86" s="130" t="str">
        <f t="shared" si="11"/>
        <v>0</v>
      </c>
      <c r="L86" s="69"/>
      <c r="M86" s="69"/>
      <c r="N86" s="69"/>
      <c r="O86" s="355"/>
      <c r="P86" s="313"/>
      <c r="Q86" s="313"/>
      <c r="R86" s="81"/>
      <c r="S86" s="68"/>
      <c r="T86" s="76"/>
      <c r="U86" s="77"/>
    </row>
    <row r="87" spans="1:21" x14ac:dyDescent="0.3">
      <c r="A87" s="128">
        <f t="shared" si="13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2"/>
        <v>0</v>
      </c>
      <c r="K87" s="130" t="str">
        <f t="shared" si="11"/>
        <v>0</v>
      </c>
      <c r="L87" s="69"/>
      <c r="M87" s="69"/>
      <c r="N87" s="69"/>
      <c r="O87" s="355"/>
      <c r="P87" s="313"/>
      <c r="Q87" s="313"/>
      <c r="R87" s="81"/>
      <c r="S87" s="68"/>
      <c r="T87" s="76"/>
      <c r="U87" s="77"/>
    </row>
    <row r="88" spans="1:21" x14ac:dyDescent="0.3">
      <c r="A88" s="128">
        <f t="shared" si="13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2"/>
        <v>0</v>
      </c>
      <c r="K88" s="130" t="str">
        <f t="shared" si="11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3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2"/>
        <v>0</v>
      </c>
      <c r="K89" s="130" t="str">
        <f t="shared" si="11"/>
        <v>0</v>
      </c>
      <c r="L89" s="69"/>
      <c r="M89" s="69"/>
      <c r="N89" s="69"/>
      <c r="O89" s="313"/>
      <c r="P89" s="314"/>
      <c r="Q89" s="314"/>
      <c r="R89" s="81"/>
      <c r="S89" s="68"/>
      <c r="T89" s="68"/>
      <c r="U89" s="77"/>
    </row>
    <row r="90" spans="1:21" x14ac:dyDescent="0.3">
      <c r="A90" s="128">
        <f t="shared" si="13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2"/>
        <v>0</v>
      </c>
      <c r="K90" s="130" t="str">
        <f t="shared" si="11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3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2"/>
        <v>0</v>
      </c>
      <c r="K91" s="130" t="str">
        <f t="shared" si="11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3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2"/>
        <v>0</v>
      </c>
      <c r="K92" s="130" t="str">
        <f t="shared" si="11"/>
        <v>0</v>
      </c>
      <c r="L92" s="69"/>
      <c r="M92" s="69"/>
      <c r="N92" s="69"/>
      <c r="O92" s="313"/>
      <c r="P92" s="314"/>
      <c r="Q92" s="315"/>
      <c r="R92" s="81"/>
      <c r="S92" s="68"/>
      <c r="T92" s="68"/>
      <c r="U92" s="77"/>
    </row>
    <row r="93" spans="1:21" ht="17.25" thickBot="1" x14ac:dyDescent="0.35">
      <c r="A93" s="128">
        <f t="shared" si="13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2"/>
        <v>0</v>
      </c>
      <c r="K93" s="130" t="str">
        <f t="shared" si="11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3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4">SUM(H69:H93)</f>
        <v>0</v>
      </c>
      <c r="I94" s="365">
        <f t="shared" si="14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4"/>
        <v>0</v>
      </c>
      <c r="M94" s="371">
        <f t="shared" si="14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7.25" thickBot="1" x14ac:dyDescent="0.3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7.25" thickBot="1" x14ac:dyDescent="0.3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5"/>
      <c r="O96" s="336"/>
      <c r="P96" s="336"/>
      <c r="Q96" s="380"/>
      <c r="R96" s="381" t="s">
        <v>52</v>
      </c>
      <c r="S96" s="382"/>
      <c r="T96" s="382"/>
      <c r="U96" s="383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R11" sqref="R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6" t="s">
        <v>397</v>
      </c>
      <c r="B2" s="297"/>
      <c r="C2" s="297"/>
      <c r="D2" s="297"/>
      <c r="E2" s="297"/>
      <c r="F2" s="297"/>
      <c r="G2" s="298"/>
      <c r="H2" s="299" t="s">
        <v>49</v>
      </c>
      <c r="I2" s="300"/>
      <c r="J2" s="296" t="s">
        <v>240</v>
      </c>
      <c r="K2" s="298"/>
      <c r="L2" s="300" t="s">
        <v>96</v>
      </c>
      <c r="M2" s="301"/>
      <c r="N2" s="299"/>
      <c r="O2" s="297" t="s">
        <v>99</v>
      </c>
      <c r="P2" s="297"/>
      <c r="Q2" s="298"/>
      <c r="R2" s="300" t="s">
        <v>51</v>
      </c>
      <c r="S2" s="299"/>
      <c r="T2" s="302">
        <v>8</v>
      </c>
      <c r="U2" s="30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6" t="s">
        <v>8</v>
      </c>
      <c r="P4" s="306"/>
      <c r="Q4" s="30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3186</v>
      </c>
      <c r="C5" s="68" t="s">
        <v>332</v>
      </c>
      <c r="D5" s="200" t="s">
        <v>333</v>
      </c>
      <c r="E5" s="181" t="s">
        <v>181</v>
      </c>
      <c r="F5" s="170">
        <v>800</v>
      </c>
      <c r="G5" s="118" t="s">
        <v>142</v>
      </c>
      <c r="H5" s="91"/>
      <c r="I5" s="124">
        <v>100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7"/>
      <c r="P5" s="308"/>
      <c r="Q5" s="309"/>
      <c r="R5" s="33" t="s">
        <v>99</v>
      </c>
      <c r="S5" s="31">
        <v>0.34375</v>
      </c>
      <c r="T5" s="32">
        <v>0.72916666666666663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3187</v>
      </c>
      <c r="C6" s="67"/>
      <c r="D6" s="200"/>
      <c r="E6" s="181" t="s">
        <v>91</v>
      </c>
      <c r="F6" s="171">
        <v>800</v>
      </c>
      <c r="G6" s="118" t="s">
        <v>44</v>
      </c>
      <c r="H6" s="91">
        <v>20</v>
      </c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54" t="s">
        <v>340</v>
      </c>
      <c r="P6" s="311"/>
      <c r="Q6" s="312"/>
      <c r="R6" s="132" t="s">
        <v>103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3188</v>
      </c>
      <c r="C7" s="67" t="s">
        <v>334</v>
      </c>
      <c r="D7" s="200" t="s">
        <v>335</v>
      </c>
      <c r="E7" s="181" t="s">
        <v>287</v>
      </c>
      <c r="F7" s="171">
        <v>850</v>
      </c>
      <c r="G7" s="118" t="s">
        <v>113</v>
      </c>
      <c r="H7" s="91"/>
      <c r="I7" s="124">
        <v>90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3"/>
      <c r="P7" s="314"/>
      <c r="Q7" s="315"/>
      <c r="R7" s="134" t="s">
        <v>101</v>
      </c>
      <c r="S7" s="31">
        <v>0.36458333333333331</v>
      </c>
      <c r="T7" s="32">
        <v>0.72916666666666663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3189</v>
      </c>
      <c r="C8" s="27" t="s">
        <v>336</v>
      </c>
      <c r="D8" s="200" t="s">
        <v>337</v>
      </c>
      <c r="E8" s="181" t="s">
        <v>92</v>
      </c>
      <c r="F8" s="171">
        <v>855</v>
      </c>
      <c r="G8" s="118" t="s">
        <v>117</v>
      </c>
      <c r="H8" s="91"/>
      <c r="I8" s="124">
        <v>70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6"/>
      <c r="P8" s="317"/>
      <c r="Q8" s="318"/>
      <c r="R8" s="26" t="s">
        <v>102</v>
      </c>
      <c r="S8" s="31">
        <v>0.36458333333333331</v>
      </c>
      <c r="T8" s="32">
        <v>0.72916666666666663</v>
      </c>
      <c r="U8" s="92">
        <f t="shared" si="0"/>
        <v>8.75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3190</v>
      </c>
      <c r="C9" s="63" t="s">
        <v>341</v>
      </c>
      <c r="D9" s="201" t="s">
        <v>342</v>
      </c>
      <c r="E9" s="181" t="s">
        <v>91</v>
      </c>
      <c r="F9" s="172">
        <v>930</v>
      </c>
      <c r="G9" s="119" t="s">
        <v>113</v>
      </c>
      <c r="H9" s="91"/>
      <c r="I9" s="91">
        <v>120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400</v>
      </c>
      <c r="O9" s="316"/>
      <c r="P9" s="317"/>
      <c r="Q9" s="318"/>
      <c r="R9" s="26" t="s">
        <v>331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3191</v>
      </c>
      <c r="C10" s="28" t="s">
        <v>338</v>
      </c>
      <c r="D10" s="202" t="s">
        <v>339</v>
      </c>
      <c r="E10" s="181" t="s">
        <v>91</v>
      </c>
      <c r="F10" s="173">
        <v>945</v>
      </c>
      <c r="G10" s="120" t="s">
        <v>113</v>
      </c>
      <c r="H10" s="123"/>
      <c r="I10" s="125">
        <v>120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3"/>
      <c r="P10" s="304"/>
      <c r="Q10" s="305"/>
      <c r="R10" s="26" t="s">
        <v>213</v>
      </c>
      <c r="S10" s="31">
        <v>0.375</v>
      </c>
      <c r="T10" s="32">
        <v>0.70833333333333337</v>
      </c>
      <c r="U10" s="92">
        <f t="shared" si="0"/>
        <v>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3192</v>
      </c>
      <c r="C11" s="18" t="s">
        <v>343</v>
      </c>
      <c r="D11" s="203" t="s">
        <v>344</v>
      </c>
      <c r="E11" s="181" t="s">
        <v>91</v>
      </c>
      <c r="F11" s="66">
        <v>100</v>
      </c>
      <c r="G11" s="121" t="s">
        <v>139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3"/>
      <c r="P11" s="314"/>
      <c r="Q11" s="315"/>
      <c r="R11" s="26" t="s">
        <v>398</v>
      </c>
      <c r="S11" s="31">
        <v>0.4375</v>
      </c>
      <c r="T11" s="32">
        <v>0.66666666666666663</v>
      </c>
      <c r="U11" s="92">
        <f t="shared" si="0"/>
        <v>5.4999999999999991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3193</v>
      </c>
      <c r="C12" s="64" t="s">
        <v>345</v>
      </c>
      <c r="D12" s="204" t="s">
        <v>346</v>
      </c>
      <c r="E12" s="181" t="s">
        <v>91</v>
      </c>
      <c r="F12" s="173">
        <v>1020</v>
      </c>
      <c r="G12" s="119" t="s">
        <v>117</v>
      </c>
      <c r="H12" s="123"/>
      <c r="I12" s="125">
        <v>85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3"/>
      <c r="P12" s="314"/>
      <c r="Q12" s="315"/>
      <c r="R12" s="26" t="s">
        <v>399</v>
      </c>
      <c r="S12" s="31">
        <v>0.39583333333333331</v>
      </c>
      <c r="T12" s="32">
        <v>0.70833333333333337</v>
      </c>
      <c r="U12" s="92">
        <f t="shared" si="0"/>
        <v>7.5000000000000018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3194</v>
      </c>
      <c r="C13" s="64" t="s">
        <v>347</v>
      </c>
      <c r="D13" s="204" t="s">
        <v>348</v>
      </c>
      <c r="E13" s="181" t="s">
        <v>91</v>
      </c>
      <c r="F13" s="173">
        <v>1025</v>
      </c>
      <c r="G13" s="119" t="s">
        <v>117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3"/>
      <c r="P13" s="314"/>
      <c r="Q13" s="31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3195</v>
      </c>
      <c r="C14" s="65" t="s">
        <v>349</v>
      </c>
      <c r="D14" s="205" t="s">
        <v>350</v>
      </c>
      <c r="E14" s="181" t="s">
        <v>91</v>
      </c>
      <c r="F14" s="174">
        <v>1030</v>
      </c>
      <c r="G14" s="122" t="s">
        <v>117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3"/>
      <c r="P14" s="314"/>
      <c r="Q14" s="31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3196</v>
      </c>
      <c r="C15" s="65" t="s">
        <v>351</v>
      </c>
      <c r="D15" s="205" t="s">
        <v>352</v>
      </c>
      <c r="E15" s="181" t="s">
        <v>92</v>
      </c>
      <c r="F15" s="174">
        <v>1050</v>
      </c>
      <c r="G15" s="122" t="s">
        <v>117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3"/>
      <c r="P15" s="314"/>
      <c r="Q15" s="315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3197</v>
      </c>
      <c r="C16" s="65" t="s">
        <v>353</v>
      </c>
      <c r="D16" s="205" t="s">
        <v>354</v>
      </c>
      <c r="E16" s="181" t="s">
        <v>92</v>
      </c>
      <c r="F16" s="174">
        <v>1115</v>
      </c>
      <c r="G16" s="122" t="s">
        <v>117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3"/>
      <c r="P16" s="314"/>
      <c r="Q16" s="315"/>
      <c r="R16" s="82">
        <f>H32/U16</f>
        <v>0.47509578544061304</v>
      </c>
      <c r="S16" s="83">
        <f>H32/(U16-U5)</f>
        <v>0.5535714285714286</v>
      </c>
      <c r="T16" s="83">
        <f>C32/U16</f>
        <v>51.684291187739468</v>
      </c>
      <c r="U16" s="83">
        <f>SUM(U5:U15)</f>
        <v>65.25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3198</v>
      </c>
      <c r="C17" s="18" t="s">
        <v>355</v>
      </c>
      <c r="D17" s="203" t="s">
        <v>356</v>
      </c>
      <c r="E17" s="181" t="s">
        <v>92</v>
      </c>
      <c r="F17" s="66">
        <v>1115</v>
      </c>
      <c r="G17" s="121" t="s">
        <v>113</v>
      </c>
      <c r="H17" s="123"/>
      <c r="I17" s="124">
        <v>140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3"/>
      <c r="P17" s="314"/>
      <c r="Q17" s="315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3199</v>
      </c>
      <c r="C18" s="18" t="s">
        <v>357</v>
      </c>
      <c r="D18" s="203" t="s">
        <v>358</v>
      </c>
      <c r="E18" s="181" t="s">
        <v>92</v>
      </c>
      <c r="F18" s="66">
        <v>1140</v>
      </c>
      <c r="G18" s="20" t="s">
        <v>117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3"/>
      <c r="P18" s="314"/>
      <c r="Q18" s="315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3200</v>
      </c>
      <c r="C19" s="18" t="s">
        <v>359</v>
      </c>
      <c r="D19" s="203" t="s">
        <v>360</v>
      </c>
      <c r="E19" s="181" t="s">
        <v>92</v>
      </c>
      <c r="F19" s="66">
        <v>1150</v>
      </c>
      <c r="G19" s="121" t="s">
        <v>117</v>
      </c>
      <c r="H19" s="123"/>
      <c r="I19" s="124">
        <v>125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3"/>
      <c r="P19" s="314"/>
      <c r="Q19" s="314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3201</v>
      </c>
      <c r="C20" s="18" t="s">
        <v>361</v>
      </c>
      <c r="D20" s="203" t="s">
        <v>362</v>
      </c>
      <c r="E20" s="181" t="s">
        <v>92</v>
      </c>
      <c r="F20" s="66">
        <v>1150</v>
      </c>
      <c r="G20" s="121" t="s">
        <v>117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1"/>
      <c r="P20" s="322"/>
      <c r="Q20" s="322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3202</v>
      </c>
      <c r="C21" s="18" t="s">
        <v>363</v>
      </c>
      <c r="D21" s="203" t="s">
        <v>364</v>
      </c>
      <c r="E21" s="181" t="s">
        <v>92</v>
      </c>
      <c r="F21" s="66">
        <v>1200</v>
      </c>
      <c r="G21" s="20" t="s">
        <v>122</v>
      </c>
      <c r="H21" s="123"/>
      <c r="I21" s="124">
        <v>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3"/>
      <c r="P21" s="314"/>
      <c r="Q21" s="314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3203</v>
      </c>
      <c r="C22" s="127" t="s">
        <v>365</v>
      </c>
      <c r="D22" s="206" t="s">
        <v>366</v>
      </c>
      <c r="E22" s="181" t="s">
        <v>91</v>
      </c>
      <c r="F22" s="175">
        <v>1200</v>
      </c>
      <c r="G22" s="263" t="s">
        <v>113</v>
      </c>
      <c r="H22" s="89"/>
      <c r="I22" s="141">
        <v>150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3"/>
      <c r="P22" s="314"/>
      <c r="Q22" s="315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3204</v>
      </c>
      <c r="C23" s="136" t="s">
        <v>367</v>
      </c>
      <c r="D23" s="207" t="s">
        <v>368</v>
      </c>
      <c r="E23" s="181" t="s">
        <v>91</v>
      </c>
      <c r="F23" s="176">
        <v>1210</v>
      </c>
      <c r="G23" s="165" t="s">
        <v>369</v>
      </c>
      <c r="H23" s="89"/>
      <c r="I23" s="141">
        <v>480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19"/>
      <c r="Y23" s="320"/>
      <c r="Z23" s="320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3205</v>
      </c>
      <c r="C24" s="127" t="s">
        <v>370</v>
      </c>
      <c r="D24" s="206" t="s">
        <v>371</v>
      </c>
      <c r="E24" s="181" t="s">
        <v>92</v>
      </c>
      <c r="F24" s="175">
        <v>1245</v>
      </c>
      <c r="G24" s="263" t="s">
        <v>117</v>
      </c>
      <c r="H24" s="89"/>
      <c r="I24" s="141">
        <v>80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3"/>
      <c r="P24" s="314"/>
      <c r="Q24" s="315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3206</v>
      </c>
      <c r="C25" s="132" t="s">
        <v>372</v>
      </c>
      <c r="D25" s="208" t="s">
        <v>373</v>
      </c>
      <c r="E25" s="181" t="s">
        <v>92</v>
      </c>
      <c r="F25" s="175">
        <v>1330</v>
      </c>
      <c r="G25" s="263" t="s">
        <v>139</v>
      </c>
      <c r="H25" s="90"/>
      <c r="I25" s="90">
        <v>55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13"/>
      <c r="P25" s="314"/>
      <c r="Q25" s="315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3">
        <f>((C32+(R26+S26+T26)*0.5))</f>
        <v>3372.4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3207</v>
      </c>
      <c r="C26" s="27" t="s">
        <v>374</v>
      </c>
      <c r="D26" s="209" t="s">
        <v>375</v>
      </c>
      <c r="E26" s="181" t="s">
        <v>92</v>
      </c>
      <c r="F26" s="177">
        <v>1330</v>
      </c>
      <c r="G26" s="20" t="s">
        <v>167</v>
      </c>
      <c r="H26" s="89"/>
      <c r="I26" s="141"/>
      <c r="J26" s="130" t="str">
        <f t="shared" si="1"/>
        <v>0</v>
      </c>
      <c r="K26" s="130">
        <v>58.3</v>
      </c>
      <c r="L26" s="69"/>
      <c r="M26" s="69"/>
      <c r="N26" s="134" t="s">
        <v>99</v>
      </c>
      <c r="O26" s="313" t="s">
        <v>376</v>
      </c>
      <c r="P26" s="314"/>
      <c r="Q26" s="315"/>
      <c r="R26" s="112">
        <f>R25*37.5</f>
        <v>0</v>
      </c>
      <c r="S26" s="102">
        <f>S25*41.5</f>
        <v>0</v>
      </c>
      <c r="T26" s="102">
        <f>T25*50</f>
        <v>0</v>
      </c>
      <c r="U26" s="324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3208</v>
      </c>
      <c r="C27" s="27" t="s">
        <v>377</v>
      </c>
      <c r="D27" s="209" t="s">
        <v>378</v>
      </c>
      <c r="E27" s="181" t="s">
        <v>91</v>
      </c>
      <c r="F27" s="177">
        <v>1345</v>
      </c>
      <c r="G27" s="20" t="s">
        <v>113</v>
      </c>
      <c r="H27" s="89"/>
      <c r="I27" s="141">
        <v>150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13"/>
      <c r="P27" s="314"/>
      <c r="Q27" s="315"/>
      <c r="R27" s="332" t="s">
        <v>56</v>
      </c>
      <c r="S27" s="333"/>
      <c r="T27" s="333"/>
      <c r="U27" s="33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3209</v>
      </c>
      <c r="C28" s="27" t="s">
        <v>379</v>
      </c>
      <c r="D28" s="209" t="s">
        <v>380</v>
      </c>
      <c r="E28" s="181" t="s">
        <v>91</v>
      </c>
      <c r="F28" s="177">
        <v>1410</v>
      </c>
      <c r="G28" s="20" t="s">
        <v>381</v>
      </c>
      <c r="H28" s="89"/>
      <c r="I28" s="141">
        <v>300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13"/>
      <c r="P28" s="314"/>
      <c r="Q28" s="315"/>
      <c r="R28" s="325"/>
      <c r="S28" s="326"/>
      <c r="T28" s="32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3210</v>
      </c>
      <c r="C29" s="34" t="s">
        <v>382</v>
      </c>
      <c r="D29" s="210" t="s">
        <v>383</v>
      </c>
      <c r="E29" s="182" t="s">
        <v>92</v>
      </c>
      <c r="F29" s="177">
        <v>1415</v>
      </c>
      <c r="G29" s="20" t="s">
        <v>117</v>
      </c>
      <c r="H29" s="89"/>
      <c r="I29" s="89">
        <v>95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190</v>
      </c>
      <c r="I30" s="105">
        <f>SUM(I5:I29)</f>
        <v>2605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190</v>
      </c>
      <c r="I31" s="103">
        <f t="shared" si="4"/>
        <v>2990</v>
      </c>
      <c r="J31" s="103">
        <f t="shared" si="4"/>
        <v>55</v>
      </c>
      <c r="K31" s="103">
        <f>K30+K62+K94</f>
        <v>137.39999999999998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26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190</v>
      </c>
      <c r="T31" s="337">
        <f>H31+I31+L31+M31</f>
        <v>3180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8" t="s">
        <v>55</v>
      </c>
      <c r="B32" s="329"/>
      <c r="C32" s="107">
        <f>H31+I31+J31+K31</f>
        <v>3372.4</v>
      </c>
      <c r="D32" s="196"/>
      <c r="E32" s="107"/>
      <c r="F32" s="330" t="s">
        <v>53</v>
      </c>
      <c r="G32" s="330"/>
      <c r="H32" s="109">
        <f>COUNT(B5:B29,B37:B61,B69:B93)</f>
        <v>31</v>
      </c>
      <c r="I32" s="331" t="s">
        <v>54</v>
      </c>
      <c r="J32" s="331"/>
      <c r="K32" s="108">
        <f>C32/H32</f>
        <v>108.78709677419356</v>
      </c>
      <c r="L32" s="260"/>
      <c r="M32" s="260"/>
      <c r="N32" s="260">
        <f>H31/C32</f>
        <v>5.6339698730874153E-2</v>
      </c>
      <c r="O32" s="260">
        <f>I31/C32</f>
        <v>0.8866089431858617</v>
      </c>
      <c r="P32" s="260">
        <f>K31/C32</f>
        <v>4.0742497924326881E-2</v>
      </c>
      <c r="Q32" s="110">
        <f>J31/C32</f>
        <v>1.6308860158937254E-2</v>
      </c>
      <c r="R32" s="99" t="s">
        <v>82</v>
      </c>
      <c r="S32" s="266">
        <f>I31+M31</f>
        <v>2990</v>
      </c>
      <c r="T32" s="339"/>
      <c r="U32" s="340"/>
      <c r="V32" s="55"/>
      <c r="W32" s="55"/>
      <c r="X32" s="56" t="s">
        <v>27</v>
      </c>
      <c r="Y32" s="56"/>
      <c r="Z32" s="54">
        <f>I31</f>
        <v>2990</v>
      </c>
      <c r="AE32" s="37"/>
      <c r="AF32" s="37"/>
      <c r="AG32" s="37"/>
      <c r="AH32" s="37"/>
    </row>
    <row r="33" spans="1:34" ht="17.25" thickBot="1" x14ac:dyDescent="0.35">
      <c r="A33" s="335" t="s">
        <v>24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297"/>
      <c r="U33" s="298"/>
      <c r="X33" s="57" t="s">
        <v>29</v>
      </c>
      <c r="Y33" s="57"/>
      <c r="Z33" s="58">
        <f>SUM(Z31:Z32)</f>
        <v>245</v>
      </c>
      <c r="AE33" s="37"/>
      <c r="AF33" s="37"/>
      <c r="AG33" s="59"/>
      <c r="AH33" s="37"/>
    </row>
    <row r="34" spans="1:34" ht="17.25" thickBot="1" x14ac:dyDescent="0.35">
      <c r="A34" s="296" t="str">
        <f>A2</f>
        <v>01-05-2022</v>
      </c>
      <c r="B34" s="297"/>
      <c r="C34" s="297"/>
      <c r="D34" s="297"/>
      <c r="E34" s="297"/>
      <c r="F34" s="297"/>
      <c r="G34" s="298"/>
      <c r="H34" s="299" t="s">
        <v>49</v>
      </c>
      <c r="I34" s="300"/>
      <c r="J34" s="296" t="str">
        <f>J2</f>
        <v>SUNNY</v>
      </c>
      <c r="K34" s="298"/>
      <c r="L34" s="300" t="s">
        <v>50</v>
      </c>
      <c r="M34" s="301"/>
      <c r="N34" s="299"/>
      <c r="O34" s="297" t="str">
        <f>O2</f>
        <v>JOHN</v>
      </c>
      <c r="P34" s="297"/>
      <c r="Q34" s="298"/>
      <c r="R34" s="300" t="s">
        <v>51</v>
      </c>
      <c r="S34" s="299"/>
      <c r="T34" s="302">
        <f>T2</f>
        <v>8</v>
      </c>
      <c r="U34" s="30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6" t="s">
        <v>8</v>
      </c>
      <c r="P36" s="306"/>
      <c r="Q36" s="30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3211</v>
      </c>
      <c r="C37" s="68" t="s">
        <v>384</v>
      </c>
      <c r="D37" s="258" t="s">
        <v>385</v>
      </c>
      <c r="E37" s="181" t="s">
        <v>91</v>
      </c>
      <c r="F37" s="174">
        <v>1415</v>
      </c>
      <c r="G37" s="118" t="s">
        <v>117</v>
      </c>
      <c r="H37" s="91"/>
      <c r="I37" s="124">
        <v>75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99</v>
      </c>
      <c r="O37" s="313"/>
      <c r="P37" s="314"/>
      <c r="Q37" s="315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3212</v>
      </c>
      <c r="C38" s="67" t="s">
        <v>386</v>
      </c>
      <c r="D38" s="195" t="s">
        <v>387</v>
      </c>
      <c r="E38" s="181" t="s">
        <v>92</v>
      </c>
      <c r="F38" s="179">
        <v>1430</v>
      </c>
      <c r="G38" s="118" t="s">
        <v>139</v>
      </c>
      <c r="H38" s="91"/>
      <c r="I38" s="124">
        <v>75</v>
      </c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 t="s">
        <v>99</v>
      </c>
      <c r="O38" s="354"/>
      <c r="P38" s="311"/>
      <c r="Q38" s="312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3213</v>
      </c>
      <c r="C39" s="27" t="s">
        <v>388</v>
      </c>
      <c r="D39" s="183" t="s">
        <v>389</v>
      </c>
      <c r="E39" s="181" t="s">
        <v>92</v>
      </c>
      <c r="F39" s="179">
        <v>1430</v>
      </c>
      <c r="G39" s="118" t="s">
        <v>117</v>
      </c>
      <c r="H39" s="91"/>
      <c r="I39" s="124">
        <v>75</v>
      </c>
      <c r="J39" s="130" t="str">
        <f t="shared" si="6"/>
        <v>0</v>
      </c>
      <c r="K39" s="130" t="str">
        <f t="shared" si="5"/>
        <v>0</v>
      </c>
      <c r="L39" s="131"/>
      <c r="M39" s="131"/>
      <c r="N39" s="69" t="s">
        <v>99</v>
      </c>
      <c r="O39" s="313"/>
      <c r="P39" s="314"/>
      <c r="Q39" s="315"/>
      <c r="R39" s="79"/>
      <c r="S39" s="13"/>
      <c r="T39" s="12"/>
      <c r="U39" s="72"/>
    </row>
    <row r="40" spans="1:34" x14ac:dyDescent="0.3">
      <c r="A40" s="128">
        <f t="shared" si="7"/>
        <v>29</v>
      </c>
      <c r="B40" s="285">
        <v>3214</v>
      </c>
      <c r="C40" s="63" t="s">
        <v>390</v>
      </c>
      <c r="D40" s="184" t="s">
        <v>391</v>
      </c>
      <c r="E40" s="181" t="s">
        <v>92</v>
      </c>
      <c r="F40" s="180">
        <v>1515</v>
      </c>
      <c r="G40" s="119" t="s">
        <v>145</v>
      </c>
      <c r="H40" s="91"/>
      <c r="I40" s="91"/>
      <c r="J40" s="130" t="str">
        <f t="shared" si="6"/>
        <v>0</v>
      </c>
      <c r="K40" s="130">
        <v>79.099999999999994</v>
      </c>
      <c r="L40" s="131"/>
      <c r="M40" s="131"/>
      <c r="N40" s="69" t="s">
        <v>99</v>
      </c>
      <c r="O40" s="316" t="s">
        <v>392</v>
      </c>
      <c r="P40" s="317"/>
      <c r="Q40" s="318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3215</v>
      </c>
      <c r="C41" s="63" t="s">
        <v>393</v>
      </c>
      <c r="D41" s="184" t="s">
        <v>394</v>
      </c>
      <c r="E41" s="181" t="s">
        <v>91</v>
      </c>
      <c r="F41" s="180">
        <v>1525</v>
      </c>
      <c r="G41" s="119" t="s">
        <v>117</v>
      </c>
      <c r="H41" s="91"/>
      <c r="I41" s="91">
        <v>75</v>
      </c>
      <c r="J41" s="130" t="str">
        <f t="shared" si="6"/>
        <v>0</v>
      </c>
      <c r="K41" s="130" t="str">
        <f t="shared" si="5"/>
        <v>0</v>
      </c>
      <c r="L41" s="131"/>
      <c r="M41" s="131"/>
      <c r="N41" s="69" t="s">
        <v>99</v>
      </c>
      <c r="O41" s="316"/>
      <c r="P41" s="317"/>
      <c r="Q41" s="318"/>
      <c r="R41" s="80"/>
      <c r="S41" s="73"/>
      <c r="T41" s="73"/>
      <c r="U41" s="74"/>
    </row>
    <row r="42" spans="1:34" x14ac:dyDescent="0.3">
      <c r="A42" s="128">
        <f t="shared" si="7"/>
        <v>31</v>
      </c>
      <c r="B42" s="285">
        <v>3216</v>
      </c>
      <c r="C42" s="28" t="s">
        <v>395</v>
      </c>
      <c r="D42" s="185" t="s">
        <v>396</v>
      </c>
      <c r="E42" s="181" t="s">
        <v>91</v>
      </c>
      <c r="F42" s="173">
        <v>1550</v>
      </c>
      <c r="G42" s="120" t="s">
        <v>117</v>
      </c>
      <c r="H42" s="123"/>
      <c r="I42" s="125">
        <v>85</v>
      </c>
      <c r="J42" s="130" t="str">
        <f t="shared" si="6"/>
        <v>0</v>
      </c>
      <c r="K42" s="130" t="str">
        <f t="shared" si="5"/>
        <v>0</v>
      </c>
      <c r="L42" s="131"/>
      <c r="M42" s="131"/>
      <c r="N42" s="69" t="s">
        <v>99</v>
      </c>
      <c r="O42" s="303" t="s">
        <v>114</v>
      </c>
      <c r="P42" s="304"/>
      <c r="Q42" s="305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3"/>
      <c r="P43" s="314"/>
      <c r="Q43" s="315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3"/>
      <c r="P44" s="314"/>
      <c r="Q44" s="315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3"/>
      <c r="P45" s="314"/>
      <c r="Q45" s="315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3"/>
      <c r="P46" s="314"/>
      <c r="Q46" s="315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3"/>
      <c r="P47" s="314"/>
      <c r="Q47" s="315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3"/>
      <c r="P48" s="314"/>
      <c r="Q48" s="315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3"/>
      <c r="P49" s="314"/>
      <c r="Q49" s="315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3"/>
      <c r="P50" s="314"/>
      <c r="Q50" s="315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3"/>
      <c r="P51" s="314"/>
      <c r="Q51" s="314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3"/>
      <c r="P52" s="314"/>
      <c r="Q52" s="314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3"/>
      <c r="Q53" s="313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3"/>
      <c r="Q54" s="313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3"/>
      <c r="Q55" s="313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4"/>
      <c r="P56" s="314"/>
      <c r="Q56" s="314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3"/>
      <c r="P57" s="314"/>
      <c r="Q57" s="314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4"/>
      <c r="P58" s="314"/>
      <c r="Q58" s="314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4"/>
      <c r="P59" s="314"/>
      <c r="Q59" s="314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3"/>
      <c r="P60" s="314"/>
      <c r="Q60" s="315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3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385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79.099999999999994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7.25" thickBot="1" x14ac:dyDescent="0.3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7.25" thickBot="1" x14ac:dyDescent="0.3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5"/>
      <c r="O64" s="336"/>
      <c r="P64" s="336"/>
      <c r="Q64" s="380"/>
      <c r="R64" s="381" t="s">
        <v>17</v>
      </c>
      <c r="S64" s="382"/>
      <c r="T64" s="382"/>
      <c r="U64" s="383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 t="str">
        <f>A34</f>
        <v>01-05-2022</v>
      </c>
      <c r="B66" s="297"/>
      <c r="C66" s="297"/>
      <c r="D66" s="297"/>
      <c r="E66" s="297"/>
      <c r="F66" s="297"/>
      <c r="G66" s="298"/>
      <c r="H66" s="299" t="s">
        <v>49</v>
      </c>
      <c r="I66" s="300"/>
      <c r="J66" s="296" t="str">
        <f>J34</f>
        <v>SUNNY</v>
      </c>
      <c r="K66" s="298"/>
      <c r="L66" s="300" t="s">
        <v>50</v>
      </c>
      <c r="M66" s="301"/>
      <c r="N66" s="299"/>
      <c r="O66" s="297" t="str">
        <f>O34</f>
        <v>JOHN</v>
      </c>
      <c r="P66" s="297"/>
      <c r="Q66" s="298"/>
      <c r="R66" s="300" t="s">
        <v>51</v>
      </c>
      <c r="S66" s="299"/>
      <c r="T66" s="302">
        <f>T34</f>
        <v>8</v>
      </c>
      <c r="U66" s="30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6" t="s">
        <v>8</v>
      </c>
      <c r="P68" s="306"/>
      <c r="Q68" s="30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3"/>
      <c r="P69" s="314"/>
      <c r="Q69" s="315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54"/>
      <c r="P70" s="311"/>
      <c r="Q70" s="312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3"/>
      <c r="P71" s="314"/>
      <c r="Q71" s="315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6"/>
      <c r="P72" s="317"/>
      <c r="Q72" s="318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6"/>
      <c r="P73" s="317"/>
      <c r="Q73" s="318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3"/>
      <c r="P74" s="304"/>
      <c r="Q74" s="305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3"/>
      <c r="P75" s="314"/>
      <c r="Q75" s="315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3"/>
      <c r="P76" s="314"/>
      <c r="Q76" s="315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3"/>
      <c r="P77" s="314"/>
      <c r="Q77" s="315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3"/>
      <c r="P78" s="314"/>
      <c r="Q78" s="315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3"/>
      <c r="P79" s="314"/>
      <c r="Q79" s="315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3"/>
      <c r="P80" s="314"/>
      <c r="Q80" s="315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3"/>
      <c r="P81" s="314"/>
      <c r="Q81" s="315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3"/>
      <c r="P82" s="314"/>
      <c r="Q82" s="315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3"/>
      <c r="P83" s="314"/>
      <c r="Q83" s="314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3"/>
      <c r="P84" s="314"/>
      <c r="Q84" s="314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3"/>
      <c r="Q85" s="313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3"/>
      <c r="Q86" s="313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3"/>
      <c r="Q87" s="313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4"/>
      <c r="P88" s="314"/>
      <c r="Q88" s="314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3"/>
      <c r="P89" s="314"/>
      <c r="Q89" s="314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4"/>
      <c r="P90" s="314"/>
      <c r="Q90" s="314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4"/>
      <c r="P91" s="314"/>
      <c r="Q91" s="314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3"/>
      <c r="P92" s="314"/>
      <c r="Q92" s="315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3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7.25" thickBot="1" x14ac:dyDescent="0.3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7.25" thickBot="1" x14ac:dyDescent="0.3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5"/>
      <c r="O96" s="336"/>
      <c r="P96" s="336"/>
      <c r="Q96" s="380"/>
      <c r="R96" s="381" t="s">
        <v>52</v>
      </c>
      <c r="S96" s="382"/>
      <c r="T96" s="382"/>
      <c r="U96" s="383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5" type="noConversion"/>
  <dataValidations disablePrompts="1"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42"/>
      <c r="B1" s="542"/>
      <c r="C1" s="542"/>
      <c r="D1" s="542"/>
      <c r="E1" s="540" t="s">
        <v>59</v>
      </c>
      <c r="F1" s="540"/>
      <c r="G1" s="540"/>
      <c r="H1" s="540" t="s">
        <v>60</v>
      </c>
      <c r="I1" s="540"/>
      <c r="J1" s="540"/>
      <c r="K1" s="540"/>
      <c r="L1" s="540" t="s">
        <v>61</v>
      </c>
      <c r="M1" s="540"/>
      <c r="N1" s="540"/>
      <c r="O1" s="540"/>
      <c r="P1" s="540"/>
      <c r="Q1" s="540" t="s">
        <v>62</v>
      </c>
      <c r="R1" s="540"/>
      <c r="S1" s="540"/>
      <c r="T1" s="540"/>
      <c r="U1" s="540"/>
      <c r="V1" s="540" t="s">
        <v>63</v>
      </c>
      <c r="W1" s="540"/>
      <c r="X1" s="540"/>
      <c r="Y1" s="540"/>
      <c r="Z1" s="540"/>
      <c r="AA1" s="540" t="s">
        <v>64</v>
      </c>
      <c r="AB1" s="540"/>
      <c r="AC1" s="540"/>
      <c r="AD1" s="540"/>
    </row>
    <row r="2" spans="1:30" ht="20.100000000000001" customHeight="1" x14ac:dyDescent="0.3">
      <c r="A2" s="459" t="s">
        <v>66</v>
      </c>
      <c r="B2" s="482" t="s">
        <v>57</v>
      </c>
      <c r="C2" s="482"/>
      <c r="D2" s="541"/>
      <c r="E2" s="541">
        <f>MON!N31</f>
        <v>1</v>
      </c>
      <c r="F2" s="541"/>
      <c r="G2" s="541"/>
      <c r="H2" s="543">
        <f>MON!S31</f>
        <v>200</v>
      </c>
      <c r="I2" s="543"/>
      <c r="J2" s="543"/>
      <c r="K2" s="543"/>
      <c r="L2" s="544">
        <f>MON!N32</f>
        <v>0.16597510373443983</v>
      </c>
      <c r="M2" s="544"/>
      <c r="N2" s="544"/>
      <c r="O2" s="544"/>
      <c r="P2" s="544"/>
      <c r="Q2" s="612">
        <f>SUM(E2:G5)</f>
        <v>10</v>
      </c>
      <c r="R2" s="613"/>
      <c r="S2" s="613"/>
      <c r="T2" s="613"/>
      <c r="U2" s="614"/>
      <c r="V2" s="554">
        <f>SUM(H2,H3,H5)</f>
        <v>1205</v>
      </c>
      <c r="W2" s="555"/>
      <c r="X2" s="555"/>
      <c r="Y2" s="555"/>
      <c r="Z2" s="556"/>
      <c r="AA2" s="563">
        <f>V2/Q2</f>
        <v>120.5</v>
      </c>
      <c r="AB2" s="564"/>
      <c r="AC2" s="564"/>
      <c r="AD2" s="565"/>
    </row>
    <row r="3" spans="1:30" ht="20.100000000000001" customHeight="1" x14ac:dyDescent="0.3">
      <c r="A3" s="460"/>
      <c r="B3" s="482" t="s">
        <v>58</v>
      </c>
      <c r="C3" s="482"/>
      <c r="D3" s="541"/>
      <c r="E3" s="541">
        <f>MON!O31</f>
        <v>8</v>
      </c>
      <c r="F3" s="541"/>
      <c r="G3" s="541"/>
      <c r="H3" s="543">
        <f>MON!S32</f>
        <v>1005</v>
      </c>
      <c r="I3" s="543"/>
      <c r="J3" s="543"/>
      <c r="K3" s="543"/>
      <c r="L3" s="544">
        <f>MON!O32</f>
        <v>0.8340248962655602</v>
      </c>
      <c r="M3" s="544"/>
      <c r="N3" s="544"/>
      <c r="O3" s="544"/>
      <c r="P3" s="544"/>
      <c r="Q3" s="615"/>
      <c r="R3" s="616"/>
      <c r="S3" s="616"/>
      <c r="T3" s="616"/>
      <c r="U3" s="617"/>
      <c r="V3" s="557"/>
      <c r="W3" s="558"/>
      <c r="X3" s="558"/>
      <c r="Y3" s="558"/>
      <c r="Z3" s="559"/>
      <c r="AA3" s="566"/>
      <c r="AB3" s="567"/>
      <c r="AC3" s="567"/>
      <c r="AD3" s="568"/>
    </row>
    <row r="4" spans="1:30" ht="20.100000000000001" customHeight="1" x14ac:dyDescent="0.3">
      <c r="A4" s="460"/>
      <c r="B4" s="482" t="s">
        <v>45</v>
      </c>
      <c r="C4" s="482"/>
      <c r="D4" s="541"/>
      <c r="E4" s="541">
        <f>MON!P31</f>
        <v>1</v>
      </c>
      <c r="F4" s="541"/>
      <c r="G4" s="541"/>
      <c r="H4" s="543">
        <f>MON!K31</f>
        <v>0</v>
      </c>
      <c r="I4" s="543"/>
      <c r="J4" s="543"/>
      <c r="K4" s="543"/>
      <c r="L4" s="544">
        <f>MON!P32</f>
        <v>0</v>
      </c>
      <c r="M4" s="544"/>
      <c r="N4" s="544"/>
      <c r="O4" s="544"/>
      <c r="P4" s="544"/>
      <c r="Q4" s="615"/>
      <c r="R4" s="616"/>
      <c r="S4" s="616"/>
      <c r="T4" s="616"/>
      <c r="U4" s="617"/>
      <c r="V4" s="557"/>
      <c r="W4" s="558"/>
      <c r="X4" s="558"/>
      <c r="Y4" s="558"/>
      <c r="Z4" s="559"/>
      <c r="AA4" s="566"/>
      <c r="AB4" s="567"/>
      <c r="AC4" s="567"/>
      <c r="AD4" s="568"/>
    </row>
    <row r="5" spans="1:30" ht="20.100000000000001" customHeight="1" x14ac:dyDescent="0.3">
      <c r="A5" s="460"/>
      <c r="B5" s="480" t="s">
        <v>65</v>
      </c>
      <c r="C5" s="481"/>
      <c r="D5" s="482"/>
      <c r="E5" s="480">
        <f>MON!Q31</f>
        <v>0</v>
      </c>
      <c r="F5" s="481"/>
      <c r="G5" s="482"/>
      <c r="H5" s="600">
        <f>MON!J31</f>
        <v>0</v>
      </c>
      <c r="I5" s="601"/>
      <c r="J5" s="601"/>
      <c r="K5" s="602"/>
      <c r="L5" s="603">
        <f>MON!Q32</f>
        <v>0</v>
      </c>
      <c r="M5" s="604"/>
      <c r="N5" s="604"/>
      <c r="O5" s="604"/>
      <c r="P5" s="605"/>
      <c r="Q5" s="618"/>
      <c r="R5" s="619"/>
      <c r="S5" s="619"/>
      <c r="T5" s="619"/>
      <c r="U5" s="620"/>
      <c r="V5" s="560"/>
      <c r="W5" s="561"/>
      <c r="X5" s="561"/>
      <c r="Y5" s="561"/>
      <c r="Z5" s="562"/>
      <c r="AA5" s="569"/>
      <c r="AB5" s="570"/>
      <c r="AC5" s="570"/>
      <c r="AD5" s="571"/>
    </row>
    <row r="6" spans="1:30" ht="20.100000000000001" customHeight="1" x14ac:dyDescent="0.3">
      <c r="A6" s="461"/>
      <c r="B6" s="480" t="s">
        <v>94</v>
      </c>
      <c r="C6" s="481"/>
      <c r="D6" s="482"/>
      <c r="E6" s="480">
        <f>MON!U16</f>
        <v>23.25</v>
      </c>
      <c r="F6" s="481"/>
      <c r="G6" s="482"/>
      <c r="H6" s="600" t="s">
        <v>95</v>
      </c>
      <c r="I6" s="601"/>
      <c r="J6" s="601"/>
      <c r="K6" s="602"/>
      <c r="L6" s="660">
        <f>MON!T2</f>
        <v>4</v>
      </c>
      <c r="M6" s="661"/>
      <c r="N6" s="661"/>
      <c r="O6" s="661"/>
      <c r="P6" s="662"/>
      <c r="Q6" s="663"/>
      <c r="R6" s="664"/>
      <c r="S6" s="664"/>
      <c r="T6" s="664"/>
      <c r="U6" s="665"/>
      <c r="V6" s="430"/>
      <c r="W6" s="431"/>
      <c r="X6" s="431"/>
      <c r="Y6" s="431"/>
      <c r="Z6" s="432"/>
      <c r="AA6" s="433"/>
      <c r="AB6" s="434"/>
      <c r="AC6" s="434"/>
      <c r="AD6" s="435"/>
    </row>
    <row r="7" spans="1:30" ht="20.100000000000001" customHeight="1" x14ac:dyDescent="0.3">
      <c r="A7" s="462" t="s">
        <v>67</v>
      </c>
      <c r="B7" s="438" t="s">
        <v>57</v>
      </c>
      <c r="C7" s="438"/>
      <c r="D7" s="454"/>
      <c r="E7" s="454">
        <f>TUE!N31</f>
        <v>2</v>
      </c>
      <c r="F7" s="454"/>
      <c r="G7" s="454"/>
      <c r="H7" s="455">
        <f>TUE!S31</f>
        <v>150</v>
      </c>
      <c r="I7" s="455"/>
      <c r="J7" s="455"/>
      <c r="K7" s="455"/>
      <c r="L7" s="456">
        <f>TUE!N32</f>
        <v>0.11531985884849277</v>
      </c>
      <c r="M7" s="457"/>
      <c r="N7" s="457"/>
      <c r="O7" s="457"/>
      <c r="P7" s="458"/>
      <c r="Q7" s="642">
        <f>SUM(E7:G10)</f>
        <v>14</v>
      </c>
      <c r="R7" s="643"/>
      <c r="S7" s="643"/>
      <c r="T7" s="643"/>
      <c r="U7" s="644"/>
      <c r="V7" s="545">
        <f>SUM(H7,H8,H10)</f>
        <v>980</v>
      </c>
      <c r="W7" s="546"/>
      <c r="X7" s="546"/>
      <c r="Y7" s="546"/>
      <c r="Z7" s="547"/>
      <c r="AA7" s="572">
        <f>V7/Q7</f>
        <v>70</v>
      </c>
      <c r="AB7" s="573"/>
      <c r="AC7" s="573"/>
      <c r="AD7" s="574"/>
    </row>
    <row r="8" spans="1:30" ht="20.100000000000001" customHeight="1" x14ac:dyDescent="0.3">
      <c r="A8" s="463"/>
      <c r="B8" s="438" t="s">
        <v>58</v>
      </c>
      <c r="C8" s="438"/>
      <c r="D8" s="454"/>
      <c r="E8" s="454">
        <f>TUE!O31</f>
        <v>7</v>
      </c>
      <c r="F8" s="454"/>
      <c r="G8" s="454"/>
      <c r="H8" s="455">
        <f>TUE!S32</f>
        <v>775</v>
      </c>
      <c r="I8" s="455"/>
      <c r="J8" s="455"/>
      <c r="K8" s="455"/>
      <c r="L8" s="456">
        <f>TUE!O32</f>
        <v>0.59581927071721263</v>
      </c>
      <c r="M8" s="457"/>
      <c r="N8" s="457"/>
      <c r="O8" s="457"/>
      <c r="P8" s="458"/>
      <c r="Q8" s="645"/>
      <c r="R8" s="646"/>
      <c r="S8" s="646"/>
      <c r="T8" s="646"/>
      <c r="U8" s="647"/>
      <c r="V8" s="548"/>
      <c r="W8" s="549"/>
      <c r="X8" s="549"/>
      <c r="Y8" s="549"/>
      <c r="Z8" s="550"/>
      <c r="AA8" s="575"/>
      <c r="AB8" s="576"/>
      <c r="AC8" s="576"/>
      <c r="AD8" s="577"/>
    </row>
    <row r="9" spans="1:30" ht="20.100000000000001" customHeight="1" x14ac:dyDescent="0.3">
      <c r="A9" s="463"/>
      <c r="B9" s="438" t="s">
        <v>45</v>
      </c>
      <c r="C9" s="438"/>
      <c r="D9" s="454"/>
      <c r="E9" s="454">
        <f>TUE!P31</f>
        <v>4</v>
      </c>
      <c r="F9" s="454"/>
      <c r="G9" s="454"/>
      <c r="H9" s="455">
        <f>TUE!K31</f>
        <v>320.73</v>
      </c>
      <c r="I9" s="455"/>
      <c r="J9" s="455"/>
      <c r="K9" s="455"/>
      <c r="L9" s="456">
        <f>TUE!P32</f>
        <v>0.24657692218984725</v>
      </c>
      <c r="M9" s="457"/>
      <c r="N9" s="457"/>
      <c r="O9" s="457"/>
      <c r="P9" s="458"/>
      <c r="Q9" s="645"/>
      <c r="R9" s="646"/>
      <c r="S9" s="646"/>
      <c r="T9" s="646"/>
      <c r="U9" s="647"/>
      <c r="V9" s="548"/>
      <c r="W9" s="549"/>
      <c r="X9" s="549"/>
      <c r="Y9" s="549"/>
      <c r="Z9" s="550"/>
      <c r="AA9" s="575"/>
      <c r="AB9" s="576"/>
      <c r="AC9" s="576"/>
      <c r="AD9" s="577"/>
    </row>
    <row r="10" spans="1:30" ht="20.100000000000001" customHeight="1" x14ac:dyDescent="0.3">
      <c r="A10" s="463"/>
      <c r="B10" s="436" t="s">
        <v>65</v>
      </c>
      <c r="C10" s="437"/>
      <c r="D10" s="438"/>
      <c r="E10" s="436">
        <f>TUE!Q31</f>
        <v>1</v>
      </c>
      <c r="F10" s="437"/>
      <c r="G10" s="438"/>
      <c r="H10" s="439">
        <f>TUE!J31</f>
        <v>55</v>
      </c>
      <c r="I10" s="440"/>
      <c r="J10" s="440"/>
      <c r="K10" s="441"/>
      <c r="L10" s="456">
        <f>TUE!Q32</f>
        <v>4.2283948244447346E-2</v>
      </c>
      <c r="M10" s="457"/>
      <c r="N10" s="457"/>
      <c r="O10" s="457"/>
      <c r="P10" s="458"/>
      <c r="Q10" s="648"/>
      <c r="R10" s="649"/>
      <c r="S10" s="649"/>
      <c r="T10" s="649"/>
      <c r="U10" s="650"/>
      <c r="V10" s="551"/>
      <c r="W10" s="552"/>
      <c r="X10" s="552"/>
      <c r="Y10" s="552"/>
      <c r="Z10" s="553"/>
      <c r="AA10" s="578"/>
      <c r="AB10" s="579"/>
      <c r="AC10" s="579"/>
      <c r="AD10" s="580"/>
    </row>
    <row r="11" spans="1:30" ht="20.100000000000001" customHeight="1" x14ac:dyDescent="0.3">
      <c r="A11" s="464"/>
      <c r="B11" s="436" t="s">
        <v>94</v>
      </c>
      <c r="C11" s="437"/>
      <c r="D11" s="438"/>
      <c r="E11" s="436">
        <f>TUE!U16</f>
        <v>31.000000000000007</v>
      </c>
      <c r="F11" s="437"/>
      <c r="G11" s="438"/>
      <c r="H11" s="439" t="s">
        <v>95</v>
      </c>
      <c r="I11" s="440"/>
      <c r="J11" s="440"/>
      <c r="K11" s="441"/>
      <c r="L11" s="442">
        <f>TUE!T2</f>
        <v>4</v>
      </c>
      <c r="M11" s="443"/>
      <c r="N11" s="443"/>
      <c r="O11" s="443"/>
      <c r="P11" s="444"/>
      <c r="Q11" s="445"/>
      <c r="R11" s="446"/>
      <c r="S11" s="446"/>
      <c r="T11" s="446"/>
      <c r="U11" s="447"/>
      <c r="V11" s="448"/>
      <c r="W11" s="449"/>
      <c r="X11" s="449"/>
      <c r="Y11" s="449"/>
      <c r="Z11" s="450"/>
      <c r="AA11" s="451"/>
      <c r="AB11" s="452"/>
      <c r="AC11" s="452"/>
      <c r="AD11" s="453"/>
    </row>
    <row r="12" spans="1:30" ht="20.100000000000001" customHeight="1" x14ac:dyDescent="0.3">
      <c r="A12" s="465" t="s">
        <v>68</v>
      </c>
      <c r="B12" s="485" t="s">
        <v>57</v>
      </c>
      <c r="C12" s="485"/>
      <c r="D12" s="362"/>
      <c r="E12" s="362">
        <f>WED!N31</f>
        <v>7</v>
      </c>
      <c r="F12" s="362"/>
      <c r="G12" s="362"/>
      <c r="H12" s="606">
        <f>WED!S31</f>
        <v>695</v>
      </c>
      <c r="I12" s="607"/>
      <c r="J12" s="607"/>
      <c r="K12" s="608"/>
      <c r="L12" s="609">
        <f>WED!N32</f>
        <v>0.53293459090560547</v>
      </c>
      <c r="M12" s="610"/>
      <c r="N12" s="610"/>
      <c r="O12" s="610"/>
      <c r="P12" s="611"/>
      <c r="Q12" s="621">
        <f>SUM(E12:G15)</f>
        <v>17</v>
      </c>
      <c r="R12" s="622"/>
      <c r="S12" s="622"/>
      <c r="T12" s="622"/>
      <c r="U12" s="623"/>
      <c r="V12" s="402">
        <f>SUM(H12,H13,H15)</f>
        <v>1200</v>
      </c>
      <c r="W12" s="403"/>
      <c r="X12" s="403"/>
      <c r="Y12" s="403"/>
      <c r="Z12" s="404"/>
      <c r="AA12" s="393">
        <f>V12/Q12</f>
        <v>70.588235294117652</v>
      </c>
      <c r="AB12" s="394"/>
      <c r="AC12" s="394"/>
      <c r="AD12" s="395"/>
    </row>
    <row r="13" spans="1:30" ht="20.100000000000001" customHeight="1" x14ac:dyDescent="0.3">
      <c r="A13" s="466"/>
      <c r="B13" s="485" t="s">
        <v>58</v>
      </c>
      <c r="C13" s="485"/>
      <c r="D13" s="362"/>
      <c r="E13" s="362">
        <f>WED!O31</f>
        <v>4</v>
      </c>
      <c r="F13" s="362"/>
      <c r="G13" s="362"/>
      <c r="H13" s="606">
        <f>WED!S32</f>
        <v>395</v>
      </c>
      <c r="I13" s="607"/>
      <c r="J13" s="607"/>
      <c r="K13" s="608"/>
      <c r="L13" s="609">
        <f>WED!O32</f>
        <v>0.30289088260102753</v>
      </c>
      <c r="M13" s="610"/>
      <c r="N13" s="610"/>
      <c r="O13" s="610"/>
      <c r="P13" s="611"/>
      <c r="Q13" s="624"/>
      <c r="R13" s="625"/>
      <c r="S13" s="625"/>
      <c r="T13" s="625"/>
      <c r="U13" s="626"/>
      <c r="V13" s="405"/>
      <c r="W13" s="406"/>
      <c r="X13" s="406"/>
      <c r="Y13" s="406"/>
      <c r="Z13" s="407"/>
      <c r="AA13" s="396"/>
      <c r="AB13" s="397"/>
      <c r="AC13" s="397"/>
      <c r="AD13" s="398"/>
    </row>
    <row r="14" spans="1:30" ht="20.100000000000001" customHeight="1" x14ac:dyDescent="0.3">
      <c r="A14" s="466"/>
      <c r="B14" s="485" t="s">
        <v>45</v>
      </c>
      <c r="C14" s="485"/>
      <c r="D14" s="362"/>
      <c r="E14" s="362">
        <f>WED!P31</f>
        <v>4</v>
      </c>
      <c r="F14" s="362"/>
      <c r="G14" s="362"/>
      <c r="H14" s="606">
        <f>WED!K31</f>
        <v>104.1</v>
      </c>
      <c r="I14" s="607"/>
      <c r="J14" s="607"/>
      <c r="K14" s="608"/>
      <c r="L14" s="609">
        <f>WED!P32</f>
        <v>7.9825166781688522E-2</v>
      </c>
      <c r="M14" s="610"/>
      <c r="N14" s="610"/>
      <c r="O14" s="610"/>
      <c r="P14" s="611"/>
      <c r="Q14" s="624"/>
      <c r="R14" s="625"/>
      <c r="S14" s="625"/>
      <c r="T14" s="625"/>
      <c r="U14" s="626"/>
      <c r="V14" s="405"/>
      <c r="W14" s="406"/>
      <c r="X14" s="406"/>
      <c r="Y14" s="406"/>
      <c r="Z14" s="407"/>
      <c r="AA14" s="396"/>
      <c r="AB14" s="397"/>
      <c r="AC14" s="397"/>
      <c r="AD14" s="398"/>
    </row>
    <row r="15" spans="1:30" ht="20.100000000000001" customHeight="1" x14ac:dyDescent="0.3">
      <c r="A15" s="466"/>
      <c r="B15" s="483" t="s">
        <v>65</v>
      </c>
      <c r="C15" s="484"/>
      <c r="D15" s="485"/>
      <c r="E15" s="483">
        <f>WED!Q31</f>
        <v>2</v>
      </c>
      <c r="F15" s="484"/>
      <c r="G15" s="485"/>
      <c r="H15" s="606">
        <f>WED!J31</f>
        <v>110</v>
      </c>
      <c r="I15" s="607"/>
      <c r="J15" s="607"/>
      <c r="K15" s="608"/>
      <c r="L15" s="609">
        <f>WED!Q32</f>
        <v>8.4349359711678562E-2</v>
      </c>
      <c r="M15" s="610"/>
      <c r="N15" s="610"/>
      <c r="O15" s="610"/>
      <c r="P15" s="611"/>
      <c r="Q15" s="627"/>
      <c r="R15" s="628"/>
      <c r="S15" s="628"/>
      <c r="T15" s="628"/>
      <c r="U15" s="629"/>
      <c r="V15" s="408"/>
      <c r="W15" s="409"/>
      <c r="X15" s="409"/>
      <c r="Y15" s="409"/>
      <c r="Z15" s="410"/>
      <c r="AA15" s="399"/>
      <c r="AB15" s="400"/>
      <c r="AC15" s="400"/>
      <c r="AD15" s="401"/>
    </row>
    <row r="16" spans="1:30" ht="20.100000000000001" customHeight="1" x14ac:dyDescent="0.3">
      <c r="A16" s="467"/>
      <c r="B16" s="483" t="s">
        <v>94</v>
      </c>
      <c r="C16" s="484"/>
      <c r="D16" s="485"/>
      <c r="E16" s="483">
        <f>WED!U16</f>
        <v>40.5</v>
      </c>
      <c r="F16" s="484"/>
      <c r="G16" s="485"/>
      <c r="H16" s="606" t="s">
        <v>95</v>
      </c>
      <c r="I16" s="607"/>
      <c r="J16" s="607"/>
      <c r="K16" s="608"/>
      <c r="L16" s="666">
        <f>WED!T2</f>
        <v>6</v>
      </c>
      <c r="M16" s="667"/>
      <c r="N16" s="667"/>
      <c r="O16" s="667"/>
      <c r="P16" s="668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468" t="s">
        <v>69</v>
      </c>
      <c r="B17" s="488" t="s">
        <v>57</v>
      </c>
      <c r="C17" s="488"/>
      <c r="D17" s="415"/>
      <c r="E17" s="415">
        <f>THU!N31</f>
        <v>3</v>
      </c>
      <c r="F17" s="415"/>
      <c r="G17" s="415"/>
      <c r="H17" s="414">
        <f>THU!S31</f>
        <v>805</v>
      </c>
      <c r="I17" s="414"/>
      <c r="J17" s="414"/>
      <c r="K17" s="414"/>
      <c r="L17" s="424">
        <f>THU!N32</f>
        <v>0.41417838566750143</v>
      </c>
      <c r="M17" s="424"/>
      <c r="N17" s="424"/>
      <c r="O17" s="424"/>
      <c r="P17" s="424"/>
      <c r="Q17" s="651">
        <f>SUM(E17:G20)</f>
        <v>11</v>
      </c>
      <c r="R17" s="652"/>
      <c r="S17" s="652"/>
      <c r="T17" s="652"/>
      <c r="U17" s="653"/>
      <c r="V17" s="591">
        <f>SUM(H17,H18,H20)</f>
        <v>1705</v>
      </c>
      <c r="W17" s="592"/>
      <c r="X17" s="592"/>
      <c r="Y17" s="592"/>
      <c r="Z17" s="593"/>
      <c r="AA17" s="582">
        <f>V17/Q17</f>
        <v>155</v>
      </c>
      <c r="AB17" s="583"/>
      <c r="AC17" s="583"/>
      <c r="AD17" s="584"/>
    </row>
    <row r="18" spans="1:30" ht="20.100000000000001" customHeight="1" x14ac:dyDescent="0.3">
      <c r="A18" s="469"/>
      <c r="B18" s="488" t="s">
        <v>58</v>
      </c>
      <c r="C18" s="488"/>
      <c r="D18" s="415"/>
      <c r="E18" s="415">
        <f>THU!O31</f>
        <v>5</v>
      </c>
      <c r="F18" s="415"/>
      <c r="G18" s="415"/>
      <c r="H18" s="414">
        <f>THU!S32</f>
        <v>845</v>
      </c>
      <c r="I18" s="414"/>
      <c r="J18" s="414"/>
      <c r="K18" s="414"/>
      <c r="L18" s="424">
        <f>THU!O32</f>
        <v>0.35638605278366403</v>
      </c>
      <c r="M18" s="424"/>
      <c r="N18" s="424"/>
      <c r="O18" s="424"/>
      <c r="P18" s="424"/>
      <c r="Q18" s="654"/>
      <c r="R18" s="655"/>
      <c r="S18" s="655"/>
      <c r="T18" s="655"/>
      <c r="U18" s="656"/>
      <c r="V18" s="594"/>
      <c r="W18" s="595"/>
      <c r="X18" s="595"/>
      <c r="Y18" s="595"/>
      <c r="Z18" s="596"/>
      <c r="AA18" s="585"/>
      <c r="AB18" s="586"/>
      <c r="AC18" s="586"/>
      <c r="AD18" s="587"/>
    </row>
    <row r="19" spans="1:30" ht="20.100000000000001" customHeight="1" x14ac:dyDescent="0.3">
      <c r="A19" s="469"/>
      <c r="B19" s="488" t="s">
        <v>45</v>
      </c>
      <c r="C19" s="488"/>
      <c r="D19" s="415"/>
      <c r="E19" s="415">
        <f>THU!P31</f>
        <v>2</v>
      </c>
      <c r="F19" s="415"/>
      <c r="G19" s="415"/>
      <c r="H19" s="414">
        <f>THU!K31</f>
        <v>183.2</v>
      </c>
      <c r="I19" s="414"/>
      <c r="J19" s="414"/>
      <c r="K19" s="414"/>
      <c r="L19" s="424">
        <f>THU!P32</f>
        <v>0.17645925640531687</v>
      </c>
      <c r="M19" s="424"/>
      <c r="N19" s="424"/>
      <c r="O19" s="424"/>
      <c r="P19" s="424"/>
      <c r="Q19" s="654"/>
      <c r="R19" s="655"/>
      <c r="S19" s="655"/>
      <c r="T19" s="655"/>
      <c r="U19" s="656"/>
      <c r="V19" s="594"/>
      <c r="W19" s="595"/>
      <c r="X19" s="595"/>
      <c r="Y19" s="595"/>
      <c r="Z19" s="596"/>
      <c r="AA19" s="585"/>
      <c r="AB19" s="586"/>
      <c r="AC19" s="586"/>
      <c r="AD19" s="587"/>
    </row>
    <row r="20" spans="1:30" ht="20.100000000000001" customHeight="1" x14ac:dyDescent="0.3">
      <c r="A20" s="469"/>
      <c r="B20" s="486" t="s">
        <v>65</v>
      </c>
      <c r="C20" s="487"/>
      <c r="D20" s="488"/>
      <c r="E20" s="486">
        <f>THU!Q31</f>
        <v>1</v>
      </c>
      <c r="F20" s="487"/>
      <c r="G20" s="488"/>
      <c r="H20" s="669">
        <f>THU!J31</f>
        <v>55</v>
      </c>
      <c r="I20" s="670"/>
      <c r="J20" s="670"/>
      <c r="K20" s="671"/>
      <c r="L20" s="681">
        <f>THU!Q32</f>
        <v>5.2976305143517623E-2</v>
      </c>
      <c r="M20" s="682"/>
      <c r="N20" s="682"/>
      <c r="O20" s="682"/>
      <c r="P20" s="683"/>
      <c r="Q20" s="657"/>
      <c r="R20" s="658"/>
      <c r="S20" s="658"/>
      <c r="T20" s="658"/>
      <c r="U20" s="659"/>
      <c r="V20" s="597"/>
      <c r="W20" s="598"/>
      <c r="X20" s="598"/>
      <c r="Y20" s="598"/>
      <c r="Z20" s="599"/>
      <c r="AA20" s="588"/>
      <c r="AB20" s="589"/>
      <c r="AC20" s="589"/>
      <c r="AD20" s="590"/>
    </row>
    <row r="21" spans="1:30" ht="20.100000000000001" customHeight="1" x14ac:dyDescent="0.3">
      <c r="A21" s="470"/>
      <c r="B21" s="486" t="s">
        <v>94</v>
      </c>
      <c r="C21" s="487"/>
      <c r="D21" s="488"/>
      <c r="E21" s="486">
        <f>THU!U16</f>
        <v>40.5</v>
      </c>
      <c r="F21" s="487"/>
      <c r="G21" s="488"/>
      <c r="H21" s="669" t="s">
        <v>95</v>
      </c>
      <c r="I21" s="670"/>
      <c r="J21" s="670"/>
      <c r="K21" s="671"/>
      <c r="L21" s="688">
        <f>THU!T2</f>
        <v>6</v>
      </c>
      <c r="M21" s="689"/>
      <c r="N21" s="689"/>
      <c r="O21" s="689"/>
      <c r="P21" s="690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471" t="s">
        <v>93</v>
      </c>
      <c r="B22" s="491" t="s">
        <v>57</v>
      </c>
      <c r="C22" s="491"/>
      <c r="D22" s="496"/>
      <c r="E22" s="496">
        <f>FRI!N31</f>
        <v>2</v>
      </c>
      <c r="F22" s="496"/>
      <c r="G22" s="496"/>
      <c r="H22" s="419">
        <f>FRI!S31</f>
        <v>20</v>
      </c>
      <c r="I22" s="419"/>
      <c r="J22" s="419"/>
      <c r="K22" s="419"/>
      <c r="L22" s="420">
        <f>FRI!N32</f>
        <v>1.3296546222118804E-2</v>
      </c>
      <c r="M22" s="420"/>
      <c r="N22" s="420"/>
      <c r="O22" s="420"/>
      <c r="P22" s="420"/>
      <c r="Q22" s="727">
        <f>SUM(E22:G25)</f>
        <v>21</v>
      </c>
      <c r="R22" s="728"/>
      <c r="S22" s="728"/>
      <c r="T22" s="728"/>
      <c r="U22" s="729"/>
      <c r="V22" s="672">
        <f>SUM(H22,H23,H25)</f>
        <v>1275</v>
      </c>
      <c r="W22" s="673"/>
      <c r="X22" s="673"/>
      <c r="Y22" s="673"/>
      <c r="Z22" s="674"/>
      <c r="AA22" s="694">
        <f>V22/Q22</f>
        <v>60.714285714285715</v>
      </c>
      <c r="AB22" s="695"/>
      <c r="AC22" s="695"/>
      <c r="AD22" s="696"/>
    </row>
    <row r="23" spans="1:30" ht="20.100000000000001" customHeight="1" x14ac:dyDescent="0.3">
      <c r="A23" s="472"/>
      <c r="B23" s="491" t="s">
        <v>58</v>
      </c>
      <c r="C23" s="491"/>
      <c r="D23" s="496"/>
      <c r="E23" s="496">
        <f>FRI!O31</f>
        <v>11</v>
      </c>
      <c r="F23" s="496"/>
      <c r="G23" s="496"/>
      <c r="H23" s="419">
        <f>FRI!S32</f>
        <v>980</v>
      </c>
      <c r="I23" s="419"/>
      <c r="J23" s="419"/>
      <c r="K23" s="419"/>
      <c r="L23" s="420">
        <f>FRI!O32</f>
        <v>0.65153076488382133</v>
      </c>
      <c r="M23" s="420"/>
      <c r="N23" s="420"/>
      <c r="O23" s="420"/>
      <c r="P23" s="420"/>
      <c r="Q23" s="730"/>
      <c r="R23" s="731"/>
      <c r="S23" s="731"/>
      <c r="T23" s="731"/>
      <c r="U23" s="732"/>
      <c r="V23" s="675"/>
      <c r="W23" s="676"/>
      <c r="X23" s="676"/>
      <c r="Y23" s="676"/>
      <c r="Z23" s="677"/>
      <c r="AA23" s="697"/>
      <c r="AB23" s="698"/>
      <c r="AC23" s="698"/>
      <c r="AD23" s="699"/>
    </row>
    <row r="24" spans="1:30" ht="20.100000000000001" customHeight="1" x14ac:dyDescent="0.3">
      <c r="A24" s="472"/>
      <c r="B24" s="491" t="s">
        <v>45</v>
      </c>
      <c r="C24" s="491"/>
      <c r="D24" s="496"/>
      <c r="E24" s="496">
        <f>FRI!P31</f>
        <v>4</v>
      </c>
      <c r="F24" s="496"/>
      <c r="G24" s="496"/>
      <c r="H24" s="419">
        <f>FRI!K31</f>
        <v>229.14999999999998</v>
      </c>
      <c r="I24" s="419"/>
      <c r="J24" s="419"/>
      <c r="K24" s="419"/>
      <c r="L24" s="420">
        <f>FRI!P32</f>
        <v>0.15234517833992617</v>
      </c>
      <c r="M24" s="420"/>
      <c r="N24" s="420"/>
      <c r="O24" s="420"/>
      <c r="P24" s="420"/>
      <c r="Q24" s="730"/>
      <c r="R24" s="731"/>
      <c r="S24" s="731"/>
      <c r="T24" s="731"/>
      <c r="U24" s="732"/>
      <c r="V24" s="675"/>
      <c r="W24" s="676"/>
      <c r="X24" s="676"/>
      <c r="Y24" s="676"/>
      <c r="Z24" s="677"/>
      <c r="AA24" s="697"/>
      <c r="AB24" s="698"/>
      <c r="AC24" s="698"/>
      <c r="AD24" s="699"/>
    </row>
    <row r="25" spans="1:30" ht="20.100000000000001" customHeight="1" x14ac:dyDescent="0.3">
      <c r="A25" s="472"/>
      <c r="B25" s="489" t="s">
        <v>65</v>
      </c>
      <c r="C25" s="490"/>
      <c r="D25" s="491"/>
      <c r="E25" s="489">
        <f>FRI!Q31</f>
        <v>4</v>
      </c>
      <c r="F25" s="490"/>
      <c r="G25" s="491"/>
      <c r="H25" s="721">
        <f>FRI!J31</f>
        <v>275</v>
      </c>
      <c r="I25" s="722"/>
      <c r="J25" s="722"/>
      <c r="K25" s="723"/>
      <c r="L25" s="724">
        <f>FRI!Q32</f>
        <v>0.18282751055413354</v>
      </c>
      <c r="M25" s="725"/>
      <c r="N25" s="725"/>
      <c r="O25" s="725"/>
      <c r="P25" s="726"/>
      <c r="Q25" s="733"/>
      <c r="R25" s="734"/>
      <c r="S25" s="734"/>
      <c r="T25" s="734"/>
      <c r="U25" s="735"/>
      <c r="V25" s="678"/>
      <c r="W25" s="679"/>
      <c r="X25" s="679"/>
      <c r="Y25" s="679"/>
      <c r="Z25" s="680"/>
      <c r="AA25" s="700"/>
      <c r="AB25" s="701"/>
      <c r="AC25" s="701"/>
      <c r="AD25" s="702"/>
    </row>
    <row r="26" spans="1:30" ht="20.100000000000001" customHeight="1" x14ac:dyDescent="0.3">
      <c r="A26" s="473"/>
      <c r="B26" s="489" t="s">
        <v>94</v>
      </c>
      <c r="C26" s="490"/>
      <c r="D26" s="491"/>
      <c r="E26" s="489">
        <f>FRI!U16</f>
        <v>48.25</v>
      </c>
      <c r="F26" s="490"/>
      <c r="G26" s="491"/>
      <c r="H26" s="721" t="s">
        <v>95</v>
      </c>
      <c r="I26" s="722"/>
      <c r="J26" s="722"/>
      <c r="K26" s="723"/>
      <c r="L26" s="691">
        <f>FRI!T2</f>
        <v>6</v>
      </c>
      <c r="M26" s="692"/>
      <c r="N26" s="692"/>
      <c r="O26" s="692"/>
      <c r="P26" s="693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474" t="s">
        <v>70</v>
      </c>
      <c r="B27" s="429" t="s">
        <v>57</v>
      </c>
      <c r="C27" s="429"/>
      <c r="D27" s="426"/>
      <c r="E27" s="426">
        <f>SAT!N31</f>
        <v>3</v>
      </c>
      <c r="F27" s="426"/>
      <c r="G27" s="426"/>
      <c r="H27" s="581">
        <f>SAT!S31</f>
        <v>505</v>
      </c>
      <c r="I27" s="581"/>
      <c r="J27" s="581"/>
      <c r="K27" s="581"/>
      <c r="L27" s="425">
        <f>SAT!N32</f>
        <v>0.17606861446203195</v>
      </c>
      <c r="M27" s="425"/>
      <c r="N27" s="425"/>
      <c r="O27" s="425"/>
      <c r="P27" s="425"/>
      <c r="Q27" s="630">
        <f>SUM(E27:G30)</f>
        <v>19</v>
      </c>
      <c r="R27" s="631"/>
      <c r="S27" s="631"/>
      <c r="T27" s="631"/>
      <c r="U27" s="632"/>
      <c r="V27" s="712">
        <f>SUM(H27,H28,H30)</f>
        <v>3185</v>
      </c>
      <c r="W27" s="713"/>
      <c r="X27" s="713"/>
      <c r="Y27" s="713"/>
      <c r="Z27" s="714"/>
      <c r="AA27" s="703">
        <f>V27/Q27</f>
        <v>167.63157894736841</v>
      </c>
      <c r="AB27" s="704"/>
      <c r="AC27" s="704"/>
      <c r="AD27" s="705"/>
    </row>
    <row r="28" spans="1:30" ht="20.100000000000001" customHeight="1" x14ac:dyDescent="0.3">
      <c r="A28" s="475"/>
      <c r="B28" s="429" t="s">
        <v>58</v>
      </c>
      <c r="C28" s="429"/>
      <c r="D28" s="426"/>
      <c r="E28" s="426">
        <f>SAT!O31</f>
        <v>10</v>
      </c>
      <c r="F28" s="426"/>
      <c r="G28" s="426"/>
      <c r="H28" s="581">
        <f>SAT!S32</f>
        <v>2350</v>
      </c>
      <c r="I28" s="581"/>
      <c r="J28" s="581"/>
      <c r="K28" s="581"/>
      <c r="L28" s="425">
        <f>SAT!O32</f>
        <v>0.65372010320061369</v>
      </c>
      <c r="M28" s="425"/>
      <c r="N28" s="425"/>
      <c r="O28" s="425"/>
      <c r="P28" s="425"/>
      <c r="Q28" s="633"/>
      <c r="R28" s="634"/>
      <c r="S28" s="634"/>
      <c r="T28" s="634"/>
      <c r="U28" s="635"/>
      <c r="V28" s="715"/>
      <c r="W28" s="716"/>
      <c r="X28" s="716"/>
      <c r="Y28" s="716"/>
      <c r="Z28" s="717"/>
      <c r="AA28" s="706"/>
      <c r="AB28" s="707"/>
      <c r="AC28" s="707"/>
      <c r="AD28" s="708"/>
    </row>
    <row r="29" spans="1:30" ht="20.100000000000001" customHeight="1" x14ac:dyDescent="0.3">
      <c r="A29" s="475"/>
      <c r="B29" s="429" t="s">
        <v>45</v>
      </c>
      <c r="C29" s="429"/>
      <c r="D29" s="426"/>
      <c r="E29" s="426">
        <f>SAT!P31</f>
        <v>2</v>
      </c>
      <c r="F29" s="426"/>
      <c r="G29" s="426"/>
      <c r="H29" s="581">
        <f>SAT!K31</f>
        <v>158.19999999999999</v>
      </c>
      <c r="I29" s="581"/>
      <c r="J29" s="581"/>
      <c r="K29" s="581"/>
      <c r="L29" s="425">
        <f>SAT!P32</f>
        <v>5.5156544174046439E-2</v>
      </c>
      <c r="M29" s="425"/>
      <c r="N29" s="425"/>
      <c r="O29" s="425"/>
      <c r="P29" s="425"/>
      <c r="Q29" s="633"/>
      <c r="R29" s="634"/>
      <c r="S29" s="634"/>
      <c r="T29" s="634"/>
      <c r="U29" s="635"/>
      <c r="V29" s="715"/>
      <c r="W29" s="716"/>
      <c r="X29" s="716"/>
      <c r="Y29" s="716"/>
      <c r="Z29" s="717"/>
      <c r="AA29" s="706"/>
      <c r="AB29" s="707"/>
      <c r="AC29" s="707"/>
      <c r="AD29" s="708"/>
    </row>
    <row r="30" spans="1:30" ht="20.100000000000001" customHeight="1" x14ac:dyDescent="0.3">
      <c r="A30" s="475"/>
      <c r="B30" s="427" t="s">
        <v>65</v>
      </c>
      <c r="C30" s="428"/>
      <c r="D30" s="429"/>
      <c r="E30" s="427">
        <f>SAT!Q31</f>
        <v>4</v>
      </c>
      <c r="F30" s="428"/>
      <c r="G30" s="429"/>
      <c r="H30" s="421">
        <f>SAT!J31</f>
        <v>330</v>
      </c>
      <c r="I30" s="422"/>
      <c r="J30" s="422"/>
      <c r="K30" s="423"/>
      <c r="L30" s="639">
        <f>SAT!Q32</f>
        <v>0.11505473816330801</v>
      </c>
      <c r="M30" s="640"/>
      <c r="N30" s="640"/>
      <c r="O30" s="640"/>
      <c r="P30" s="641"/>
      <c r="Q30" s="636"/>
      <c r="R30" s="637"/>
      <c r="S30" s="637"/>
      <c r="T30" s="637"/>
      <c r="U30" s="638"/>
      <c r="V30" s="718"/>
      <c r="W30" s="719"/>
      <c r="X30" s="719"/>
      <c r="Y30" s="719"/>
      <c r="Z30" s="720"/>
      <c r="AA30" s="709"/>
      <c r="AB30" s="710"/>
      <c r="AC30" s="710"/>
      <c r="AD30" s="711"/>
    </row>
    <row r="31" spans="1:30" ht="20.100000000000001" customHeight="1" x14ac:dyDescent="0.3">
      <c r="A31" s="476"/>
      <c r="B31" s="427" t="s">
        <v>94</v>
      </c>
      <c r="C31" s="428"/>
      <c r="D31" s="429"/>
      <c r="E31" s="427">
        <f>SAT!U16</f>
        <v>55.75</v>
      </c>
      <c r="F31" s="428"/>
      <c r="G31" s="429"/>
      <c r="H31" s="421" t="s">
        <v>95</v>
      </c>
      <c r="I31" s="422"/>
      <c r="J31" s="422"/>
      <c r="K31" s="423"/>
      <c r="L31" s="411">
        <f>SAT!T2</f>
        <v>7</v>
      </c>
      <c r="M31" s="412"/>
      <c r="N31" s="412"/>
      <c r="O31" s="412"/>
      <c r="P31" s="413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477" t="s">
        <v>71</v>
      </c>
      <c r="B32" s="495" t="s">
        <v>57</v>
      </c>
      <c r="C32" s="416"/>
      <c r="D32" s="416"/>
      <c r="E32" s="416">
        <f>SUN!N31</f>
        <v>3</v>
      </c>
      <c r="F32" s="416"/>
      <c r="G32" s="416"/>
      <c r="H32" s="417">
        <f>SUN!S31</f>
        <v>190</v>
      </c>
      <c r="I32" s="417"/>
      <c r="J32" s="417"/>
      <c r="K32" s="417"/>
      <c r="L32" s="418">
        <f>SUN!N32</f>
        <v>5.6339698730874153E-2</v>
      </c>
      <c r="M32" s="418"/>
      <c r="N32" s="418"/>
      <c r="O32" s="418"/>
      <c r="P32" s="418"/>
      <c r="Q32" s="687">
        <f>SUM(E32:G35)</f>
        <v>32</v>
      </c>
      <c r="R32" s="687"/>
      <c r="S32" s="687"/>
      <c r="T32" s="687"/>
      <c r="U32" s="687"/>
      <c r="V32" s="745">
        <f>SUM(H32,H33,H35)</f>
        <v>3235</v>
      </c>
      <c r="W32" s="745"/>
      <c r="X32" s="745"/>
      <c r="Y32" s="745"/>
      <c r="Z32" s="745"/>
      <c r="AA32" s="759">
        <f>V32/Q32</f>
        <v>101.09375</v>
      </c>
      <c r="AB32" s="760"/>
      <c r="AC32" s="760"/>
      <c r="AD32" s="760"/>
    </row>
    <row r="33" spans="1:30" ht="20.100000000000001" customHeight="1" x14ac:dyDescent="0.3">
      <c r="A33" s="478"/>
      <c r="B33" s="495" t="s">
        <v>58</v>
      </c>
      <c r="C33" s="416"/>
      <c r="D33" s="416"/>
      <c r="E33" s="416">
        <f>SUN!O31</f>
        <v>26</v>
      </c>
      <c r="F33" s="416"/>
      <c r="G33" s="416"/>
      <c r="H33" s="417">
        <f>SUN!S32</f>
        <v>2990</v>
      </c>
      <c r="I33" s="417"/>
      <c r="J33" s="417"/>
      <c r="K33" s="417"/>
      <c r="L33" s="418">
        <f>SUN!O32</f>
        <v>0.8866089431858617</v>
      </c>
      <c r="M33" s="418"/>
      <c r="N33" s="418"/>
      <c r="O33" s="418"/>
      <c r="P33" s="418"/>
      <c r="Q33" s="687"/>
      <c r="R33" s="687"/>
      <c r="S33" s="687"/>
      <c r="T33" s="687"/>
      <c r="U33" s="687"/>
      <c r="V33" s="745"/>
      <c r="W33" s="745"/>
      <c r="X33" s="745"/>
      <c r="Y33" s="745"/>
      <c r="Z33" s="745"/>
      <c r="AA33" s="760"/>
      <c r="AB33" s="760"/>
      <c r="AC33" s="760"/>
      <c r="AD33" s="760"/>
    </row>
    <row r="34" spans="1:30" ht="20.100000000000001" customHeight="1" x14ac:dyDescent="0.3">
      <c r="A34" s="478"/>
      <c r="B34" s="495" t="s">
        <v>45</v>
      </c>
      <c r="C34" s="416"/>
      <c r="D34" s="416"/>
      <c r="E34" s="416">
        <f>SUN!P31</f>
        <v>2</v>
      </c>
      <c r="F34" s="416"/>
      <c r="G34" s="416"/>
      <c r="H34" s="417">
        <f>SUN!K31</f>
        <v>137.39999999999998</v>
      </c>
      <c r="I34" s="417"/>
      <c r="J34" s="417"/>
      <c r="K34" s="417"/>
      <c r="L34" s="418">
        <f>SUN!P32</f>
        <v>4.0742497924326881E-2</v>
      </c>
      <c r="M34" s="418"/>
      <c r="N34" s="418"/>
      <c r="O34" s="418"/>
      <c r="P34" s="418"/>
      <c r="Q34" s="687"/>
      <c r="R34" s="687"/>
      <c r="S34" s="687"/>
      <c r="T34" s="687"/>
      <c r="U34" s="687"/>
      <c r="V34" s="745"/>
      <c r="W34" s="745"/>
      <c r="X34" s="745"/>
      <c r="Y34" s="745"/>
      <c r="Z34" s="745"/>
      <c r="AA34" s="760"/>
      <c r="AB34" s="760"/>
      <c r="AC34" s="760"/>
      <c r="AD34" s="760"/>
    </row>
    <row r="35" spans="1:30" ht="20.100000000000001" customHeight="1" x14ac:dyDescent="0.3">
      <c r="A35" s="478"/>
      <c r="B35" s="495" t="s">
        <v>65</v>
      </c>
      <c r="C35" s="416"/>
      <c r="D35" s="416"/>
      <c r="E35" s="416">
        <f>SUN!Q31</f>
        <v>1</v>
      </c>
      <c r="F35" s="416"/>
      <c r="G35" s="416"/>
      <c r="H35" s="417">
        <f>SUN!J31</f>
        <v>55</v>
      </c>
      <c r="I35" s="417"/>
      <c r="J35" s="417"/>
      <c r="K35" s="417"/>
      <c r="L35" s="418">
        <f>SUN!Q32</f>
        <v>1.6308860158937254E-2</v>
      </c>
      <c r="M35" s="418"/>
      <c r="N35" s="418"/>
      <c r="O35" s="418"/>
      <c r="P35" s="418"/>
      <c r="Q35" s="687"/>
      <c r="R35" s="687"/>
      <c r="S35" s="687"/>
      <c r="T35" s="687"/>
      <c r="U35" s="687"/>
      <c r="V35" s="745"/>
      <c r="W35" s="745"/>
      <c r="X35" s="745"/>
      <c r="Y35" s="745"/>
      <c r="Z35" s="745"/>
      <c r="AA35" s="760"/>
      <c r="AB35" s="760"/>
      <c r="AC35" s="760"/>
      <c r="AD35" s="760"/>
    </row>
    <row r="36" spans="1:30" ht="20.100000000000001" customHeight="1" thickBot="1" x14ac:dyDescent="0.35">
      <c r="A36" s="479"/>
      <c r="B36" s="492" t="s">
        <v>94</v>
      </c>
      <c r="C36" s="493"/>
      <c r="D36" s="494"/>
      <c r="E36" s="492">
        <f>SUN!U16</f>
        <v>65.25</v>
      </c>
      <c r="F36" s="493"/>
      <c r="G36" s="494"/>
      <c r="H36" s="492" t="s">
        <v>95</v>
      </c>
      <c r="I36" s="493"/>
      <c r="J36" s="493"/>
      <c r="K36" s="494"/>
      <c r="L36" s="761">
        <f>SUN!T2</f>
        <v>8</v>
      </c>
      <c r="M36" s="762"/>
      <c r="N36" s="762"/>
      <c r="O36" s="762"/>
      <c r="P36" s="763"/>
      <c r="Q36" s="684"/>
      <c r="R36" s="685"/>
      <c r="S36" s="685"/>
      <c r="T36" s="685"/>
      <c r="U36" s="686"/>
      <c r="V36" s="748"/>
      <c r="W36" s="749"/>
      <c r="X36" s="749"/>
      <c r="Y36" s="749"/>
      <c r="Z36" s="750"/>
      <c r="AA36" s="751"/>
      <c r="AB36" s="752"/>
      <c r="AC36" s="752"/>
      <c r="AD36" s="753"/>
    </row>
    <row r="37" spans="1:30" ht="16.5" customHeight="1" x14ac:dyDescent="0.3">
      <c r="A37" s="736" t="s">
        <v>72</v>
      </c>
      <c r="B37" s="737"/>
      <c r="C37" s="737"/>
      <c r="D37" s="737"/>
      <c r="E37" s="737" t="s">
        <v>73</v>
      </c>
      <c r="F37" s="737"/>
      <c r="G37" s="737"/>
      <c r="H37" s="737"/>
      <c r="I37" s="737"/>
      <c r="J37" s="737"/>
      <c r="K37" s="737" t="s">
        <v>74</v>
      </c>
      <c r="L37" s="737"/>
      <c r="M37" s="737"/>
      <c r="N37" s="737"/>
      <c r="O37" s="737" t="s">
        <v>65</v>
      </c>
      <c r="P37" s="737"/>
      <c r="Q37" s="737"/>
      <c r="R37" s="737"/>
      <c r="S37" s="737"/>
      <c r="T37" s="737" t="s">
        <v>75</v>
      </c>
      <c r="U37" s="737"/>
      <c r="V37" s="737"/>
      <c r="W37" s="737"/>
      <c r="X37" s="737"/>
      <c r="Y37" s="737" t="s">
        <v>76</v>
      </c>
      <c r="Z37" s="737"/>
      <c r="AA37" s="737"/>
      <c r="AB37" s="737"/>
      <c r="AC37" s="737"/>
      <c r="AD37" s="746"/>
    </row>
    <row r="38" spans="1:30" ht="16.5" customHeight="1" x14ac:dyDescent="0.3">
      <c r="A38" s="738"/>
      <c r="B38" s="739"/>
      <c r="C38" s="739"/>
      <c r="D38" s="739"/>
      <c r="E38" s="739"/>
      <c r="F38" s="739"/>
      <c r="G38" s="739"/>
      <c r="H38" s="739"/>
      <c r="I38" s="739"/>
      <c r="J38" s="739"/>
      <c r="K38" s="739"/>
      <c r="L38" s="739"/>
      <c r="M38" s="739"/>
      <c r="N38" s="739"/>
      <c r="O38" s="739"/>
      <c r="P38" s="739"/>
      <c r="Q38" s="739"/>
      <c r="R38" s="739"/>
      <c r="S38" s="739"/>
      <c r="T38" s="739"/>
      <c r="U38" s="739"/>
      <c r="V38" s="739"/>
      <c r="W38" s="739"/>
      <c r="X38" s="739"/>
      <c r="Y38" s="739"/>
      <c r="Z38" s="739"/>
      <c r="AA38" s="739"/>
      <c r="AB38" s="739"/>
      <c r="AC38" s="739"/>
      <c r="AD38" s="747"/>
    </row>
    <row r="39" spans="1:30" ht="16.5" customHeight="1" x14ac:dyDescent="0.3">
      <c r="A39" s="740">
        <f>SUM(Q2:U35)</f>
        <v>124</v>
      </c>
      <c r="B39" s="741"/>
      <c r="C39" s="741"/>
      <c r="D39" s="741"/>
      <c r="E39" s="744">
        <f>SUM(V2:Z35)</f>
        <v>12785</v>
      </c>
      <c r="F39" s="741"/>
      <c r="G39" s="741"/>
      <c r="H39" s="741"/>
      <c r="I39" s="741"/>
      <c r="J39" s="741"/>
      <c r="K39" s="744">
        <f>E39/A39</f>
        <v>103.10483870967742</v>
      </c>
      <c r="L39" s="741"/>
      <c r="M39" s="741"/>
      <c r="N39" s="741"/>
      <c r="O39" s="741">
        <f>SUM(MON:SUN!Q31)</f>
        <v>13</v>
      </c>
      <c r="P39" s="741"/>
      <c r="Q39" s="741"/>
      <c r="R39" s="741"/>
      <c r="S39" s="741"/>
      <c r="T39" s="741">
        <f>SUM(MON:SUN!P31)</f>
        <v>19</v>
      </c>
      <c r="U39" s="741"/>
      <c r="V39" s="741"/>
      <c r="W39" s="741"/>
      <c r="X39" s="741"/>
      <c r="Y39" s="741">
        <f>SUM(MON:SUN!S19)</f>
        <v>3</v>
      </c>
      <c r="Z39" s="741"/>
      <c r="AA39" s="741"/>
      <c r="AB39" s="741"/>
      <c r="AC39" s="741"/>
      <c r="AD39" s="756"/>
    </row>
    <row r="40" spans="1:30" ht="16.5" customHeight="1" x14ac:dyDescent="0.3">
      <c r="A40" s="740"/>
      <c r="B40" s="741"/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  <c r="N40" s="741"/>
      <c r="O40" s="741"/>
      <c r="P40" s="741"/>
      <c r="Q40" s="741"/>
      <c r="R40" s="741"/>
      <c r="S40" s="741"/>
      <c r="T40" s="741"/>
      <c r="U40" s="741"/>
      <c r="V40" s="741"/>
      <c r="W40" s="741"/>
      <c r="X40" s="741"/>
      <c r="Y40" s="741"/>
      <c r="Z40" s="741"/>
      <c r="AA40" s="741"/>
      <c r="AB40" s="741"/>
      <c r="AC40" s="741"/>
      <c r="AD40" s="756"/>
    </row>
    <row r="41" spans="1:30" ht="16.5" customHeight="1" x14ac:dyDescent="0.3">
      <c r="A41" s="740"/>
      <c r="B41" s="741"/>
      <c r="C41" s="741"/>
      <c r="D41" s="741"/>
      <c r="E41" s="741"/>
      <c r="F41" s="741"/>
      <c r="G41" s="741"/>
      <c r="H41" s="741"/>
      <c r="I41" s="741"/>
      <c r="J41" s="741"/>
      <c r="K41" s="741"/>
      <c r="L41" s="741"/>
      <c r="M41" s="741"/>
      <c r="N41" s="741"/>
      <c r="O41" s="754">
        <f>SUM(MON:SUN!J31)</f>
        <v>880</v>
      </c>
      <c r="P41" s="754"/>
      <c r="Q41" s="754"/>
      <c r="R41" s="754"/>
      <c r="S41" s="754"/>
      <c r="T41" s="754">
        <f>SUM(MON:SUN!K31)</f>
        <v>1132.7799999999997</v>
      </c>
      <c r="U41" s="754"/>
      <c r="V41" s="754"/>
      <c r="W41" s="754"/>
      <c r="X41" s="754"/>
      <c r="Y41" s="754">
        <f>SUM(MON:SUN!T19)</f>
        <v>1325</v>
      </c>
      <c r="Z41" s="754"/>
      <c r="AA41" s="754"/>
      <c r="AB41" s="754"/>
      <c r="AC41" s="754"/>
      <c r="AD41" s="757"/>
    </row>
    <row r="42" spans="1:30" ht="16.5" customHeight="1" thickBot="1" x14ac:dyDescent="0.35">
      <c r="A42" s="742"/>
      <c r="B42" s="743"/>
      <c r="C42" s="743"/>
      <c r="D42" s="743"/>
      <c r="E42" s="743"/>
      <c r="F42" s="743"/>
      <c r="G42" s="743"/>
      <c r="H42" s="743"/>
      <c r="I42" s="743"/>
      <c r="J42" s="743"/>
      <c r="K42" s="743"/>
      <c r="L42" s="743"/>
      <c r="M42" s="743"/>
      <c r="N42" s="743"/>
      <c r="O42" s="755"/>
      <c r="P42" s="755"/>
      <c r="Q42" s="755"/>
      <c r="R42" s="755"/>
      <c r="S42" s="755"/>
      <c r="T42" s="755"/>
      <c r="U42" s="755"/>
      <c r="V42" s="755"/>
      <c r="W42" s="755"/>
      <c r="X42" s="755"/>
      <c r="Y42" s="755"/>
      <c r="Z42" s="755"/>
      <c r="AA42" s="755"/>
      <c r="AB42" s="755"/>
      <c r="AC42" s="755"/>
      <c r="AD42" s="758"/>
    </row>
    <row r="43" spans="1:30" ht="17.45" customHeight="1" x14ac:dyDescent="0.3">
      <c r="A43" s="515" t="s">
        <v>84</v>
      </c>
      <c r="B43" s="516"/>
      <c r="C43" s="516"/>
      <c r="D43" s="516"/>
      <c r="E43" s="517"/>
      <c r="F43" s="515" t="s">
        <v>85</v>
      </c>
      <c r="G43" s="516"/>
      <c r="H43" s="516"/>
      <c r="I43" s="516"/>
      <c r="J43" s="517"/>
      <c r="K43" s="515" t="s">
        <v>86</v>
      </c>
      <c r="L43" s="516"/>
      <c r="M43" s="516"/>
      <c r="N43" s="516"/>
      <c r="O43" s="517"/>
      <c r="P43" s="515" t="s">
        <v>87</v>
      </c>
      <c r="Q43" s="516"/>
      <c r="R43" s="516"/>
      <c r="S43" s="516"/>
      <c r="T43" s="517"/>
      <c r="U43" s="515" t="s">
        <v>90</v>
      </c>
      <c r="V43" s="516"/>
      <c r="W43" s="516"/>
      <c r="X43" s="516"/>
      <c r="Y43" s="517"/>
      <c r="Z43" s="521" t="s">
        <v>95</v>
      </c>
      <c r="AA43" s="522"/>
      <c r="AB43" s="522"/>
      <c r="AC43" s="522"/>
      <c r="AD43" s="523"/>
    </row>
    <row r="44" spans="1:30" ht="17.45" customHeight="1" x14ac:dyDescent="0.3">
      <c r="A44" s="518"/>
      <c r="B44" s="519"/>
      <c r="C44" s="519"/>
      <c r="D44" s="519"/>
      <c r="E44" s="520"/>
      <c r="F44" s="518"/>
      <c r="G44" s="519"/>
      <c r="H44" s="519"/>
      <c r="I44" s="519"/>
      <c r="J44" s="520"/>
      <c r="K44" s="518"/>
      <c r="L44" s="519"/>
      <c r="M44" s="519"/>
      <c r="N44" s="519"/>
      <c r="O44" s="520"/>
      <c r="P44" s="518"/>
      <c r="Q44" s="519"/>
      <c r="R44" s="519"/>
      <c r="S44" s="519"/>
      <c r="T44" s="520"/>
      <c r="U44" s="518"/>
      <c r="V44" s="519"/>
      <c r="W44" s="519"/>
      <c r="X44" s="519"/>
      <c r="Y44" s="520"/>
      <c r="Z44" s="524"/>
      <c r="AA44" s="525"/>
      <c r="AB44" s="525"/>
      <c r="AC44" s="525"/>
      <c r="AD44" s="526"/>
    </row>
    <row r="45" spans="1:30" x14ac:dyDescent="0.3">
      <c r="A45" s="527">
        <f>SUM(H2,H7,H12,H17,H22,H27,H32)</f>
        <v>2565</v>
      </c>
      <c r="B45" s="528"/>
      <c r="C45" s="528"/>
      <c r="D45" s="528"/>
      <c r="E45" s="529"/>
      <c r="F45" s="527">
        <f>SUM(,H3,H8,H13,H18,H23,H28,H33)</f>
        <v>9340</v>
      </c>
      <c r="G45" s="528"/>
      <c r="H45" s="528"/>
      <c r="I45" s="528"/>
      <c r="J45" s="529"/>
      <c r="K45" s="527">
        <f>SUM(H5,H10,H15,H20,H25,H30,H35)</f>
        <v>880</v>
      </c>
      <c r="L45" s="528"/>
      <c r="M45" s="528"/>
      <c r="N45" s="528"/>
      <c r="O45" s="529"/>
      <c r="P45" s="527">
        <f>SUM(H4,H9,H14,H19,H24,H29,H34)</f>
        <v>1132.7799999999997</v>
      </c>
      <c r="Q45" s="528"/>
      <c r="R45" s="528"/>
      <c r="S45" s="528"/>
      <c r="T45" s="529"/>
      <c r="U45" s="536">
        <f>SUM(E6,E11,E16,E21,E26,E31,E36)</f>
        <v>304.5</v>
      </c>
      <c r="V45" s="528"/>
      <c r="W45" s="528"/>
      <c r="X45" s="528"/>
      <c r="Y45" s="529"/>
      <c r="Z45" s="536">
        <f>SUM(L6,L11,L16,L21,L26,L31,L36)</f>
        <v>41</v>
      </c>
      <c r="AA45" s="528"/>
      <c r="AB45" s="528"/>
      <c r="AC45" s="528"/>
      <c r="AD45" s="537"/>
    </row>
    <row r="46" spans="1:30" x14ac:dyDescent="0.3">
      <c r="A46" s="530"/>
      <c r="B46" s="531"/>
      <c r="C46" s="531"/>
      <c r="D46" s="531"/>
      <c r="E46" s="532"/>
      <c r="F46" s="530"/>
      <c r="G46" s="531"/>
      <c r="H46" s="531"/>
      <c r="I46" s="531"/>
      <c r="J46" s="532"/>
      <c r="K46" s="530"/>
      <c r="L46" s="531"/>
      <c r="M46" s="531"/>
      <c r="N46" s="531"/>
      <c r="O46" s="532"/>
      <c r="P46" s="530"/>
      <c r="Q46" s="531"/>
      <c r="R46" s="531"/>
      <c r="S46" s="531"/>
      <c r="T46" s="532"/>
      <c r="U46" s="530"/>
      <c r="V46" s="531"/>
      <c r="W46" s="531"/>
      <c r="X46" s="531"/>
      <c r="Y46" s="532"/>
      <c r="Z46" s="530"/>
      <c r="AA46" s="531"/>
      <c r="AB46" s="531"/>
      <c r="AC46" s="531"/>
      <c r="AD46" s="538"/>
    </row>
    <row r="47" spans="1:30" x14ac:dyDescent="0.3">
      <c r="A47" s="530"/>
      <c r="B47" s="531"/>
      <c r="C47" s="531"/>
      <c r="D47" s="531"/>
      <c r="E47" s="532"/>
      <c r="F47" s="530"/>
      <c r="G47" s="531"/>
      <c r="H47" s="531"/>
      <c r="I47" s="531"/>
      <c r="J47" s="532"/>
      <c r="K47" s="530"/>
      <c r="L47" s="531"/>
      <c r="M47" s="531"/>
      <c r="N47" s="531"/>
      <c r="O47" s="532"/>
      <c r="P47" s="530"/>
      <c r="Q47" s="531"/>
      <c r="R47" s="531"/>
      <c r="S47" s="531"/>
      <c r="T47" s="532"/>
      <c r="U47" s="530"/>
      <c r="V47" s="531"/>
      <c r="W47" s="531"/>
      <c r="X47" s="531"/>
      <c r="Y47" s="532"/>
      <c r="Z47" s="530"/>
      <c r="AA47" s="531"/>
      <c r="AB47" s="531"/>
      <c r="AC47" s="531"/>
      <c r="AD47" s="538"/>
    </row>
    <row r="48" spans="1:30" ht="17.25" thickBot="1" x14ac:dyDescent="0.35">
      <c r="A48" s="533"/>
      <c r="B48" s="534"/>
      <c r="C48" s="534"/>
      <c r="D48" s="534"/>
      <c r="E48" s="535"/>
      <c r="F48" s="533"/>
      <c r="G48" s="534"/>
      <c r="H48" s="534"/>
      <c r="I48" s="534"/>
      <c r="J48" s="535"/>
      <c r="K48" s="533"/>
      <c r="L48" s="534"/>
      <c r="M48" s="534"/>
      <c r="N48" s="534"/>
      <c r="O48" s="535"/>
      <c r="P48" s="533"/>
      <c r="Q48" s="534"/>
      <c r="R48" s="534"/>
      <c r="S48" s="534"/>
      <c r="T48" s="535"/>
      <c r="U48" s="533"/>
      <c r="V48" s="534"/>
      <c r="W48" s="534"/>
      <c r="X48" s="534"/>
      <c r="Y48" s="535"/>
      <c r="Z48" s="533"/>
      <c r="AA48" s="534"/>
      <c r="AB48" s="534"/>
      <c r="AC48" s="534"/>
      <c r="AD48" s="539"/>
    </row>
    <row r="49" spans="1:30" ht="17.45" customHeight="1" x14ac:dyDescent="0.3">
      <c r="A49" s="497">
        <f>A45/E39</f>
        <v>0.20062573328118891</v>
      </c>
      <c r="B49" s="498"/>
      <c r="C49" s="498"/>
      <c r="D49" s="498"/>
      <c r="E49" s="499"/>
      <c r="F49" s="497">
        <f>F45/E39</f>
        <v>0.7305436057880329</v>
      </c>
      <c r="G49" s="498"/>
      <c r="H49" s="498"/>
      <c r="I49" s="498"/>
      <c r="J49" s="499"/>
      <c r="K49" s="497">
        <f>K45/E39</f>
        <v>6.8830660930778262E-2</v>
      </c>
      <c r="L49" s="498"/>
      <c r="M49" s="498"/>
      <c r="N49" s="498"/>
      <c r="O49" s="499"/>
      <c r="P49" s="497">
        <f>P45/E39</f>
        <v>8.8602268283144284E-2</v>
      </c>
      <c r="Q49" s="498"/>
      <c r="R49" s="498"/>
      <c r="S49" s="498"/>
      <c r="T49" s="499"/>
      <c r="U49" s="506">
        <f>U45/7</f>
        <v>43.5</v>
      </c>
      <c r="V49" s="507"/>
      <c r="W49" s="507"/>
      <c r="X49" s="507"/>
      <c r="Y49" s="508"/>
      <c r="Z49" s="506">
        <f>U45/Z45</f>
        <v>7.4268292682926829</v>
      </c>
      <c r="AA49" s="507"/>
      <c r="AB49" s="507"/>
      <c r="AC49" s="507"/>
      <c r="AD49" s="508"/>
    </row>
    <row r="50" spans="1:30" ht="17.45" customHeight="1" x14ac:dyDescent="0.3">
      <c r="A50" s="500"/>
      <c r="B50" s="501"/>
      <c r="C50" s="501"/>
      <c r="D50" s="501"/>
      <c r="E50" s="502"/>
      <c r="F50" s="500"/>
      <c r="G50" s="501"/>
      <c r="H50" s="501"/>
      <c r="I50" s="501"/>
      <c r="J50" s="502"/>
      <c r="K50" s="500"/>
      <c r="L50" s="501"/>
      <c r="M50" s="501"/>
      <c r="N50" s="501"/>
      <c r="O50" s="502"/>
      <c r="P50" s="500"/>
      <c r="Q50" s="501"/>
      <c r="R50" s="501"/>
      <c r="S50" s="501"/>
      <c r="T50" s="502"/>
      <c r="U50" s="509"/>
      <c r="V50" s="510"/>
      <c r="W50" s="510"/>
      <c r="X50" s="510"/>
      <c r="Y50" s="511"/>
      <c r="Z50" s="509"/>
      <c r="AA50" s="510"/>
      <c r="AB50" s="510"/>
      <c r="AC50" s="510"/>
      <c r="AD50" s="511"/>
    </row>
    <row r="51" spans="1:30" ht="17.45" customHeight="1" x14ac:dyDescent="0.3">
      <c r="A51" s="500"/>
      <c r="B51" s="501"/>
      <c r="C51" s="501"/>
      <c r="D51" s="501"/>
      <c r="E51" s="502"/>
      <c r="F51" s="500"/>
      <c r="G51" s="501"/>
      <c r="H51" s="501"/>
      <c r="I51" s="501"/>
      <c r="J51" s="502"/>
      <c r="K51" s="500"/>
      <c r="L51" s="501"/>
      <c r="M51" s="501"/>
      <c r="N51" s="501"/>
      <c r="O51" s="502"/>
      <c r="P51" s="500"/>
      <c r="Q51" s="501"/>
      <c r="R51" s="501"/>
      <c r="S51" s="501"/>
      <c r="T51" s="502"/>
      <c r="U51" s="509"/>
      <c r="V51" s="510"/>
      <c r="W51" s="510"/>
      <c r="X51" s="510"/>
      <c r="Y51" s="511"/>
      <c r="Z51" s="509"/>
      <c r="AA51" s="510"/>
      <c r="AB51" s="510"/>
      <c r="AC51" s="510"/>
      <c r="AD51" s="511"/>
    </row>
    <row r="52" spans="1:30" ht="18" customHeight="1" thickBot="1" x14ac:dyDescent="0.35">
      <c r="A52" s="503"/>
      <c r="B52" s="504"/>
      <c r="C52" s="504"/>
      <c r="D52" s="504"/>
      <c r="E52" s="505"/>
      <c r="F52" s="503"/>
      <c r="G52" s="504"/>
      <c r="H52" s="504"/>
      <c r="I52" s="504"/>
      <c r="J52" s="505"/>
      <c r="K52" s="503"/>
      <c r="L52" s="504"/>
      <c r="M52" s="504"/>
      <c r="N52" s="504"/>
      <c r="O52" s="505"/>
      <c r="P52" s="503"/>
      <c r="Q52" s="504"/>
      <c r="R52" s="504"/>
      <c r="S52" s="504"/>
      <c r="T52" s="505"/>
      <c r="U52" s="512"/>
      <c r="V52" s="513"/>
      <c r="W52" s="513"/>
      <c r="X52" s="513"/>
      <c r="Y52" s="514"/>
      <c r="Z52" s="512"/>
      <c r="AA52" s="513"/>
      <c r="AB52" s="513"/>
      <c r="AC52" s="513"/>
      <c r="AD52" s="514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8FCB-4BB4-4C7D-ABB8-3C8CA5A41378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FE48-8AA9-4E9C-8198-734B89D6ABDC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8B126505-7729-48A1-816C-B90A86FBBFA8}"/>
</file>

<file path=customXml/itemProps2.xml><?xml version="1.0" encoding="utf-8"?>
<ds:datastoreItem xmlns:ds="http://schemas.openxmlformats.org/officeDocument/2006/customXml" ds:itemID="{D604A5CB-62A5-4724-8C81-A60A3615026A}"/>
</file>

<file path=customXml/itemProps3.xml><?xml version="1.0" encoding="utf-8"?>
<ds:datastoreItem xmlns:ds="http://schemas.openxmlformats.org/officeDocument/2006/customXml" ds:itemID="{E737ED95-7CBA-487F-8FD6-409634DEC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Sheet1</vt:lpstr>
      <vt:lpstr>Sheet2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2022-05-04T23:53:30Z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