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wonst\Downloads\"/>
    </mc:Choice>
  </mc:AlternateContent>
  <xr:revisionPtr revIDLastSave="0" documentId="13_ncr:1_{2793B3D7-19B0-4940-87D2-E8F72E9C50E5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J6" i="1"/>
  <c r="U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L31" i="4"/>
  <c r="M30" i="4"/>
  <c r="M31" i="4" s="1"/>
  <c r="L30" i="4"/>
  <c r="I30" i="4"/>
  <c r="I31" i="4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H32" i="5"/>
  <c r="Z31" i="5"/>
  <c r="Q31" i="5"/>
  <c r="P31" i="5"/>
  <c r="O31" i="5"/>
  <c r="N31" i="5"/>
  <c r="L31" i="5"/>
  <c r="M30" i="5"/>
  <c r="M31" i="5" s="1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L31" i="6"/>
  <c r="M30" i="6"/>
  <c r="M31" i="6" s="1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9" i="7"/>
  <c r="J8" i="7"/>
  <c r="J7" i="7"/>
  <c r="J6" i="7"/>
  <c r="J5" i="7"/>
  <c r="T19" i="7"/>
  <c r="S19" i="7"/>
  <c r="K24" i="7"/>
  <c r="J30" i="2" l="1"/>
  <c r="J31" i="2" s="1"/>
  <c r="K30" i="2"/>
  <c r="K31" i="2" s="1"/>
  <c r="H34" i="8" s="1"/>
  <c r="U16" i="2"/>
  <c r="R16" i="2" s="1"/>
  <c r="K30" i="1"/>
  <c r="K31" i="1" s="1"/>
  <c r="J30" i="1"/>
  <c r="J31" i="1" s="1"/>
  <c r="U16" i="1"/>
  <c r="R16" i="1" s="1"/>
  <c r="K30" i="3"/>
  <c r="K31" i="3" s="1"/>
  <c r="J30" i="3"/>
  <c r="J31" i="3" s="1"/>
  <c r="C32" i="3" s="1"/>
  <c r="O32" i="3" s="1"/>
  <c r="U16" i="3"/>
  <c r="S16" i="3" s="1"/>
  <c r="S32" i="4"/>
  <c r="H18" i="8" s="1"/>
  <c r="J30" i="4"/>
  <c r="J31" i="4" s="1"/>
  <c r="K30" i="4"/>
  <c r="K31" i="4" s="1"/>
  <c r="U16" i="4"/>
  <c r="S16" i="4" s="1"/>
  <c r="S32" i="5"/>
  <c r="H13" i="8" s="1"/>
  <c r="K30" i="5"/>
  <c r="K31" i="5" s="1"/>
  <c r="J30" i="5"/>
  <c r="J31" i="5" s="1"/>
  <c r="U16" i="5"/>
  <c r="R16" i="5" s="1"/>
  <c r="S32" i="6"/>
  <c r="H8" i="8" s="1"/>
  <c r="J30" i="6"/>
  <c r="J31" i="6" s="1"/>
  <c r="K30" i="6"/>
  <c r="K31" i="6" s="1"/>
  <c r="U16" i="6"/>
  <c r="E11" i="8" s="1"/>
  <c r="AD25" i="2"/>
  <c r="AI25" i="2"/>
  <c r="S16" i="2"/>
  <c r="Z32" i="2"/>
  <c r="Z33" i="2" s="1"/>
  <c r="S31" i="2"/>
  <c r="H32" i="8" s="1"/>
  <c r="T31" i="2"/>
  <c r="AD25" i="1"/>
  <c r="AI25" i="1"/>
  <c r="S16" i="1"/>
  <c r="Z32" i="1"/>
  <c r="Z33" i="1" s="1"/>
  <c r="S31" i="1"/>
  <c r="T31" i="1"/>
  <c r="AD25" i="3"/>
  <c r="AI25" i="3"/>
  <c r="Z32" i="3"/>
  <c r="Z33" i="3" s="1"/>
  <c r="S31" i="3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Z32" i="5"/>
  <c r="Z33" i="5" s="1"/>
  <c r="T31" i="5"/>
  <c r="AD25" i="6"/>
  <c r="AI25" i="6"/>
  <c r="S31" i="6"/>
  <c r="H7" i="8" s="1"/>
  <c r="Z32" i="6"/>
  <c r="Z33" i="6" s="1"/>
  <c r="T31" i="6"/>
  <c r="H27" i="8"/>
  <c r="H22" i="8"/>
  <c r="H12" i="8"/>
  <c r="L36" i="8"/>
  <c r="L31" i="8"/>
  <c r="L26" i="8"/>
  <c r="L21" i="8"/>
  <c r="L16" i="8"/>
  <c r="L11" i="8"/>
  <c r="L6" i="8"/>
  <c r="E3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M30" i="7"/>
  <c r="L30" i="7"/>
  <c r="L31" i="7" s="1"/>
  <c r="I30" i="7"/>
  <c r="I31" i="7" s="1"/>
  <c r="S32" i="7" s="1"/>
  <c r="H3" i="8" s="1"/>
  <c r="H30" i="7"/>
  <c r="H31" i="7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H35" i="8"/>
  <c r="V32" i="8" s="1"/>
  <c r="C32" i="1"/>
  <c r="P32" i="1" s="1"/>
  <c r="E31" i="8"/>
  <c r="E26" i="8"/>
  <c r="R16" i="3"/>
  <c r="C32" i="4"/>
  <c r="T16" i="4" s="1"/>
  <c r="R16" i="4"/>
  <c r="C32" i="5"/>
  <c r="O32" i="5" s="1"/>
  <c r="S16" i="5"/>
  <c r="R16" i="6"/>
  <c r="S16" i="6"/>
  <c r="S31" i="7"/>
  <c r="H2" i="8" s="1"/>
  <c r="U25" i="2"/>
  <c r="U25" i="3"/>
  <c r="T16" i="3"/>
  <c r="K32" i="3"/>
  <c r="P32" i="3"/>
  <c r="Q32" i="3"/>
  <c r="N32" i="3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N32" i="2" l="1"/>
  <c r="L32" i="8" s="1"/>
  <c r="Q32" i="2"/>
  <c r="L35" i="8" s="1"/>
  <c r="T16" i="2"/>
  <c r="P32" i="2"/>
  <c r="L34" i="8" s="1"/>
  <c r="K32" i="2"/>
  <c r="O32" i="1"/>
  <c r="N32" i="1"/>
  <c r="T16" i="1"/>
  <c r="K32" i="1"/>
  <c r="Q32" i="1"/>
  <c r="U25" i="1"/>
  <c r="U25" i="4"/>
  <c r="K32" i="4"/>
  <c r="N32" i="4"/>
  <c r="O32" i="4"/>
  <c r="P32" i="4"/>
  <c r="Q32" i="4"/>
  <c r="P32" i="5"/>
  <c r="T16" i="5"/>
  <c r="K32" i="5"/>
  <c r="Q32" i="5"/>
  <c r="U25" i="5"/>
  <c r="N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L25" i="8"/>
  <c r="H24" i="8"/>
  <c r="L24" i="8"/>
  <c r="L22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<sst xmlns="http://schemas.openxmlformats.org/spreadsheetml/2006/main" count="1733" uniqueCount="393">
  <si>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</si>
  <si>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</si>
  <si>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</si>
  <si>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</si>
  <si>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</si>
  <si>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</si>
  <si>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</si>
  <si>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</si>
  <si>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</si>
  <si>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</si>
  <si>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</si>
  <si>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</si>
  <si>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</si>
  <si>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</si>
  <si>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</si>
  <si>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</si>
  <si>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</si>
  <si>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</si>
  <si>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</si>
  <si>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</si>
  <si>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</si>
  <si>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</si>
  <si>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</si>
  <si>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</si>
  <si>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</si>
  <si>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</si>
  <si>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</si>
  <si>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</si>
  <si>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</si>
  <si>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</si>
  <si>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</si>
  <si>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</si>
  <si>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</si>
  <si>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</si>
  <si>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</si>
  <si>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</si>
  <si>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</si>
  <si>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</si>
  <si>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</si>
  <si>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</si>
  <si>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</si>
  <si>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</si>
  <si>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</si>
  <si>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</si>
  <si>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</si>
  <si>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</si>
  <si>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</si>
  <si>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</si>
  <si>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</si>
  <si>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</si>
  <si>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</si>
  <si>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</si>
  <si>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</si>
  <si>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</si>
  <si>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</si>
  <si>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</si>
  <si>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</si>
  <si>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</si>
  <si>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</si>
  <si>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</si>
  <si>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</si>
  <si>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</si>
  <si>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</si>
  <si>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</si>
  <si>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</si>
  <si>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</si>
  <si>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</si>
  <si>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</si>
  <si>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</si>
  <si>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</si>
  <si>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</si>
  <si>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</si>
  <si>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</si>
  <si>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</si>
  <si>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</si>
  <si>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</si>
  <si>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</si>
  <si>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</si>
  <si>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</si>
  <si>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</si>
  <si>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</si>
  <si>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</si>
  <si>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</si>
  <si>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</si>
  <si>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</si>
  <si>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</si>
  <si>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</si>
  <si>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</si>
  <si>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</si>
  <si>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Gender</t>
    <phoneticPr fontId="5" type="noConversion"/>
  </si>
  <si>
    <t>STAFF HRS</t>
    <phoneticPr fontId="5" type="noConversion"/>
  </si>
  <si>
    <t>M</t>
    <phoneticPr fontId="5" type="noConversion"/>
  </si>
  <si>
    <t>F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</si>
  <si>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</si>
  <si>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</si>
  <si>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</si>
  <si>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</si>
  <si>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16 - 5 - 2022</t>
    <phoneticPr fontId="5" type="noConversion"/>
  </si>
  <si>
    <t>SUNNY</t>
    <phoneticPr fontId="5" type="noConversion"/>
  </si>
  <si>
    <t>HENDRA</t>
    <phoneticPr fontId="5" type="noConversion"/>
  </si>
  <si>
    <t>JUNIOR</t>
    <phoneticPr fontId="5" type="noConversion"/>
  </si>
  <si>
    <t>ARIANTO</t>
    <phoneticPr fontId="5" type="noConversion"/>
  </si>
  <si>
    <t>KUROSH</t>
    <phoneticPr fontId="5" type="noConversion"/>
  </si>
  <si>
    <t>VINNY</t>
    <phoneticPr fontId="5" type="noConversion"/>
  </si>
  <si>
    <t>CHARLIE</t>
    <phoneticPr fontId="5" type="noConversion"/>
  </si>
  <si>
    <t>GBI</t>
    <phoneticPr fontId="5" type="noConversion"/>
  </si>
  <si>
    <t>0415888891</t>
    <phoneticPr fontId="5" type="noConversion"/>
  </si>
  <si>
    <t>H</t>
    <phoneticPr fontId="5" type="noConversion"/>
  </si>
  <si>
    <t>GEORGE CAR</t>
    <phoneticPr fontId="5" type="noConversion"/>
  </si>
  <si>
    <t>JCL138</t>
    <phoneticPr fontId="5" type="noConversion"/>
  </si>
  <si>
    <t>0406120826</t>
    <phoneticPr fontId="5" type="noConversion"/>
  </si>
  <si>
    <t>PCL</t>
    <phoneticPr fontId="5" type="noConversion"/>
  </si>
  <si>
    <t># 21122810 1/6</t>
    <phoneticPr fontId="5" type="noConversion"/>
  </si>
  <si>
    <t>BWP56A</t>
    <phoneticPr fontId="5" type="noConversion"/>
  </si>
  <si>
    <t>0432303166</t>
    <phoneticPr fontId="5" type="noConversion"/>
  </si>
  <si>
    <t>D</t>
    <phoneticPr fontId="5" type="noConversion"/>
  </si>
  <si>
    <t>DJF90D</t>
    <phoneticPr fontId="5" type="noConversion"/>
  </si>
  <si>
    <t>0450802929</t>
    <phoneticPr fontId="5" type="noConversion"/>
  </si>
  <si>
    <t>DGA98Z</t>
    <phoneticPr fontId="5" type="noConversion"/>
  </si>
  <si>
    <t>0413996557</t>
    <phoneticPr fontId="5" type="noConversion"/>
  </si>
  <si>
    <t>X</t>
    <phoneticPr fontId="5" type="noConversion"/>
  </si>
  <si>
    <t>ERB29F</t>
    <phoneticPr fontId="5" type="noConversion"/>
  </si>
  <si>
    <t>0428080256</t>
    <phoneticPr fontId="5" type="noConversion"/>
  </si>
  <si>
    <t>EDN88M</t>
    <phoneticPr fontId="5" type="noConversion"/>
  </si>
  <si>
    <t>0411883125</t>
    <phoneticPr fontId="5" type="noConversion"/>
  </si>
  <si>
    <t>ECJ92N</t>
    <phoneticPr fontId="5" type="noConversion"/>
  </si>
  <si>
    <t>0401801938</t>
    <phoneticPr fontId="5" type="noConversion"/>
  </si>
  <si>
    <t>DXH43L</t>
    <phoneticPr fontId="5" type="noConversion"/>
  </si>
  <si>
    <t>0410600470</t>
    <phoneticPr fontId="5" type="noConversion"/>
  </si>
  <si>
    <t>CWP60M</t>
    <phoneticPr fontId="5" type="noConversion"/>
  </si>
  <si>
    <t>0400230754</t>
    <phoneticPr fontId="5" type="noConversion"/>
  </si>
  <si>
    <t>EMN94R</t>
    <phoneticPr fontId="5" type="noConversion"/>
  </si>
  <si>
    <t>0422453824</t>
    <phoneticPr fontId="5" type="noConversion"/>
  </si>
  <si>
    <t>149SCN</t>
    <phoneticPr fontId="5" type="noConversion"/>
  </si>
  <si>
    <t>0404838201</t>
    <phoneticPr fontId="5" type="noConversion"/>
  </si>
  <si>
    <t>PCS</t>
    <phoneticPr fontId="5" type="noConversion"/>
  </si>
  <si>
    <t># 22010 2/6</t>
    <phoneticPr fontId="5" type="noConversion"/>
  </si>
  <si>
    <t>CS22MW</t>
    <phoneticPr fontId="5" type="noConversion"/>
  </si>
  <si>
    <t>0433830239</t>
    <phoneticPr fontId="5" type="noConversion"/>
  </si>
  <si>
    <t>AF889</t>
    <phoneticPr fontId="5" type="noConversion"/>
  </si>
  <si>
    <t>0416893888</t>
    <phoneticPr fontId="5" type="noConversion"/>
  </si>
  <si>
    <t>SIM81L</t>
    <phoneticPr fontId="5" type="noConversion"/>
  </si>
  <si>
    <t>0408963629</t>
    <phoneticPr fontId="5" type="noConversion"/>
  </si>
  <si>
    <t>DD2222</t>
    <phoneticPr fontId="5" type="noConversion"/>
  </si>
  <si>
    <t>0409888822</t>
    <phoneticPr fontId="5" type="noConversion"/>
  </si>
  <si>
    <t>GV3</t>
    <phoneticPr fontId="5" type="noConversion"/>
  </si>
  <si>
    <t># 202778 6/6</t>
    <phoneticPr fontId="5" type="noConversion"/>
  </si>
  <si>
    <t>BDR25W</t>
    <phoneticPr fontId="5" type="noConversion"/>
  </si>
  <si>
    <t>0421356777</t>
    <phoneticPr fontId="5" type="noConversion"/>
  </si>
  <si>
    <t>AJH79D</t>
    <phoneticPr fontId="5" type="noConversion"/>
  </si>
  <si>
    <t>0414560884</t>
    <phoneticPr fontId="5" type="noConversion"/>
  </si>
  <si>
    <t>ID</t>
    <phoneticPr fontId="5" type="noConversion"/>
  </si>
  <si>
    <t>BFE86C</t>
    <phoneticPr fontId="5" type="noConversion"/>
  </si>
  <si>
    <t>0435065659</t>
    <phoneticPr fontId="5" type="noConversion"/>
  </si>
  <si>
    <t>DST81Y</t>
    <phoneticPr fontId="5" type="noConversion"/>
  </si>
  <si>
    <t>0402659320</t>
    <phoneticPr fontId="5" type="noConversion"/>
  </si>
  <si>
    <t>DZO86P</t>
    <phoneticPr fontId="5" type="noConversion"/>
  </si>
  <si>
    <t>0413513528</t>
    <phoneticPr fontId="5" type="noConversion"/>
  </si>
  <si>
    <t>DLU27G</t>
    <phoneticPr fontId="5" type="noConversion"/>
  </si>
  <si>
    <t>0440886933</t>
    <phoneticPr fontId="5" type="noConversion"/>
  </si>
  <si>
    <t>CT51LJ</t>
    <phoneticPr fontId="5" type="noConversion"/>
  </si>
  <si>
    <t>0410431911</t>
    <phoneticPr fontId="5" type="noConversion"/>
  </si>
  <si>
    <t>D/ST</t>
    <phoneticPr fontId="5" type="noConversion"/>
  </si>
  <si>
    <t>CNG97K</t>
    <phoneticPr fontId="5" type="noConversion"/>
  </si>
  <si>
    <t>0404827947</t>
    <phoneticPr fontId="5" type="noConversion"/>
  </si>
  <si>
    <t>NO 24 : 202204063</t>
    <phoneticPr fontId="5" type="noConversion"/>
  </si>
  <si>
    <t>EKO68R</t>
    <phoneticPr fontId="5" type="noConversion"/>
  </si>
  <si>
    <t>0430312281</t>
    <phoneticPr fontId="5" type="noConversion"/>
  </si>
  <si>
    <t>PCL 22027</t>
    <phoneticPr fontId="5" type="noConversion"/>
  </si>
  <si>
    <t>MS0007</t>
    <phoneticPr fontId="5" type="noConversion"/>
  </si>
  <si>
    <t>0422982196</t>
    <phoneticPr fontId="5" type="noConversion"/>
  </si>
  <si>
    <t>17 - 5 - 2022</t>
    <phoneticPr fontId="5" type="noConversion"/>
  </si>
  <si>
    <t>NBN68W</t>
    <phoneticPr fontId="5" type="noConversion"/>
  </si>
  <si>
    <t>0432731177</t>
    <phoneticPr fontId="5" type="noConversion"/>
  </si>
  <si>
    <t>DKR06B</t>
    <phoneticPr fontId="5" type="noConversion"/>
  </si>
  <si>
    <t>EBY17A</t>
    <phoneticPr fontId="5" type="noConversion"/>
  </si>
  <si>
    <t>0425517888</t>
    <phoneticPr fontId="5" type="noConversion"/>
  </si>
  <si>
    <t>GV2</t>
    <phoneticPr fontId="5" type="noConversion"/>
  </si>
  <si>
    <t># 202744 6/6</t>
    <phoneticPr fontId="5" type="noConversion"/>
  </si>
  <si>
    <t>ERY51B</t>
    <phoneticPr fontId="5" type="noConversion"/>
  </si>
  <si>
    <t>0407770517</t>
    <phoneticPr fontId="5" type="noConversion"/>
  </si>
  <si>
    <t>ERE85D</t>
    <phoneticPr fontId="5" type="noConversion"/>
  </si>
  <si>
    <t>0452286033</t>
    <phoneticPr fontId="5" type="noConversion"/>
  </si>
  <si>
    <t>PCL 22028 1/6</t>
    <phoneticPr fontId="5" type="noConversion"/>
  </si>
  <si>
    <t>HOOPER</t>
    <phoneticPr fontId="5" type="noConversion"/>
  </si>
  <si>
    <t>0418628429</t>
    <phoneticPr fontId="5" type="noConversion"/>
  </si>
  <si>
    <t>DZY96P</t>
    <phoneticPr fontId="5" type="noConversion"/>
  </si>
  <si>
    <t>0416162212</t>
    <phoneticPr fontId="5" type="noConversion"/>
  </si>
  <si>
    <t>TAX</t>
    <phoneticPr fontId="5" type="noConversion"/>
  </si>
  <si>
    <t>CSR89J</t>
    <phoneticPr fontId="5" type="noConversion"/>
  </si>
  <si>
    <t>0404868426</t>
    <phoneticPr fontId="5" type="noConversion"/>
  </si>
  <si>
    <t>W/O</t>
    <phoneticPr fontId="5" type="noConversion"/>
  </si>
  <si>
    <t>BER28W</t>
    <phoneticPr fontId="5" type="noConversion"/>
  </si>
  <si>
    <t>0400194999</t>
    <phoneticPr fontId="5" type="noConversion"/>
  </si>
  <si>
    <t>DGF26E</t>
    <phoneticPr fontId="5" type="noConversion"/>
  </si>
  <si>
    <t>0415991574</t>
    <phoneticPr fontId="5" type="noConversion"/>
  </si>
  <si>
    <t>DVL10H</t>
    <phoneticPr fontId="5" type="noConversion"/>
  </si>
  <si>
    <t>0413872431</t>
    <phoneticPr fontId="5" type="noConversion"/>
  </si>
  <si>
    <t>211206.4. 4/6</t>
    <phoneticPr fontId="5" type="noConversion"/>
  </si>
  <si>
    <t>EJA52G</t>
    <phoneticPr fontId="5" type="noConversion"/>
  </si>
  <si>
    <t>0408228847</t>
    <phoneticPr fontId="5" type="noConversion"/>
  </si>
  <si>
    <t>CKDI8</t>
    <phoneticPr fontId="5" type="noConversion"/>
  </si>
  <si>
    <t>0431155888</t>
    <phoneticPr fontId="5" type="noConversion"/>
  </si>
  <si>
    <t>ERB65Q</t>
    <phoneticPr fontId="5" type="noConversion"/>
  </si>
  <si>
    <t>0457336603</t>
    <phoneticPr fontId="5" type="noConversion"/>
  </si>
  <si>
    <t>CXY11Y</t>
    <phoneticPr fontId="5" type="noConversion"/>
  </si>
  <si>
    <t>0412411002</t>
    <phoneticPr fontId="5" type="noConversion"/>
  </si>
  <si>
    <t>CMF49L</t>
    <phoneticPr fontId="5" type="noConversion"/>
  </si>
  <si>
    <t>0422400397</t>
    <phoneticPr fontId="5" type="noConversion"/>
  </si>
  <si>
    <t>0419517672</t>
    <phoneticPr fontId="5" type="noConversion"/>
  </si>
  <si>
    <t>DP469</t>
    <phoneticPr fontId="5" type="noConversion"/>
  </si>
  <si>
    <t>DW088J</t>
    <phoneticPr fontId="5" type="noConversion"/>
  </si>
  <si>
    <t>0487390063</t>
    <phoneticPr fontId="5" type="noConversion"/>
  </si>
  <si>
    <t>EAH89D</t>
    <phoneticPr fontId="5" type="noConversion"/>
  </si>
  <si>
    <t>????</t>
    <phoneticPr fontId="5" type="noConversion"/>
  </si>
  <si>
    <t>DNK08Z</t>
    <phoneticPr fontId="5" type="noConversion"/>
  </si>
  <si>
    <t>0426828096</t>
    <phoneticPr fontId="5" type="noConversion"/>
  </si>
  <si>
    <t>#21036 5/6 6/6</t>
    <phoneticPr fontId="5" type="noConversion"/>
  </si>
  <si>
    <t>18 - 5 - 2022</t>
    <phoneticPr fontId="5" type="noConversion"/>
  </si>
  <si>
    <t>STEVE</t>
    <phoneticPr fontId="5" type="noConversion"/>
  </si>
  <si>
    <t>DNK75K</t>
    <phoneticPr fontId="5" type="noConversion"/>
  </si>
  <si>
    <t>0425421508</t>
    <phoneticPr fontId="5" type="noConversion"/>
  </si>
  <si>
    <t>ELK07E</t>
    <phoneticPr fontId="5" type="noConversion"/>
  </si>
  <si>
    <t>0403507267</t>
    <phoneticPr fontId="5" type="noConversion"/>
  </si>
  <si>
    <t>EQJ49T</t>
    <phoneticPr fontId="5" type="noConversion"/>
  </si>
  <si>
    <t>0449051688</t>
    <phoneticPr fontId="5" type="noConversion"/>
  </si>
  <si>
    <t>PCL 22029 1/6</t>
    <phoneticPr fontId="5" type="noConversion"/>
  </si>
  <si>
    <t>DVW72Q</t>
    <phoneticPr fontId="5" type="noConversion"/>
  </si>
  <si>
    <t>0418881485</t>
    <phoneticPr fontId="5" type="noConversion"/>
  </si>
  <si>
    <t># 21057 3/6</t>
    <phoneticPr fontId="5" type="noConversion"/>
  </si>
  <si>
    <t>DQL85E</t>
    <phoneticPr fontId="5" type="noConversion"/>
  </si>
  <si>
    <t>0418117824</t>
    <phoneticPr fontId="5" type="noConversion"/>
  </si>
  <si>
    <t>DGC58G</t>
    <phoneticPr fontId="5" type="noConversion"/>
  </si>
  <si>
    <t>0418888910</t>
    <phoneticPr fontId="5" type="noConversion"/>
  </si>
  <si>
    <t>CEW82Y</t>
    <phoneticPr fontId="5" type="noConversion"/>
  </si>
  <si>
    <t>0421218302</t>
    <phoneticPr fontId="5" type="noConversion"/>
  </si>
  <si>
    <t>ERC80S</t>
    <phoneticPr fontId="5" type="noConversion"/>
  </si>
  <si>
    <t>0414913058</t>
    <phoneticPr fontId="5" type="noConversion"/>
  </si>
  <si>
    <t>CTI78H</t>
    <phoneticPr fontId="5" type="noConversion"/>
  </si>
  <si>
    <t>0406816699</t>
    <phoneticPr fontId="5" type="noConversion"/>
  </si>
  <si>
    <t>DNG33E</t>
    <phoneticPr fontId="5" type="noConversion"/>
  </si>
  <si>
    <t>0414747668</t>
    <phoneticPr fontId="5" type="noConversion"/>
  </si>
  <si>
    <t># 202761 5/6 6/6</t>
    <phoneticPr fontId="5" type="noConversion"/>
  </si>
  <si>
    <t>MY194</t>
    <phoneticPr fontId="5" type="noConversion"/>
  </si>
  <si>
    <t>0427040347</t>
    <phoneticPr fontId="5" type="noConversion"/>
  </si>
  <si>
    <t>FD</t>
    <phoneticPr fontId="5" type="noConversion"/>
  </si>
  <si>
    <t>EEQ91C</t>
    <phoneticPr fontId="5" type="noConversion"/>
  </si>
  <si>
    <t>0405357559</t>
    <phoneticPr fontId="5" type="noConversion"/>
  </si>
  <si>
    <t>DFN84R</t>
    <phoneticPr fontId="5" type="noConversion"/>
  </si>
  <si>
    <t>0450875092</t>
    <phoneticPr fontId="5" type="noConversion"/>
  </si>
  <si>
    <t>CANCEL</t>
    <phoneticPr fontId="5" type="noConversion"/>
  </si>
  <si>
    <t>EIM54Y</t>
    <phoneticPr fontId="5" type="noConversion"/>
  </si>
  <si>
    <t>0409921951</t>
    <phoneticPr fontId="5" type="noConversion"/>
  </si>
  <si>
    <t>BIHARI</t>
    <phoneticPr fontId="5" type="noConversion"/>
  </si>
  <si>
    <t>0475979152</t>
    <phoneticPr fontId="5" type="noConversion"/>
  </si>
  <si>
    <t>DBU53K</t>
    <phoneticPr fontId="5" type="noConversion"/>
  </si>
  <si>
    <t>0410501852</t>
    <phoneticPr fontId="5" type="noConversion"/>
  </si>
  <si>
    <t>BNC63T</t>
    <phoneticPr fontId="5" type="noConversion"/>
  </si>
  <si>
    <t>0425379428</t>
    <phoneticPr fontId="5" type="noConversion"/>
  </si>
  <si>
    <t>OSMEN</t>
    <phoneticPr fontId="5" type="noConversion"/>
  </si>
  <si>
    <t>0488181888</t>
    <phoneticPr fontId="5" type="noConversion"/>
  </si>
  <si>
    <t>#21068 5/6</t>
    <phoneticPr fontId="5" type="noConversion"/>
  </si>
  <si>
    <t>DS036E</t>
    <phoneticPr fontId="5" type="noConversion"/>
  </si>
  <si>
    <t>0407661607</t>
    <phoneticPr fontId="5" type="noConversion"/>
  </si>
  <si>
    <t>TRICEPS</t>
    <phoneticPr fontId="5" type="noConversion"/>
  </si>
  <si>
    <t>BK036S</t>
    <phoneticPr fontId="5" type="noConversion"/>
  </si>
  <si>
    <t>0411757862</t>
    <phoneticPr fontId="5" type="noConversion"/>
  </si>
  <si>
    <t>19 - 5 - 2022</t>
    <phoneticPr fontId="5" type="noConversion"/>
  </si>
  <si>
    <t>CKC333</t>
    <phoneticPr fontId="5" type="noConversion"/>
  </si>
  <si>
    <t>0411889693</t>
    <phoneticPr fontId="5" type="noConversion"/>
  </si>
  <si>
    <t>DKX87K</t>
    <phoneticPr fontId="5" type="noConversion"/>
  </si>
  <si>
    <t>0410446389</t>
    <phoneticPr fontId="5" type="noConversion"/>
  </si>
  <si>
    <t># 21122813 3/6</t>
    <phoneticPr fontId="5" type="noConversion"/>
  </si>
  <si>
    <t>EBR55B</t>
    <phoneticPr fontId="5" type="noConversion"/>
  </si>
  <si>
    <t>0413519587</t>
    <phoneticPr fontId="5" type="noConversion"/>
  </si>
  <si>
    <t>DSB59R</t>
    <phoneticPr fontId="5" type="noConversion"/>
  </si>
  <si>
    <t>0421284405</t>
    <phoneticPr fontId="5" type="noConversion"/>
  </si>
  <si>
    <t>88BMUM</t>
    <phoneticPr fontId="5" type="noConversion"/>
  </si>
  <si>
    <t>0479077545</t>
    <phoneticPr fontId="5" type="noConversion"/>
  </si>
  <si>
    <t>OOOSAL</t>
    <phoneticPr fontId="5" type="noConversion"/>
  </si>
  <si>
    <t>0414272218</t>
    <phoneticPr fontId="5" type="noConversion"/>
  </si>
  <si>
    <t>DBI12C</t>
    <phoneticPr fontId="5" type="noConversion"/>
  </si>
  <si>
    <t>0404479199</t>
    <phoneticPr fontId="5" type="noConversion"/>
  </si>
  <si>
    <t>CMR01C</t>
    <phoneticPr fontId="5" type="noConversion"/>
  </si>
  <si>
    <t>0418963900</t>
    <phoneticPr fontId="5" type="noConversion"/>
  </si>
  <si>
    <t>DQA16U</t>
    <phoneticPr fontId="5" type="noConversion"/>
  </si>
  <si>
    <t>???</t>
    <phoneticPr fontId="5" type="noConversion"/>
  </si>
  <si>
    <t>TS6888</t>
    <phoneticPr fontId="5" type="noConversion"/>
  </si>
  <si>
    <t>0417880888</t>
    <phoneticPr fontId="5" type="noConversion"/>
  </si>
  <si>
    <t># 22002 1/6</t>
    <phoneticPr fontId="5" type="noConversion"/>
  </si>
  <si>
    <t>NCE47E</t>
    <phoneticPr fontId="5" type="noConversion"/>
  </si>
  <si>
    <t>0409980911</t>
    <phoneticPr fontId="5" type="noConversion"/>
  </si>
  <si>
    <t>ELR61W</t>
    <phoneticPr fontId="5" type="noConversion"/>
  </si>
  <si>
    <t>0402092724</t>
    <phoneticPr fontId="5" type="noConversion"/>
  </si>
  <si>
    <t>ENV72Z</t>
    <phoneticPr fontId="5" type="noConversion"/>
  </si>
  <si>
    <t>0409829032</t>
    <phoneticPr fontId="5" type="noConversion"/>
  </si>
  <si>
    <t>DVP26J</t>
    <phoneticPr fontId="5" type="noConversion"/>
  </si>
  <si>
    <t>0433875588</t>
    <phoneticPr fontId="5" type="noConversion"/>
  </si>
  <si>
    <t>PCL 22030</t>
    <phoneticPr fontId="5" type="noConversion"/>
  </si>
  <si>
    <t>AMAN</t>
    <phoneticPr fontId="5" type="noConversion"/>
  </si>
  <si>
    <t>DZC70W</t>
    <phoneticPr fontId="5" type="noConversion"/>
  </si>
  <si>
    <t>0402919656</t>
    <phoneticPr fontId="5" type="noConversion"/>
  </si>
  <si>
    <t>ELL66R</t>
    <phoneticPr fontId="5" type="noConversion"/>
  </si>
  <si>
    <t>0451788868</t>
    <phoneticPr fontId="5" type="noConversion"/>
  </si>
  <si>
    <t>KUROSH SICK GO HOME EARLY</t>
    <phoneticPr fontId="5" type="noConversion"/>
  </si>
  <si>
    <t>EBZ970</t>
    <phoneticPr fontId="5" type="noConversion"/>
  </si>
  <si>
    <t>EMW16A</t>
    <phoneticPr fontId="5" type="noConversion"/>
  </si>
  <si>
    <t>0430431137</t>
    <phoneticPr fontId="5" type="noConversion"/>
  </si>
  <si>
    <t>CVV55M</t>
    <phoneticPr fontId="5" type="noConversion"/>
  </si>
  <si>
    <t>0422641661</t>
    <phoneticPr fontId="5" type="noConversion"/>
  </si>
  <si>
    <t>20/05 / 2022</t>
    <phoneticPr fontId="5" type="noConversion"/>
  </si>
  <si>
    <t>RAIN</t>
    <phoneticPr fontId="5" type="noConversion"/>
  </si>
  <si>
    <t>EOG19M</t>
    <phoneticPr fontId="5" type="noConversion"/>
  </si>
  <si>
    <t>0499630535</t>
    <phoneticPr fontId="5" type="noConversion"/>
  </si>
  <si>
    <t>DQR27A</t>
    <phoneticPr fontId="5" type="noConversion"/>
  </si>
  <si>
    <t>0419487797</t>
    <phoneticPr fontId="5" type="noConversion"/>
  </si>
  <si>
    <t>CXT85G</t>
    <phoneticPr fontId="5" type="noConversion"/>
  </si>
  <si>
    <t>NBO33G</t>
    <phoneticPr fontId="5" type="noConversion"/>
  </si>
  <si>
    <t>0419498299</t>
    <phoneticPr fontId="5" type="noConversion"/>
  </si>
  <si>
    <t>EPV24R</t>
    <phoneticPr fontId="5" type="noConversion"/>
  </si>
  <si>
    <t>0424962456</t>
    <phoneticPr fontId="5" type="noConversion"/>
  </si>
  <si>
    <t>ENI58P</t>
    <phoneticPr fontId="5" type="noConversion"/>
  </si>
  <si>
    <t>0434688628</t>
    <phoneticPr fontId="5" type="noConversion"/>
  </si>
  <si>
    <t>0418263227</t>
    <phoneticPr fontId="5" type="noConversion"/>
  </si>
  <si>
    <t>21 - 5 - 2022</t>
    <phoneticPr fontId="5" type="noConversion"/>
  </si>
  <si>
    <t>SHOWER</t>
    <phoneticPr fontId="5" type="noConversion"/>
  </si>
  <si>
    <t>KEVIN</t>
    <phoneticPr fontId="5" type="noConversion"/>
  </si>
  <si>
    <t>DSY26Z</t>
    <phoneticPr fontId="5" type="noConversion"/>
  </si>
  <si>
    <t>0452212543</t>
    <phoneticPr fontId="5" type="noConversion"/>
  </si>
  <si>
    <t># 21066 3/6</t>
    <phoneticPr fontId="5" type="noConversion"/>
  </si>
  <si>
    <t>DHS111</t>
    <phoneticPr fontId="5" type="noConversion"/>
  </si>
  <si>
    <t>0412255630</t>
    <phoneticPr fontId="5" type="noConversion"/>
  </si>
  <si>
    <t># 21060 4/6</t>
    <phoneticPr fontId="5" type="noConversion"/>
  </si>
  <si>
    <t>DBW83M</t>
    <phoneticPr fontId="5" type="noConversion"/>
  </si>
  <si>
    <t>0413842371</t>
    <phoneticPr fontId="5" type="noConversion"/>
  </si>
  <si>
    <t>ELY12W</t>
    <phoneticPr fontId="5" type="noConversion"/>
  </si>
  <si>
    <t>0426464093</t>
    <phoneticPr fontId="5" type="noConversion"/>
  </si>
  <si>
    <t>CEC64E</t>
    <phoneticPr fontId="5" type="noConversion"/>
  </si>
  <si>
    <t>0430166888</t>
    <phoneticPr fontId="5" type="noConversion"/>
  </si>
  <si>
    <t>ENJ116</t>
    <phoneticPr fontId="5" type="noConversion"/>
  </si>
  <si>
    <t>0433966747</t>
    <phoneticPr fontId="5" type="noConversion"/>
  </si>
  <si>
    <t>x</t>
    <phoneticPr fontId="5" type="noConversion"/>
  </si>
  <si>
    <t>84EKB</t>
    <phoneticPr fontId="5" type="noConversion"/>
  </si>
  <si>
    <t>0452198401</t>
    <phoneticPr fontId="5" type="noConversion"/>
  </si>
  <si>
    <t>EGQ58G</t>
    <phoneticPr fontId="5" type="noConversion"/>
  </si>
  <si>
    <t>0467792693</t>
    <phoneticPr fontId="5" type="noConversion"/>
  </si>
  <si>
    <t>EGM52V</t>
    <phoneticPr fontId="5" type="noConversion"/>
  </si>
  <si>
    <t>0415832282</t>
    <phoneticPr fontId="5" type="noConversion"/>
  </si>
  <si>
    <t>CJK30U</t>
    <phoneticPr fontId="5" type="noConversion"/>
  </si>
  <si>
    <t>0406939929</t>
    <phoneticPr fontId="5" type="noConversion"/>
  </si>
  <si>
    <t>EDH10W</t>
    <phoneticPr fontId="5" type="noConversion"/>
  </si>
  <si>
    <t>0407525804</t>
    <phoneticPr fontId="5" type="noConversion"/>
  </si>
  <si>
    <t>DDM87V</t>
    <phoneticPr fontId="5" type="noConversion"/>
  </si>
  <si>
    <t>0404010990</t>
    <phoneticPr fontId="5" type="noConversion"/>
  </si>
  <si>
    <t>DKZ64J</t>
    <phoneticPr fontId="5" type="noConversion"/>
  </si>
  <si>
    <t>0466271535</t>
    <phoneticPr fontId="5" type="noConversion"/>
  </si>
  <si>
    <t>SGF30B</t>
    <phoneticPr fontId="5" type="noConversion"/>
  </si>
  <si>
    <t>0433319117</t>
    <phoneticPr fontId="5" type="noConversion"/>
  </si>
  <si>
    <t>AKA47G</t>
    <phoneticPr fontId="5" type="noConversion"/>
  </si>
  <si>
    <t>0411558686</t>
    <phoneticPr fontId="5" type="noConversion"/>
  </si>
  <si>
    <t>I/ST</t>
    <phoneticPr fontId="5" type="noConversion"/>
  </si>
  <si>
    <t>AR41MF</t>
    <phoneticPr fontId="5" type="noConversion"/>
  </si>
  <si>
    <t>0411702399</t>
    <phoneticPr fontId="5" type="noConversion"/>
  </si>
  <si>
    <t>CHRIS</t>
    <phoneticPr fontId="5" type="noConversion"/>
  </si>
  <si>
    <t>DPR39N</t>
    <phoneticPr fontId="5" type="noConversion"/>
  </si>
  <si>
    <t>o449981171</t>
    <phoneticPr fontId="5" type="noConversion"/>
  </si>
  <si>
    <t>CIO83P</t>
    <phoneticPr fontId="5" type="noConversion"/>
  </si>
  <si>
    <t>0401714252</t>
    <phoneticPr fontId="5" type="noConversion"/>
  </si>
  <si>
    <t># 22018 1/6</t>
    <phoneticPr fontId="5" type="noConversion"/>
  </si>
  <si>
    <t>EPK68N</t>
    <phoneticPr fontId="5" type="noConversion"/>
  </si>
  <si>
    <t>0401754320</t>
    <phoneticPr fontId="5" type="noConversion"/>
  </si>
  <si>
    <t>EMF53P</t>
    <phoneticPr fontId="5" type="noConversion"/>
  </si>
  <si>
    <t>0401665168</t>
    <phoneticPr fontId="5" type="noConversion"/>
  </si>
  <si>
    <t>22 - 5 - 2022</t>
    <phoneticPr fontId="5" type="noConversion"/>
  </si>
  <si>
    <t>ERIC</t>
    <phoneticPr fontId="5" type="noConversion"/>
  </si>
  <si>
    <t>NBS89E</t>
    <phoneticPr fontId="5" type="noConversion"/>
  </si>
  <si>
    <t>0417550172</t>
    <phoneticPr fontId="5" type="noConversion"/>
  </si>
  <si>
    <t>BNP94F</t>
    <phoneticPr fontId="5" type="noConversion"/>
  </si>
  <si>
    <t>0412435299</t>
    <phoneticPr fontId="5" type="noConversion"/>
  </si>
  <si>
    <t>EGY78F</t>
    <phoneticPr fontId="5" type="noConversion"/>
  </si>
  <si>
    <t>0421257396</t>
    <phoneticPr fontId="5" type="noConversion"/>
  </si>
  <si>
    <t>DQF88H</t>
    <phoneticPr fontId="5" type="noConversion"/>
  </si>
  <si>
    <t>0429263156</t>
    <phoneticPr fontId="5" type="noConversion"/>
  </si>
  <si>
    <t>DYI60E</t>
    <phoneticPr fontId="5" type="noConversion"/>
  </si>
  <si>
    <t>0405303318</t>
    <phoneticPr fontId="5" type="noConversion"/>
  </si>
  <si>
    <t>EMB53M</t>
    <phoneticPr fontId="5" type="noConversion"/>
  </si>
  <si>
    <t>0419879786</t>
    <phoneticPr fontId="5" type="noConversion"/>
  </si>
  <si>
    <t>SLW94A</t>
    <phoneticPr fontId="5" type="noConversion"/>
  </si>
  <si>
    <t>0412925531</t>
    <phoneticPr fontId="5" type="noConversion"/>
  </si>
  <si>
    <t>YYY789</t>
    <phoneticPr fontId="5" type="noConversion"/>
  </si>
  <si>
    <t>0412115425</t>
    <phoneticPr fontId="5" type="noConversion"/>
  </si>
  <si>
    <t>NCD89V</t>
    <phoneticPr fontId="5" type="noConversion"/>
  </si>
  <si>
    <t>0411895199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</si>
</sst>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3" borderId="33" applyNumberFormat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</cellStyleXfs>
  <cellXfs count="769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8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Fill="1" applyBorder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6" fontId="8" fillId="0" borderId="1" xfId="0" applyNumberFormat="1" applyFont="1" applyBorder="1" applyAlignment="1">
      <alignment vertical="center" shrinkToFit="1"/>
    </xf>
    <xf numFmtId="176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177" fontId="6" fillId="6" borderId="12" xfId="0" applyNumberFormat="1" applyFont="1" applyFill="1" applyBorder="1" applyAlignment="1">
      <alignment shrinkToFit="1"/>
    </xf>
    <xf numFmtId="177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7" fontId="6" fillId="6" borderId="41" xfId="0" applyNumberFormat="1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8" fontId="17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5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79" fontId="15" fillId="6" borderId="50" xfId="0" applyNumberFormat="1" applyFont="1" applyFill="1" applyBorder="1" applyAlignment="1">
      <alignment horizontal="center" vertical="center" shrinkToFit="1"/>
    </xf>
    <xf numFmtId="179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8" fontId="6" fillId="6" borderId="1" xfId="0" applyNumberFormat="1" applyFont="1" applyFill="1" applyBorder="1" applyAlignment="1">
      <alignment horizontal="center" shrinkToFit="1"/>
    </xf>
    <xf numFmtId="176" fontId="6" fillId="6" borderId="13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80" fontId="6" fillId="6" borderId="14" xfId="0" applyNumberFormat="1" applyFont="1" applyFill="1" applyBorder="1" applyAlignment="1">
      <alignment horizontal="center" shrinkToFit="1"/>
    </xf>
    <xf numFmtId="178" fontId="6" fillId="6" borderId="14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179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8" fontId="18" fillId="6" borderId="28" xfId="0" applyNumberFormat="1" applyFont="1" applyFill="1" applyBorder="1" applyAlignment="1">
      <alignment horizontal="center" vertical="center" shrinkToFit="1"/>
    </xf>
    <xf numFmtId="180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5" fillId="6" borderId="50" xfId="0" applyNumberFormat="1" applyFont="1" applyFill="1" applyBorder="1" applyAlignment="1">
      <alignment shrinkToFit="1"/>
    </xf>
    <xf numFmtId="179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8" fontId="17" fillId="0" borderId="1" xfId="3" applyNumberFormat="1" applyFont="1" applyFill="1" applyBorder="1" applyAlignment="1">
      <alignment horizontal="center" shrinkToFit="1"/>
    </xf>
    <xf numFmtId="178" fontId="3" fillId="0" borderId="4" xfId="0" applyNumberFormat="1" applyFont="1" applyBorder="1" applyAlignment="1">
      <alignment horizontal="center" shrinkToFit="1"/>
    </xf>
    <xf numFmtId="178" fontId="3" fillId="0" borderId="1" xfId="0" applyNumberFormat="1" applyFont="1" applyBorder="1" applyAlignment="1">
      <alignment horizontal="center" shrinkToFit="1"/>
    </xf>
    <xf numFmtId="178" fontId="17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8" fontId="3" fillId="6" borderId="4" xfId="0" applyNumberFormat="1" applyFont="1" applyFill="1" applyBorder="1" applyAlignment="1">
      <alignment horizontal="center" shrinkToFit="1"/>
    </xf>
    <xf numFmtId="178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79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79" fontId="8" fillId="0" borderId="28" xfId="0" applyNumberFormat="1" applyFont="1" applyBorder="1" applyAlignment="1">
      <alignment vertical="center" shrinkToFit="1"/>
    </xf>
    <xf numFmtId="178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8" fontId="6" fillId="6" borderId="48" xfId="0" applyNumberFormat="1" applyFont="1" applyFill="1" applyBorder="1" applyAlignment="1">
      <alignment vertical="center" shrinkToFit="1"/>
    </xf>
    <xf numFmtId="178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7" fillId="0" borderId="40" xfId="0" applyNumberFormat="1" applyFont="1" applyBorder="1" applyAlignment="1">
      <alignment horizontal="center" shrinkToFit="1"/>
    </xf>
    <xf numFmtId="178" fontId="15" fillId="0" borderId="17" xfId="0" applyNumberFormat="1" applyFont="1" applyBorder="1" applyAlignment="1">
      <alignment shrinkToFit="1"/>
    </xf>
    <xf numFmtId="178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7" fontId="18" fillId="13" borderId="8" xfId="0" applyNumberFormat="1" applyFont="1" applyFill="1" applyBorder="1" applyAlignment="1">
      <alignment horizontal="center" shrinkToFit="1"/>
    </xf>
    <xf numFmtId="178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8" fillId="13" borderId="50" xfId="0" applyFont="1" applyFill="1" applyBorder="1" applyAlignment="1">
      <alignment horizontal="center" shrinkToFit="1"/>
    </xf>
    <xf numFmtId="178" fontId="3" fillId="0" borderId="26" xfId="0" applyNumberFormat="1" applyFont="1" applyBorder="1" applyAlignment="1">
      <alignment horizontal="center" shrinkToFit="1"/>
    </xf>
    <xf numFmtId="178" fontId="17" fillId="0" borderId="61" xfId="3" applyNumberFormat="1" applyFont="1" applyFill="1" applyBorder="1" applyAlignment="1">
      <alignment horizontal="center" shrinkToFit="1"/>
    </xf>
    <xf numFmtId="179" fontId="8" fillId="0" borderId="39" xfId="0" applyNumberFormat="1" applyFont="1" applyBorder="1" applyAlignment="1">
      <alignment horizontal="left"/>
    </xf>
    <xf numFmtId="179" fontId="8" fillId="0" borderId="26" xfId="0" applyNumberFormat="1" applyFont="1" applyBorder="1" applyAlignment="1">
      <alignment horizontal="left"/>
    </xf>
    <xf numFmtId="179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8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178" fontId="25" fillId="2" borderId="4" xfId="4" applyNumberFormat="1" applyFill="1" applyBorder="1" applyAlignment="1">
      <alignment horizontal="center" shrinkToFit="1"/>
    </xf>
    <xf numFmtId="178" fontId="25" fillId="2" borderId="6" xfId="4" applyNumberFormat="1" applyFill="1" applyBorder="1" applyAlignment="1">
      <alignment horizontal="center" shrinkToFit="1"/>
    </xf>
    <xf numFmtId="178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49" fontId="30" fillId="0" borderId="2" xfId="0" applyNumberFormat="1" applyFont="1" applyBorder="1"/>
    <xf numFmtId="0" fontId="18" fillId="13" borderId="8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25" fillId="14" borderId="19" xfId="4" applyBorder="1" applyAlignment="1">
      <alignment horizontal="center" shrinkToFit="1"/>
    </xf>
    <xf numFmtId="0" fontId="25" fillId="14" borderId="4" xfId="4" applyBorder="1" applyAlignment="1">
      <alignment horizontal="center" shrinkToFit="1"/>
    </xf>
    <xf numFmtId="0" fontId="25" fillId="14" borderId="1" xfId="4" applyBorder="1" applyAlignment="1"/>
    <xf numFmtId="49" fontId="25" fillId="14" borderId="2" xfId="4" applyNumberFormat="1" applyBorder="1" applyAlignment="1">
      <alignment horizontal="left"/>
    </xf>
    <xf numFmtId="0" fontId="25" fillId="14" borderId="62" xfId="4" applyBorder="1" applyAlignment="1">
      <alignment horizontal="center" shrinkToFit="1"/>
    </xf>
    <xf numFmtId="179" fontId="25" fillId="14" borderId="39" xfId="4" applyNumberFormat="1" applyBorder="1" applyAlignment="1">
      <alignment horizontal="left"/>
    </xf>
    <xf numFmtId="178" fontId="25" fillId="14" borderId="4" xfId="4" applyNumberFormat="1" applyBorder="1" applyAlignment="1">
      <alignment horizontal="center" shrinkToFit="1"/>
    </xf>
    <xf numFmtId="178" fontId="25" fillId="14" borderId="6" xfId="4" applyNumberFormat="1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0" fontId="25" fillId="14" borderId="9" xfId="4" applyBorder="1" applyAlignment="1">
      <alignment horizontal="center" shrinkToFit="1"/>
    </xf>
    <xf numFmtId="0" fontId="25" fillId="14" borderId="1" xfId="4" applyBorder="1" applyAlignment="1">
      <alignment horizontal="center" shrinkToFit="1"/>
    </xf>
    <xf numFmtId="0" fontId="25" fillId="14" borderId="1" xfId="4" applyBorder="1" applyAlignment="1">
      <alignment shrinkToFit="1"/>
    </xf>
    <xf numFmtId="49" fontId="25" fillId="14" borderId="2" xfId="4" applyNumberFormat="1" applyBorder="1" applyAlignment="1">
      <alignment shrinkToFit="1"/>
    </xf>
    <xf numFmtId="0" fontId="25" fillId="14" borderId="26" xfId="4" applyBorder="1" applyAlignment="1">
      <alignment horizontal="left" shrinkToFit="1"/>
    </xf>
    <xf numFmtId="178" fontId="25" fillId="14" borderId="1" xfId="4" applyNumberFormat="1" applyBorder="1" applyAlignment="1">
      <alignment horizontal="center" shrinkToFit="1"/>
    </xf>
    <xf numFmtId="0" fontId="25" fillId="14" borderId="54" xfId="4" applyBorder="1" applyAlignment="1">
      <alignment horizontal="center" shrinkToFit="1"/>
    </xf>
    <xf numFmtId="0" fontId="25" fillId="14" borderId="26" xfId="4" applyBorder="1" applyAlignment="1">
      <alignment shrinkToFit="1"/>
    </xf>
    <xf numFmtId="49" fontId="25" fillId="14" borderId="29" xfId="4" applyNumberFormat="1" applyBorder="1" applyAlignment="1">
      <alignment shrinkToFit="1"/>
    </xf>
    <xf numFmtId="0" fontId="25" fillId="14" borderId="63" xfId="4" applyBorder="1" applyAlignment="1">
      <alignment horizontal="center" shrinkToFit="1"/>
    </xf>
    <xf numFmtId="49" fontId="25" fillId="14" borderId="2" xfId="4" applyNumberFormat="1" applyBorder="1" applyAlignment="1">
      <alignment horizontal="left" shrinkToFit="1"/>
    </xf>
    <xf numFmtId="0" fontId="2" fillId="2" borderId="4" xfId="0" applyFont="1" applyFill="1" applyBorder="1" applyAlignment="1">
      <alignment horizontal="center" shrinkToFit="1"/>
    </xf>
    <xf numFmtId="179" fontId="25" fillId="14" borderId="26" xfId="4" applyNumberFormat="1" applyBorder="1" applyAlignment="1">
      <alignment horizontal="left"/>
    </xf>
    <xf numFmtId="0" fontId="25" fillId="14" borderId="39" xfId="4" applyBorder="1" applyAlignment="1">
      <alignment horizontal="left" shrinkToFit="1"/>
    </xf>
    <xf numFmtId="49" fontId="25" fillId="14" borderId="37" xfId="4" applyNumberFormat="1" applyBorder="1" applyAlignment="1">
      <alignment horizontal="left" shrinkToFit="1"/>
    </xf>
    <xf numFmtId="0" fontId="25" fillId="14" borderId="39" xfId="4" applyBorder="1" applyAlignment="1">
      <alignment horizontal="left"/>
    </xf>
    <xf numFmtId="0" fontId="25" fillId="14" borderId="26" xfId="4" applyBorder="1" applyAlignment="1"/>
    <xf numFmtId="49" fontId="25" fillId="14" borderId="29" xfId="4" applyNumberFormat="1" applyBorder="1" applyAlignment="1"/>
    <xf numFmtId="0" fontId="25" fillId="14" borderId="26" xfId="4" applyBorder="1" applyAlignment="1">
      <alignment horizontal="left"/>
    </xf>
    <xf numFmtId="0" fontId="25" fillId="14" borderId="1" xfId="4" applyBorder="1" applyAlignment="1">
      <alignment horizontal="center"/>
    </xf>
    <xf numFmtId="0" fontId="1" fillId="2" borderId="1" xfId="0" applyFont="1" applyFill="1" applyBorder="1" applyAlignment="1">
      <alignment horizontal="center" shrinkToFit="1"/>
    </xf>
    <xf numFmtId="0" fontId="25" fillId="14" borderId="1" xfId="4" applyBorder="1" applyAlignment="1">
      <alignment horizontal="left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0" fontId="6" fillId="6" borderId="14" xfId="0" applyNumberFormat="1" applyFont="1" applyFill="1" applyBorder="1" applyAlignment="1">
      <alignment horizontal="center" vertical="center" shrinkToFit="1"/>
    </xf>
    <xf numFmtId="180" fontId="6" fillId="6" borderId="1" xfId="0" applyNumberFormat="1" applyFont="1" applyFill="1" applyBorder="1" applyAlignment="1">
      <alignment horizontal="center" vertical="center" shrinkToFit="1"/>
    </xf>
    <xf numFmtId="180" fontId="6" fillId="6" borderId="3" xfId="0" applyNumberFormat="1" applyFont="1" applyFill="1" applyBorder="1" applyAlignment="1">
      <alignment horizontal="center" vertical="center" shrinkToFit="1"/>
    </xf>
    <xf numFmtId="178" fontId="6" fillId="6" borderId="14" xfId="0" applyNumberFormat="1" applyFont="1" applyFill="1" applyBorder="1" applyAlignment="1">
      <alignment horizontal="center" vertical="center" shrinkToFit="1"/>
    </xf>
    <xf numFmtId="178" fontId="6" fillId="6" borderId="1" xfId="0" applyNumberFormat="1" applyFont="1" applyFill="1" applyBorder="1" applyAlignment="1">
      <alignment horizontal="center" vertical="center" shrinkToFit="1"/>
    </xf>
    <xf numFmtId="178" fontId="6" fillId="6" borderId="3" xfId="0" applyNumberFormat="1" applyFont="1" applyFill="1" applyBorder="1" applyAlignment="1">
      <alignment horizontal="center" vertical="center" shrinkToFit="1"/>
    </xf>
    <xf numFmtId="178" fontId="6" fillId="6" borderId="28" xfId="0" applyNumberFormat="1" applyFont="1" applyFill="1" applyBorder="1" applyAlignment="1">
      <alignment horizontal="center" vertical="center" shrinkToFit="1"/>
    </xf>
    <xf numFmtId="178" fontId="6" fillId="6" borderId="15" xfId="0" applyNumberFormat="1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179" fontId="6" fillId="0" borderId="12" xfId="0" applyNumberFormat="1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78" fontId="18" fillId="6" borderId="25" xfId="0" applyNumberFormat="1" applyFont="1" applyFill="1" applyBorder="1" applyAlignment="1">
      <alignment horizontal="center" vertical="center" shrinkToFit="1"/>
    </xf>
    <xf numFmtId="178" fontId="18" fillId="6" borderId="24" xfId="0" applyNumberFormat="1" applyFont="1" applyFill="1" applyBorder="1" applyAlignment="1">
      <alignment horizontal="center" vertical="center" shrinkToFit="1"/>
    </xf>
    <xf numFmtId="178" fontId="18" fillId="6" borderId="22" xfId="0" applyNumberFormat="1" applyFont="1" applyFill="1" applyBorder="1" applyAlignment="1">
      <alignment horizontal="center" vertical="center" shrinkToFit="1"/>
    </xf>
    <xf numFmtId="178" fontId="18" fillId="6" borderId="23" xfId="0" applyNumberFormat="1" applyFont="1" applyFill="1" applyBorder="1" applyAlignment="1">
      <alignment horizontal="center" vertical="center" shrinkToFit="1"/>
    </xf>
    <xf numFmtId="0" fontId="25" fillId="14" borderId="5" xfId="4" applyBorder="1" applyAlignment="1">
      <alignment horizontal="center" shrinkToFit="1"/>
    </xf>
    <xf numFmtId="0" fontId="25" fillId="14" borderId="56" xfId="4" applyBorder="1" applyAlignment="1">
      <alignment horizontal="center" shrinkToFit="1"/>
    </xf>
    <xf numFmtId="0" fontId="25" fillId="14" borderId="49" xfId="4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3" fontId="0" fillId="0" borderId="2" xfId="0" applyNumberFormat="1" applyBorder="1" applyAlignment="1">
      <alignment horizont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79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176" fontId="15" fillId="0" borderId="0" xfId="0" applyNumberFormat="1" applyFont="1" applyFill="1" applyBorder="1" applyAlignment="1">
      <alignment horizontal="center" shrinkToFit="1"/>
    </xf>
    <xf numFmtId="26" fontId="15" fillId="0" borderId="0" xfId="0" applyNumberFormat="1" applyFont="1" applyFill="1" applyBorder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79" fontId="6" fillId="6" borderId="53" xfId="0" applyNumberFormat="1" applyFont="1" applyFill="1" applyBorder="1" applyAlignment="1">
      <alignment horizontal="center" vertical="center" shrinkToFit="1"/>
    </xf>
    <xf numFmtId="179" fontId="6" fillId="6" borderId="55" xfId="0" applyNumberFormat="1" applyFont="1" applyFill="1" applyBorder="1" applyAlignment="1">
      <alignment horizontal="center" vertic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3" fontId="17" fillId="0" borderId="2" xfId="0" applyNumberFormat="1" applyFont="1" applyBorder="1" applyAlignment="1">
      <alignment horizontal="center" shrinkToFit="1"/>
    </xf>
    <xf numFmtId="0" fontId="25" fillId="14" borderId="6" xfId="4" applyBorder="1" applyAlignment="1">
      <alignment horizontal="center" shrinkToFit="1"/>
    </xf>
    <xf numFmtId="0" fontId="25" fillId="14" borderId="37" xfId="4" applyBorder="1" applyAlignment="1">
      <alignment horizontal="center" shrinkToFit="1"/>
    </xf>
    <xf numFmtId="0" fontId="25" fillId="14" borderId="47" xfId="4" applyBorder="1" applyAlignment="1">
      <alignment horizontal="center" shrinkToFit="1"/>
    </xf>
    <xf numFmtId="3" fontId="0" fillId="0" borderId="6" xfId="0" applyNumberFormat="1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3" fontId="22" fillId="0" borderId="1" xfId="0" applyNumberFormat="1" applyFont="1" applyBorder="1" applyAlignment="1">
      <alignment horizontal="center" vertical="center" shrinkToFit="1"/>
    </xf>
    <xf numFmtId="183" fontId="22" fillId="12" borderId="1" xfId="0" applyNumberFormat="1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4" xfId="0" applyFont="1" applyFill="1" applyBorder="1" applyAlignment="1">
      <alignment horizontal="center" vertical="center" shrinkToFit="1"/>
    </xf>
    <xf numFmtId="183" fontId="22" fillId="12" borderId="5" xfId="0" applyNumberFormat="1" applyFont="1" applyFill="1" applyBorder="1" applyAlignment="1">
      <alignment horizontal="center" vertical="center" shrinkToFit="1"/>
    </xf>
    <xf numFmtId="183" fontId="22" fillId="12" borderId="56" xfId="0" applyNumberFormat="1" applyFont="1" applyFill="1" applyBorder="1" applyAlignment="1">
      <alignment horizontal="center" vertical="center" shrinkToFit="1"/>
    </xf>
    <xf numFmtId="183" fontId="22" fillId="12" borderId="64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4" xfId="0" applyNumberFormat="1" applyFont="1" applyFill="1" applyBorder="1" applyAlignment="1">
      <alignment horizontal="center"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6" fontId="22" fillId="0" borderId="15" xfId="0" applyNumberFormat="1" applyFont="1" applyBorder="1" applyAlignment="1">
      <alignment horizontal="center" vertical="center" shrinkToFit="1"/>
    </xf>
    <xf numFmtId="176" fontId="22" fillId="0" borderId="16" xfId="0" applyNumberFormat="1" applyFont="1" applyBorder="1" applyAlignment="1">
      <alignment horizontal="center" vertical="center" shrinkToFit="1"/>
    </xf>
    <xf numFmtId="0" fontId="22" fillId="12" borderId="1" xfId="0" applyNumberFormat="1" applyFont="1" applyFill="1" applyBorder="1" applyAlignment="1">
      <alignment horizontal="center" vertical="center" shrinkToFit="1"/>
    </xf>
    <xf numFmtId="26" fontId="22" fillId="12" borderId="1" xfId="0" applyNumberFormat="1" applyFont="1" applyFill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4" xfId="0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4" xfId="0" applyFont="1" applyFill="1" applyBorder="1" applyAlignment="1">
      <alignment horizontal="center" vertical="center" shrinkToFit="1"/>
    </xf>
    <xf numFmtId="176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Border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30" xfId="0" applyNumberFormat="1" applyFont="1" applyFill="1" applyBorder="1" applyAlignment="1">
      <alignment horizontal="center" vertical="center" shrinkToFit="1"/>
    </xf>
    <xf numFmtId="183" fontId="22" fillId="11" borderId="43" xfId="0" applyNumberFormat="1" applyFont="1" applyFill="1" applyBorder="1" applyAlignment="1">
      <alignment horizontal="center" vertical="center" shrinkToFit="1"/>
    </xf>
    <xf numFmtId="183" fontId="22" fillId="11" borderId="44" xfId="0" applyNumberFormat="1" applyFont="1" applyFill="1" applyBorder="1" applyAlignment="1">
      <alignment horizontal="center" vertical="center" shrinkToFit="1"/>
    </xf>
    <xf numFmtId="183" fontId="22" fillId="11" borderId="45" xfId="0" applyNumberFormat="1" applyFont="1" applyFill="1" applyBorder="1" applyAlignment="1">
      <alignment horizontal="center" vertical="center" shrinkToFit="1"/>
    </xf>
    <xf numFmtId="183" fontId="22" fillId="11" borderId="0" xfId="0" applyNumberFormat="1" applyFont="1" applyFill="1" applyBorder="1" applyAlignment="1">
      <alignment horizontal="center" vertical="center" shrinkToFit="1"/>
    </xf>
    <xf numFmtId="183" fontId="22" fillId="11" borderId="46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176" fontId="6" fillId="11" borderId="1" xfId="0" applyNumberFormat="1" applyFont="1" applyFill="1" applyBorder="1" applyAlignment="1">
      <alignment horizontal="center" vertical="center" shrinkToFit="1"/>
    </xf>
    <xf numFmtId="176" fontId="6" fillId="10" borderId="2" xfId="0" applyNumberFormat="1" applyFont="1" applyFill="1" applyBorder="1" applyAlignment="1">
      <alignment horizontal="center" vertical="center" shrinkToFit="1"/>
    </xf>
    <xf numFmtId="176" fontId="6" fillId="10" borderId="29" xfId="0" applyNumberFormat="1" applyFont="1" applyFill="1" applyBorder="1" applyAlignment="1">
      <alignment horizontal="center" vertical="center" shrinkToFit="1"/>
    </xf>
    <xf numFmtId="176" fontId="6" fillId="10" borderId="26" xfId="0" applyNumberFormat="1" applyFont="1" applyFill="1" applyBorder="1" applyAlignment="1">
      <alignment horizontal="center" vertical="center" shrinkToFit="1"/>
    </xf>
    <xf numFmtId="176" fontId="6" fillId="7" borderId="2" xfId="0" applyNumberFormat="1" applyFont="1" applyFill="1" applyBorder="1" applyAlignment="1">
      <alignment horizontal="center" vertical="center" shrinkToFit="1"/>
    </xf>
    <xf numFmtId="176" fontId="6" fillId="7" borderId="29" xfId="0" applyNumberFormat="1" applyFont="1" applyFill="1" applyBorder="1" applyAlignment="1">
      <alignment horizontal="center" vertical="center" shrinkToFit="1"/>
    </xf>
    <xf numFmtId="176" fontId="6" fillId="7" borderId="26" xfId="0" applyNumberFormat="1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183" fontId="22" fillId="7" borderId="30" xfId="0" applyNumberFormat="1" applyFont="1" applyFill="1" applyBorder="1" applyAlignment="1">
      <alignment horizontal="center" vertical="center" shrinkToFit="1"/>
    </xf>
    <xf numFmtId="183" fontId="22" fillId="7" borderId="43" xfId="0" applyNumberFormat="1" applyFont="1" applyFill="1" applyBorder="1" applyAlignment="1">
      <alignment horizontal="center" vertical="center" shrinkToFit="1"/>
    </xf>
    <xf numFmtId="183" fontId="22" fillId="7" borderId="44" xfId="0" applyNumberFormat="1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183" fontId="22" fillId="7" borderId="6" xfId="0" applyNumberFormat="1" applyFont="1" applyFill="1" applyBorder="1" applyAlignment="1">
      <alignment horizontal="center" vertical="center" shrinkToFit="1"/>
    </xf>
    <xf numFmtId="183" fontId="22" fillId="7" borderId="37" xfId="0" applyNumberFormat="1" applyFont="1" applyFill="1" applyBorder="1" applyAlignment="1">
      <alignment horizontal="center" vertical="center" shrinkToFit="1"/>
    </xf>
    <xf numFmtId="183" fontId="22" fillId="7" borderId="39" xfId="0" applyNumberFormat="1" applyFont="1" applyFill="1" applyBorder="1" applyAlignment="1">
      <alignment horizontal="center" vertical="center" shrinkToFit="1"/>
    </xf>
    <xf numFmtId="176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76" fontId="6" fillId="5" borderId="1" xfId="0" applyNumberFormat="1" applyFont="1" applyFill="1" applyBorder="1" applyAlignment="1">
      <alignment horizontal="center" vertical="center" shrinkToFit="1"/>
    </xf>
    <xf numFmtId="176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176" fontId="6" fillId="6" borderId="2" xfId="0" applyNumberFormat="1" applyFont="1" applyFill="1" applyBorder="1" applyAlignment="1">
      <alignment horizontal="center" vertical="center" shrinkToFit="1"/>
    </xf>
    <xf numFmtId="176" fontId="6" fillId="6" borderId="29" xfId="0" applyNumberFormat="1" applyFont="1" applyFill="1" applyBorder="1" applyAlignment="1">
      <alignment horizontal="center" vertical="center" shrinkToFit="1"/>
    </xf>
    <xf numFmtId="176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176" fontId="6" fillId="10" borderId="1" xfId="0" applyNumberFormat="1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176" fontId="6" fillId="5" borderId="2" xfId="0" applyNumberFormat="1" applyFont="1" applyFill="1" applyBorder="1" applyAlignment="1">
      <alignment horizontal="center" vertical="center" shrinkToFit="1"/>
    </xf>
    <xf numFmtId="176" fontId="6" fillId="5" borderId="29" xfId="0" applyNumberFormat="1" applyFont="1" applyFill="1" applyBorder="1" applyAlignment="1">
      <alignment horizontal="center" vertical="center" shrinkToFit="1"/>
    </xf>
    <xf numFmtId="176" fontId="6" fillId="5" borderId="26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3" fontId="22" fillId="10" borderId="30" xfId="0" applyNumberFormat="1" applyFont="1" applyFill="1" applyBorder="1" applyAlignment="1">
      <alignment horizontal="center" vertical="center" shrinkToFit="1"/>
    </xf>
    <xf numFmtId="183" fontId="22" fillId="10" borderId="43" xfId="0" applyNumberFormat="1" applyFont="1" applyFill="1" applyBorder="1" applyAlignment="1">
      <alignment horizontal="center" vertical="center" shrinkToFit="1"/>
    </xf>
    <xf numFmtId="183" fontId="22" fillId="10" borderId="44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183" fontId="22" fillId="10" borderId="6" xfId="0" applyNumberFormat="1" applyFont="1" applyFill="1" applyBorder="1" applyAlignment="1">
      <alignment horizontal="center" vertical="center" shrinkToFit="1"/>
    </xf>
    <xf numFmtId="183" fontId="22" fillId="10" borderId="37" xfId="0" applyNumberFormat="1" applyFont="1" applyFill="1" applyBorder="1" applyAlignment="1">
      <alignment horizontal="center" vertical="center" shrinkToFit="1"/>
    </xf>
    <xf numFmtId="183" fontId="22" fillId="10" borderId="39" xfId="0" applyNumberFormat="1" applyFont="1" applyFill="1" applyBorder="1" applyAlignment="1">
      <alignment horizontal="center" vertical="center" shrinkToFit="1"/>
    </xf>
    <xf numFmtId="176" fontId="6" fillId="9" borderId="2" xfId="0" applyNumberFormat="1" applyFont="1" applyFill="1" applyBorder="1" applyAlignment="1">
      <alignment horizontal="center" vertical="center" shrinkToFit="1"/>
    </xf>
    <xf numFmtId="176" fontId="6" fillId="9" borderId="29" xfId="0" applyNumberFormat="1" applyFont="1" applyFill="1" applyBorder="1" applyAlignment="1">
      <alignment horizontal="center" vertical="center" shrinkToFit="1"/>
    </xf>
    <xf numFmtId="176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Border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Border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83" fontId="22" fillId="5" borderId="30" xfId="0" applyNumberFormat="1" applyFont="1" applyFill="1" applyBorder="1" applyAlignment="1">
      <alignment horizontal="center" vertical="center" shrinkToFit="1"/>
    </xf>
    <xf numFmtId="183" fontId="22" fillId="5" borderId="43" xfId="0" applyNumberFormat="1" applyFont="1" applyFill="1" applyBorder="1" applyAlignment="1">
      <alignment horizontal="center" vertical="center" shrinkToFit="1"/>
    </xf>
    <xf numFmtId="183" fontId="22" fillId="5" borderId="44" xfId="0" applyNumberFormat="1" applyFont="1" applyFill="1" applyBorder="1" applyAlignment="1">
      <alignment horizontal="center" vertical="center" shrinkToFit="1"/>
    </xf>
    <xf numFmtId="183" fontId="22" fillId="5" borderId="45" xfId="0" applyNumberFormat="1" applyFont="1" applyFill="1" applyBorder="1" applyAlignment="1">
      <alignment horizontal="center" vertical="center" shrinkToFit="1"/>
    </xf>
    <xf numFmtId="183" fontId="22" fillId="5" borderId="0" xfId="0" applyNumberFormat="1" applyFont="1" applyFill="1" applyBorder="1" applyAlignment="1">
      <alignment horizontal="center" vertical="center" shrinkToFit="1"/>
    </xf>
    <xf numFmtId="183" fontId="22" fillId="5" borderId="46" xfId="0" applyNumberFormat="1" applyFont="1" applyFill="1" applyBorder="1" applyAlignment="1">
      <alignment horizontal="center" vertical="center" shrinkToFit="1"/>
    </xf>
    <xf numFmtId="183" fontId="22" fillId="5" borderId="6" xfId="0" applyNumberFormat="1" applyFont="1" applyFill="1" applyBorder="1" applyAlignment="1">
      <alignment horizontal="center" vertical="center" shrinkToFit="1"/>
    </xf>
    <xf numFmtId="183" fontId="22" fillId="5" borderId="37" xfId="0" applyNumberFormat="1" applyFont="1" applyFill="1" applyBorder="1" applyAlignment="1">
      <alignment horizontal="center" vertical="center" shrinkToFit="1"/>
    </xf>
    <xf numFmtId="183" fontId="22" fillId="5" borderId="39" xfId="0" applyNumberFormat="1" applyFont="1" applyFill="1" applyBorder="1" applyAlignment="1">
      <alignment horizontal="center" vertical="center" shrinkToFit="1"/>
    </xf>
    <xf numFmtId="183" fontId="22" fillId="9" borderId="30" xfId="0" applyNumberFormat="1" applyFont="1" applyFill="1" applyBorder="1" applyAlignment="1">
      <alignment horizontal="center" vertical="center" shrinkToFit="1"/>
    </xf>
    <xf numFmtId="183" fontId="22" fillId="9" borderId="43" xfId="0" applyNumberFormat="1" applyFont="1" applyFill="1" applyBorder="1" applyAlignment="1">
      <alignment horizontal="center" vertical="center" shrinkToFit="1"/>
    </xf>
    <xf numFmtId="183" fontId="22" fillId="9" borderId="44" xfId="0" applyNumberFormat="1" applyFont="1" applyFill="1" applyBorder="1" applyAlignment="1">
      <alignment horizontal="center" vertical="center" shrinkToFit="1"/>
    </xf>
    <xf numFmtId="183" fontId="22" fillId="9" borderId="45" xfId="0" applyNumberFormat="1" applyFont="1" applyFill="1" applyBorder="1" applyAlignment="1">
      <alignment horizontal="center" vertical="center" shrinkToFit="1"/>
    </xf>
    <xf numFmtId="183" fontId="22" fillId="9" borderId="0" xfId="0" applyNumberFormat="1" applyFont="1" applyFill="1" applyBorder="1" applyAlignment="1">
      <alignment horizontal="center" vertical="center" shrinkToFit="1"/>
    </xf>
    <xf numFmtId="183" fontId="22" fillId="9" borderId="46" xfId="0" applyNumberFormat="1" applyFont="1" applyFill="1" applyBorder="1" applyAlignment="1">
      <alignment horizontal="center" vertical="center" shrinkToFit="1"/>
    </xf>
    <xf numFmtId="183" fontId="22" fillId="9" borderId="6" xfId="0" applyNumberFormat="1" applyFont="1" applyFill="1" applyBorder="1" applyAlignment="1">
      <alignment horizontal="center" vertical="center" shrinkToFit="1"/>
    </xf>
    <xf numFmtId="183" fontId="22" fillId="9" borderId="37" xfId="0" applyNumberFormat="1" applyFont="1" applyFill="1" applyBorder="1" applyAlignment="1">
      <alignment horizontal="center" vertical="center" shrinkToFit="1"/>
    </xf>
    <xf numFmtId="183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Border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Border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0" fontId="22" fillId="0" borderId="58" xfId="0" applyNumberFormat="1" applyFont="1" applyBorder="1" applyAlignment="1">
      <alignment horizontal="center" vertical="center" shrinkToFit="1"/>
    </xf>
    <xf numFmtId="180" fontId="22" fillId="0" borderId="43" xfId="0" applyNumberFormat="1" applyFont="1" applyBorder="1" applyAlignment="1">
      <alignment horizontal="center" vertical="center" shrinkToFit="1"/>
    </xf>
    <xf numFmtId="180" fontId="22" fillId="0" borderId="59" xfId="0" applyNumberFormat="1" applyFont="1" applyBorder="1" applyAlignment="1">
      <alignment horizontal="center" vertical="center" shrinkToFit="1"/>
    </xf>
    <xf numFmtId="180" fontId="22" fillId="0" borderId="31" xfId="0" applyNumberFormat="1" applyFont="1" applyBorder="1" applyAlignment="1">
      <alignment horizontal="center" vertical="center" shrinkToFit="1"/>
    </xf>
    <xf numFmtId="180" fontId="22" fillId="0" borderId="0" xfId="0" applyNumberFormat="1" applyFont="1" applyAlignment="1">
      <alignment horizontal="center" vertical="center" shrinkToFit="1"/>
    </xf>
    <xf numFmtId="180" fontId="22" fillId="0" borderId="32" xfId="0" applyNumberFormat="1" applyFont="1" applyBorder="1" applyAlignment="1">
      <alignment horizontal="center" vertical="center" shrinkToFit="1"/>
    </xf>
    <xf numFmtId="180" fontId="22" fillId="0" borderId="21" xfId="0" applyNumberFormat="1" applyFont="1" applyBorder="1" applyAlignment="1">
      <alignment horizontal="center" vertical="center" shrinkToFit="1"/>
    </xf>
    <xf numFmtId="180" fontId="22" fillId="0" borderId="22" xfId="0" applyNumberFormat="1" applyFont="1" applyBorder="1" applyAlignment="1">
      <alignment horizontal="center" vertical="center" shrinkToFit="1"/>
    </xf>
    <xf numFmtId="180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6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183" fontId="22" fillId="9" borderId="2" xfId="0" applyNumberFormat="1" applyFont="1" applyFill="1" applyBorder="1" applyAlignment="1">
      <alignment horizontal="center" vertical="center" shrinkToFit="1"/>
    </xf>
    <xf numFmtId="183" fontId="22" fillId="9" borderId="29" xfId="0" applyNumberFormat="1" applyFont="1" applyFill="1" applyBorder="1" applyAlignment="1">
      <alignment horizontal="center" vertical="center" shrinkToFit="1"/>
    </xf>
    <xf numFmtId="183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3" fontId="22" fillId="5" borderId="2" xfId="0" applyNumberFormat="1" applyFont="1" applyFill="1" applyBorder="1" applyAlignment="1">
      <alignment horizontal="center" vertical="center" shrinkToFit="1"/>
    </xf>
    <xf numFmtId="183" fontId="22" fillId="5" borderId="29" xfId="0" applyNumberFormat="1" applyFont="1" applyFill="1" applyBorder="1" applyAlignment="1">
      <alignment horizontal="center" vertical="center" shrinkToFit="1"/>
    </xf>
    <xf numFmtId="183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3" fontId="22" fillId="6" borderId="30" xfId="0" applyNumberFormat="1" applyFont="1" applyFill="1" applyBorder="1" applyAlignment="1">
      <alignment horizontal="center" vertical="center" shrinkToFit="1"/>
    </xf>
    <xf numFmtId="183" fontId="22" fillId="6" borderId="43" xfId="0" applyNumberFormat="1" applyFont="1" applyFill="1" applyBorder="1" applyAlignment="1">
      <alignment horizontal="center" vertical="center" shrinkToFit="1"/>
    </xf>
    <xf numFmtId="183" fontId="22" fillId="6" borderId="44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183" fontId="22" fillId="6" borderId="6" xfId="0" applyNumberFormat="1" applyFont="1" applyFill="1" applyBorder="1" applyAlignment="1">
      <alignment horizontal="center" vertical="center" shrinkToFit="1"/>
    </xf>
    <xf numFmtId="183" fontId="22" fillId="6" borderId="37" xfId="0" applyNumberFormat="1" applyFont="1" applyFill="1" applyBorder="1" applyAlignment="1">
      <alignment horizontal="center" vertical="center" shrinkToFit="1"/>
    </xf>
    <xf numFmtId="183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6" fontId="6" fillId="11" borderId="2" xfId="0" applyNumberFormat="1" applyFont="1" applyFill="1" applyBorder="1" applyAlignment="1">
      <alignment horizontal="center" vertical="center" shrinkToFit="1"/>
    </xf>
    <xf numFmtId="176" fontId="6" fillId="11" borderId="29" xfId="0" applyNumberFormat="1" applyFont="1" applyFill="1" applyBorder="1" applyAlignment="1">
      <alignment horizontal="center" vertical="center" shrinkToFit="1"/>
    </xf>
    <xf numFmtId="176" fontId="6" fillId="11" borderId="26" xfId="0" applyNumberFormat="1" applyFont="1" applyFill="1" applyBorder="1" applyAlignment="1">
      <alignment horizontal="center" vertical="center" shrinkToFit="1"/>
    </xf>
  </cellXfs>
  <cellStyles count="5">
    <cellStyle name="셀 확인" xfId="1" builtinId="23"/>
    <cellStyle name="좋음" xfId="4" builtinId="26"/>
    <cellStyle name="출력" xfId="3" builtinId="21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A27" sqref="A27:N27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8" thickBot="1" x14ac:dyDescent="0.45">
      <c r="A2" s="344" t="s">
        <v>97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98</v>
      </c>
      <c r="K2" s="346"/>
      <c r="L2" s="348" t="s">
        <v>96</v>
      </c>
      <c r="M2" s="349"/>
      <c r="N2" s="347"/>
      <c r="O2" s="345" t="s">
        <v>99</v>
      </c>
      <c r="P2" s="345"/>
      <c r="Q2" s="346"/>
      <c r="R2" s="348" t="s">
        <v>51</v>
      </c>
      <c r="S2" s="347"/>
      <c r="T2" s="336">
        <v>5</v>
      </c>
      <c r="U2" s="33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37" t="s">
        <v>8</v>
      </c>
      <c r="P4" s="337"/>
      <c r="Q4" s="337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267">
        <v>1</v>
      </c>
      <c r="B5" s="268">
        <v>4162</v>
      </c>
      <c r="C5" s="269" t="s">
        <v>105</v>
      </c>
      <c r="D5" s="270" t="s">
        <v>106</v>
      </c>
      <c r="E5" s="271" t="s">
        <v>91</v>
      </c>
      <c r="F5" s="272">
        <v>815</v>
      </c>
      <c r="G5" s="268" t="s">
        <v>107</v>
      </c>
      <c r="H5" s="273"/>
      <c r="I5" s="273">
        <v>150</v>
      </c>
      <c r="J5" s="273" t="str">
        <f>IF(G5="RSL","55","0")</f>
        <v>0</v>
      </c>
      <c r="K5" s="273" t="str">
        <f>IF(G5="GVS","37.5",IF(G5="GVM","41.5",IF(G5="GVL","50",IF(G5="PCS","45.8",IF(G5="PCM","50",IF(G5="PCL","58.3","0"))))))</f>
        <v>0</v>
      </c>
      <c r="L5" s="274"/>
      <c r="M5" s="274"/>
      <c r="N5" s="275" t="s">
        <v>99</v>
      </c>
      <c r="O5" s="388" t="s">
        <v>108</v>
      </c>
      <c r="P5" s="389"/>
      <c r="Q5" s="390"/>
      <c r="R5" s="33" t="s">
        <v>99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4163</v>
      </c>
      <c r="C6" s="67" t="s">
        <v>109</v>
      </c>
      <c r="D6" s="200" t="s">
        <v>110</v>
      </c>
      <c r="E6" s="181" t="s">
        <v>92</v>
      </c>
      <c r="F6" s="171">
        <v>830</v>
      </c>
      <c r="G6" s="118" t="s">
        <v>111</v>
      </c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58.3</v>
      </c>
      <c r="L6" s="131"/>
      <c r="M6" s="131"/>
      <c r="N6" s="134" t="s">
        <v>100</v>
      </c>
      <c r="O6" s="338" t="s">
        <v>112</v>
      </c>
      <c r="P6" s="339"/>
      <c r="Q6" s="340"/>
      <c r="R6" s="132" t="s">
        <v>100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4164</v>
      </c>
      <c r="C7" s="67" t="s">
        <v>113</v>
      </c>
      <c r="D7" s="200" t="s">
        <v>114</v>
      </c>
      <c r="E7" s="181" t="s">
        <v>92</v>
      </c>
      <c r="F7" s="171">
        <v>835</v>
      </c>
      <c r="G7" s="118" t="s">
        <v>115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100</v>
      </c>
      <c r="O7" s="311"/>
      <c r="P7" s="310"/>
      <c r="Q7" s="312"/>
      <c r="R7" s="134" t="s">
        <v>101</v>
      </c>
      <c r="S7" s="31">
        <v>0.375</v>
      </c>
      <c r="T7" s="32">
        <v>0.67708333333333337</v>
      </c>
      <c r="U7" s="92">
        <f t="shared" si="0"/>
        <v>7.2500000000000009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4165</v>
      </c>
      <c r="C8" s="27" t="s">
        <v>116</v>
      </c>
      <c r="D8" s="200" t="s">
        <v>117</v>
      </c>
      <c r="E8" s="181" t="s">
        <v>91</v>
      </c>
      <c r="F8" s="171">
        <v>845</v>
      </c>
      <c r="G8" s="118" t="s">
        <v>107</v>
      </c>
      <c r="H8" s="91">
        <v>120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41"/>
      <c r="P8" s="342"/>
      <c r="Q8" s="343"/>
      <c r="R8" s="26" t="s">
        <v>102</v>
      </c>
      <c r="S8" s="31">
        <v>0.38541666666666669</v>
      </c>
      <c r="T8" s="32">
        <v>0.72916666666666663</v>
      </c>
      <c r="U8" s="92">
        <f t="shared" si="0"/>
        <v>8.2499999999999982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4166</v>
      </c>
      <c r="C9" s="63" t="s">
        <v>118</v>
      </c>
      <c r="D9" s="201" t="s">
        <v>119</v>
      </c>
      <c r="E9" s="181" t="s">
        <v>92</v>
      </c>
      <c r="F9" s="172">
        <v>900</v>
      </c>
      <c r="G9" s="119" t="s">
        <v>120</v>
      </c>
      <c r="H9" s="91"/>
      <c r="I9" s="91">
        <v>85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41"/>
      <c r="P9" s="342"/>
      <c r="Q9" s="343"/>
      <c r="R9" s="26" t="s">
        <v>103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4167</v>
      </c>
      <c r="C10" s="28" t="s">
        <v>121</v>
      </c>
      <c r="D10" s="202" t="s">
        <v>122</v>
      </c>
      <c r="E10" s="181" t="s">
        <v>92</v>
      </c>
      <c r="F10" s="173">
        <v>910</v>
      </c>
      <c r="G10" s="120" t="s">
        <v>44</v>
      </c>
      <c r="H10" s="123"/>
      <c r="I10" s="125"/>
      <c r="J10" s="130">
        <v>110</v>
      </c>
      <c r="K10" s="130" t="str">
        <f t="shared" si="2"/>
        <v>0</v>
      </c>
      <c r="L10" s="131"/>
      <c r="M10" s="131"/>
      <c r="N10" s="134" t="s">
        <v>99</v>
      </c>
      <c r="O10" s="387">
        <v>2.02204008202204E+17</v>
      </c>
      <c r="P10" s="334"/>
      <c r="Q10" s="335"/>
      <c r="R10" s="26" t="s">
        <v>104</v>
      </c>
      <c r="S10" s="31">
        <v>0.66666666666666663</v>
      </c>
      <c r="T10" s="32">
        <v>0.70833333333333337</v>
      </c>
      <c r="U10" s="92">
        <f t="shared" si="0"/>
        <v>1.0000000000000018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4168</v>
      </c>
      <c r="C11" s="18" t="s">
        <v>123</v>
      </c>
      <c r="D11" s="203" t="s">
        <v>124</v>
      </c>
      <c r="E11" s="181" t="s">
        <v>91</v>
      </c>
      <c r="F11" s="66">
        <v>1035</v>
      </c>
      <c r="G11" s="121" t="s">
        <v>44</v>
      </c>
      <c r="H11" s="123"/>
      <c r="I11" s="124"/>
      <c r="J11" s="130" t="str">
        <f t="shared" si="1"/>
        <v>55</v>
      </c>
      <c r="K11" s="130" t="str">
        <f t="shared" si="2"/>
        <v>0</v>
      </c>
      <c r="L11" s="131"/>
      <c r="M11" s="131"/>
      <c r="N11" s="134" t="s">
        <v>99</v>
      </c>
      <c r="O11" s="311">
        <v>202205033</v>
      </c>
      <c r="P11" s="310"/>
      <c r="Q11" s="31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4169</v>
      </c>
      <c r="C12" s="64" t="s">
        <v>125</v>
      </c>
      <c r="D12" s="204" t="s">
        <v>126</v>
      </c>
      <c r="E12" s="181" t="s">
        <v>91</v>
      </c>
      <c r="F12" s="173">
        <v>1040</v>
      </c>
      <c r="G12" s="119" t="s">
        <v>107</v>
      </c>
      <c r="H12" s="123"/>
      <c r="I12" s="125">
        <v>120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1"/>
      <c r="P12" s="310"/>
      <c r="Q12" s="31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4170</v>
      </c>
      <c r="C13" s="64" t="s">
        <v>127</v>
      </c>
      <c r="D13" s="204" t="s">
        <v>128</v>
      </c>
      <c r="E13" s="181" t="s">
        <v>91</v>
      </c>
      <c r="F13" s="173">
        <v>1000</v>
      </c>
      <c r="G13" s="119" t="s">
        <v>115</v>
      </c>
      <c r="H13" s="169">
        <v>75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1"/>
      <c r="P13" s="310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4171</v>
      </c>
      <c r="C14" s="65" t="s">
        <v>129</v>
      </c>
      <c r="D14" s="205" t="s">
        <v>130</v>
      </c>
      <c r="E14" s="181" t="s">
        <v>92</v>
      </c>
      <c r="F14" s="174">
        <v>1045</v>
      </c>
      <c r="G14" s="122" t="s">
        <v>107</v>
      </c>
      <c r="H14" s="123"/>
      <c r="I14" s="125">
        <v>120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1"/>
      <c r="P14" s="310"/>
      <c r="Q14" s="31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4172</v>
      </c>
      <c r="C15" s="65" t="s">
        <v>131</v>
      </c>
      <c r="D15" s="205" t="s">
        <v>132</v>
      </c>
      <c r="E15" s="181" t="s">
        <v>92</v>
      </c>
      <c r="F15" s="174">
        <v>1130</v>
      </c>
      <c r="G15" s="122" t="s">
        <v>115</v>
      </c>
      <c r="H15" s="123"/>
      <c r="I15" s="124">
        <v>65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1"/>
      <c r="P15" s="310"/>
      <c r="Q15" s="31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4173</v>
      </c>
      <c r="C16" s="65" t="s">
        <v>133</v>
      </c>
      <c r="D16" s="205" t="s">
        <v>134</v>
      </c>
      <c r="E16" s="181" t="s">
        <v>92</v>
      </c>
      <c r="F16" s="174">
        <v>1200</v>
      </c>
      <c r="G16" s="122" t="s">
        <v>135</v>
      </c>
      <c r="H16" s="123"/>
      <c r="I16" s="124"/>
      <c r="J16" s="130" t="str">
        <f t="shared" si="1"/>
        <v>0</v>
      </c>
      <c r="K16" s="130">
        <v>62.5</v>
      </c>
      <c r="L16" s="131"/>
      <c r="M16" s="131"/>
      <c r="N16" s="134" t="s">
        <v>99</v>
      </c>
      <c r="O16" s="311" t="s">
        <v>136</v>
      </c>
      <c r="P16" s="310"/>
      <c r="Q16" s="312"/>
      <c r="R16" s="82">
        <f>H32/U16</f>
        <v>0.61176470588235299</v>
      </c>
      <c r="S16" s="83">
        <f>H32/(U16-U5)</f>
        <v>0.78787878787878785</v>
      </c>
      <c r="T16" s="83">
        <f>C32/U16</f>
        <v>63.430588235294124</v>
      </c>
      <c r="U16" s="83">
        <f>SUM(U5:U15)</f>
        <v>42.5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4174</v>
      </c>
      <c r="C17" s="18" t="s">
        <v>137</v>
      </c>
      <c r="D17" s="203" t="s">
        <v>138</v>
      </c>
      <c r="E17" s="181" t="s">
        <v>91</v>
      </c>
      <c r="F17" s="66">
        <v>1215</v>
      </c>
      <c r="G17" s="121" t="s">
        <v>115</v>
      </c>
      <c r="H17" s="123"/>
      <c r="I17" s="124">
        <v>80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1"/>
      <c r="P17" s="310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4175</v>
      </c>
      <c r="C18" s="18" t="s">
        <v>139</v>
      </c>
      <c r="D18" s="203" t="s">
        <v>140</v>
      </c>
      <c r="E18" s="181" t="s">
        <v>91</v>
      </c>
      <c r="F18" s="66">
        <v>1220</v>
      </c>
      <c r="G18" s="20" t="s">
        <v>120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100</v>
      </c>
      <c r="O18" s="311"/>
      <c r="P18" s="310"/>
      <c r="Q18" s="31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4176</v>
      </c>
      <c r="C19" s="18" t="s">
        <v>141</v>
      </c>
      <c r="D19" s="203" t="s">
        <v>142</v>
      </c>
      <c r="E19" s="181" t="s">
        <v>92</v>
      </c>
      <c r="F19" s="66">
        <v>1230</v>
      </c>
      <c r="G19" s="121" t="s">
        <v>120</v>
      </c>
      <c r="H19" s="123"/>
      <c r="I19" s="124">
        <v>100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11"/>
      <c r="P19" s="310"/>
      <c r="Q19" s="310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4177</v>
      </c>
      <c r="C20" s="18" t="s">
        <v>143</v>
      </c>
      <c r="D20" s="203" t="s">
        <v>144</v>
      </c>
      <c r="E20" s="181" t="s">
        <v>91</v>
      </c>
      <c r="F20" s="66">
        <v>1230</v>
      </c>
      <c r="G20" s="121" t="s">
        <v>145</v>
      </c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80" t="s">
        <v>146</v>
      </c>
      <c r="P20" s="381"/>
      <c r="Q20" s="38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4178</v>
      </c>
      <c r="C21" s="18" t="s">
        <v>147</v>
      </c>
      <c r="D21" s="203" t="s">
        <v>148</v>
      </c>
      <c r="E21" s="181" t="s">
        <v>92</v>
      </c>
      <c r="F21" s="66">
        <v>1230</v>
      </c>
      <c r="G21" s="20" t="s">
        <v>107</v>
      </c>
      <c r="H21" s="123"/>
      <c r="I21" s="124">
        <v>120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11"/>
      <c r="P21" s="310"/>
      <c r="Q21" s="31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276">
        <v>18</v>
      </c>
      <c r="B22" s="277">
        <v>4179</v>
      </c>
      <c r="C22" s="278" t="s">
        <v>149</v>
      </c>
      <c r="D22" s="279" t="s">
        <v>150</v>
      </c>
      <c r="E22" s="271" t="s">
        <v>91</v>
      </c>
      <c r="F22" s="280">
        <v>1300</v>
      </c>
      <c r="G22" s="277" t="s">
        <v>151</v>
      </c>
      <c r="H22" s="281"/>
      <c r="I22" s="281">
        <v>350</v>
      </c>
      <c r="J22" s="273" t="str">
        <f t="shared" si="1"/>
        <v>0</v>
      </c>
      <c r="K22" s="273" t="str">
        <f t="shared" si="2"/>
        <v>0</v>
      </c>
      <c r="L22" s="273"/>
      <c r="M22" s="273"/>
      <c r="N22" s="275" t="s">
        <v>99</v>
      </c>
      <c r="O22" s="384" t="s">
        <v>78</v>
      </c>
      <c r="P22" s="385"/>
      <c r="Q22" s="38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4180</v>
      </c>
      <c r="C23" s="136" t="s">
        <v>152</v>
      </c>
      <c r="D23" s="207" t="s">
        <v>153</v>
      </c>
      <c r="E23" s="181" t="s">
        <v>92</v>
      </c>
      <c r="F23" s="176">
        <v>1315</v>
      </c>
      <c r="G23" s="165" t="s">
        <v>44</v>
      </c>
      <c r="H23" s="89"/>
      <c r="I23" s="141"/>
      <c r="J23" s="130" t="str">
        <f t="shared" si="1"/>
        <v>55</v>
      </c>
      <c r="K23" s="130" t="str">
        <f t="shared" si="2"/>
        <v>0</v>
      </c>
      <c r="L23" s="126"/>
      <c r="M23" s="126"/>
      <c r="N23" s="126" t="s">
        <v>99</v>
      </c>
      <c r="O23" s="163"/>
      <c r="P23" s="164">
        <v>202203092</v>
      </c>
      <c r="Q23" s="159"/>
      <c r="R23" s="113"/>
      <c r="S23" s="114"/>
      <c r="T23" s="114"/>
      <c r="U23" s="115"/>
      <c r="X23" s="378"/>
      <c r="Y23" s="379"/>
      <c r="Z23" s="379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4181</v>
      </c>
      <c r="C24" s="127" t="s">
        <v>154</v>
      </c>
      <c r="D24" s="206" t="s">
        <v>155</v>
      </c>
      <c r="E24" s="181" t="s">
        <v>92</v>
      </c>
      <c r="F24" s="175">
        <v>1345</v>
      </c>
      <c r="G24" s="214" t="s">
        <v>115</v>
      </c>
      <c r="H24" s="89">
        <v>55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11"/>
      <c r="P24" s="310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4182</v>
      </c>
      <c r="C25" s="132" t="s">
        <v>156</v>
      </c>
      <c r="D25" s="208" t="s">
        <v>157</v>
      </c>
      <c r="E25" s="181" t="s">
        <v>91</v>
      </c>
      <c r="F25" s="175">
        <v>1410</v>
      </c>
      <c r="G25" s="214" t="s">
        <v>115</v>
      </c>
      <c r="H25" s="90"/>
      <c r="I25" s="90">
        <v>55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11"/>
      <c r="P25" s="310"/>
      <c r="Q25" s="31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82">
        <f>((C32+(R26+S26+T26)*0.5))</f>
        <v>2720.8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4183</v>
      </c>
      <c r="C26" s="27" t="s">
        <v>158</v>
      </c>
      <c r="D26" s="209" t="s">
        <v>159</v>
      </c>
      <c r="E26" s="181" t="s">
        <v>91</v>
      </c>
      <c r="F26" s="177">
        <v>1425</v>
      </c>
      <c r="G26" s="20" t="s">
        <v>107</v>
      </c>
      <c r="H26" s="89"/>
      <c r="I26" s="141">
        <v>120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311"/>
      <c r="P26" s="310"/>
      <c r="Q26" s="312"/>
      <c r="R26" s="112">
        <f>R25*37.5</f>
        <v>0</v>
      </c>
      <c r="S26" s="102">
        <f>S25*41.5</f>
        <v>0</v>
      </c>
      <c r="T26" s="102">
        <f>T25*50</f>
        <v>50</v>
      </c>
      <c r="U26" s="38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276">
        <v>23</v>
      </c>
      <c r="B27" s="268">
        <v>4184</v>
      </c>
      <c r="C27" s="275" t="s">
        <v>160</v>
      </c>
      <c r="D27" s="286" t="s">
        <v>161</v>
      </c>
      <c r="E27" s="271" t="s">
        <v>92</v>
      </c>
      <c r="F27" s="280">
        <v>1450</v>
      </c>
      <c r="G27" s="277" t="s">
        <v>162</v>
      </c>
      <c r="H27" s="281"/>
      <c r="I27" s="281">
        <v>200</v>
      </c>
      <c r="J27" s="273" t="str">
        <f t="shared" si="1"/>
        <v>0</v>
      </c>
      <c r="K27" s="273" t="str">
        <f t="shared" si="2"/>
        <v>0</v>
      </c>
      <c r="L27" s="273"/>
      <c r="M27" s="273"/>
      <c r="N27" s="275" t="s">
        <v>100</v>
      </c>
      <c r="O27" s="311"/>
      <c r="P27" s="310"/>
      <c r="Q27" s="312"/>
      <c r="R27" s="375" t="s">
        <v>56</v>
      </c>
      <c r="S27" s="376"/>
      <c r="T27" s="376"/>
      <c r="U27" s="37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>
        <v>4185</v>
      </c>
      <c r="C28" s="27" t="s">
        <v>163</v>
      </c>
      <c r="D28" s="209" t="s">
        <v>164</v>
      </c>
      <c r="E28" s="181" t="s">
        <v>91</v>
      </c>
      <c r="F28" s="177">
        <v>1520</v>
      </c>
      <c r="G28" s="20" t="s">
        <v>44</v>
      </c>
      <c r="H28" s="89"/>
      <c r="I28" s="141"/>
      <c r="J28" s="130">
        <v>165</v>
      </c>
      <c r="K28" s="130" t="str">
        <f t="shared" si="2"/>
        <v>0</v>
      </c>
      <c r="L28" s="69"/>
      <c r="M28" s="69"/>
      <c r="N28" s="134" t="s">
        <v>99</v>
      </c>
      <c r="O28" s="367">
        <v>2.0211206820220101E+18</v>
      </c>
      <c r="P28" s="310"/>
      <c r="Q28" s="312"/>
      <c r="R28" s="368" t="s">
        <v>165</v>
      </c>
      <c r="S28" s="369"/>
      <c r="T28" s="37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282">
        <v>25</v>
      </c>
      <c r="B29" s="268">
        <v>4186</v>
      </c>
      <c r="C29" s="283" t="s">
        <v>166</v>
      </c>
      <c r="D29" s="284" t="s">
        <v>167</v>
      </c>
      <c r="E29" s="285" t="s">
        <v>92</v>
      </c>
      <c r="F29" s="280">
        <v>1530</v>
      </c>
      <c r="G29" s="277" t="s">
        <v>107</v>
      </c>
      <c r="H29" s="281">
        <v>150</v>
      </c>
      <c r="I29" s="281"/>
      <c r="J29" s="273" t="str">
        <f t="shared" si="1"/>
        <v>0</v>
      </c>
      <c r="K29" s="273" t="str">
        <f t="shared" si="2"/>
        <v>0</v>
      </c>
      <c r="L29" s="273">
        <v>475</v>
      </c>
      <c r="M29" s="273"/>
      <c r="N29" s="275" t="s">
        <v>99</v>
      </c>
      <c r="O29" s="354" t="s">
        <v>168</v>
      </c>
      <c r="P29" s="355"/>
      <c r="Q29" s="356"/>
      <c r="R29" s="357"/>
      <c r="S29" s="358"/>
      <c r="T29" s="35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0" t="s">
        <v>48</v>
      </c>
      <c r="B30" s="361"/>
      <c r="C30" s="361"/>
      <c r="D30" s="361"/>
      <c r="E30" s="362"/>
      <c r="F30" s="361"/>
      <c r="G30" s="361"/>
      <c r="H30" s="211">
        <f t="shared" ref="H30:M30" si="3">SUM(H5:H29)</f>
        <v>400</v>
      </c>
      <c r="I30" s="105">
        <f>SUM(I5:I29)</f>
        <v>1715</v>
      </c>
      <c r="J30" s="105">
        <f>J5+J6+J7+J8+J9+J10+J11+J12+J13+J14+J15+J16+J18+J19+J17+J20+J22+J23+J21+J24+J25+J26+J27+J28+J29</f>
        <v>385</v>
      </c>
      <c r="K30" s="105">
        <f>K5+K6+K7+K8+K9+K10+K11+K12+K13+K14+K15+K16+K18+K19+K17+K20+K22+K23+K21+K24+K25+K26+K27+K28+K29</f>
        <v>120.8</v>
      </c>
      <c r="L30" s="106">
        <f t="shared" si="3"/>
        <v>475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63"/>
      <c r="S30" s="363"/>
      <c r="T30" s="36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5" t="s">
        <v>16</v>
      </c>
      <c r="B31" s="366"/>
      <c r="C31" s="366"/>
      <c r="D31" s="366"/>
      <c r="E31" s="366"/>
      <c r="F31" s="366"/>
      <c r="G31" s="366"/>
      <c r="H31" s="212">
        <f t="shared" ref="H31:J31" si="4">H30+H62+H94</f>
        <v>400</v>
      </c>
      <c r="I31" s="103">
        <f t="shared" si="4"/>
        <v>1790</v>
      </c>
      <c r="J31" s="103">
        <f t="shared" si="4"/>
        <v>385</v>
      </c>
      <c r="K31" s="103">
        <f>K30+K62+K94</f>
        <v>120.8</v>
      </c>
      <c r="L31" s="97">
        <f>L30+L62+L94</f>
        <v>475</v>
      </c>
      <c r="M31" s="97">
        <f>M30+M62+M94</f>
        <v>0</v>
      </c>
      <c r="N31" s="217">
        <f>COUNT(H5:H29,H37:H61,H69:H93)</f>
        <v>4</v>
      </c>
      <c r="O31" s="104">
        <f>COUNT(I5:I29,I37:I61,I69:I93)</f>
        <v>15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4</v>
      </c>
      <c r="R31" s="98" t="s">
        <v>83</v>
      </c>
      <c r="S31" s="111">
        <f>H31+L31-U28-U29-U30</f>
        <v>875</v>
      </c>
      <c r="T31" s="350">
        <f>H31+I31+L31+M31</f>
        <v>2665</v>
      </c>
      <c r="U31" s="35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71" t="s">
        <v>55</v>
      </c>
      <c r="B32" s="372"/>
      <c r="C32" s="107">
        <f>H31+I31+J31+K31</f>
        <v>2695.8</v>
      </c>
      <c r="D32" s="196"/>
      <c r="E32" s="107"/>
      <c r="F32" s="373" t="s">
        <v>53</v>
      </c>
      <c r="G32" s="373"/>
      <c r="H32" s="109">
        <f>COUNT(B5:B29,B37:B61,B69:B93)</f>
        <v>26</v>
      </c>
      <c r="I32" s="374" t="s">
        <v>54</v>
      </c>
      <c r="J32" s="374"/>
      <c r="K32" s="108">
        <f>C32/H32</f>
        <v>103.6846153846154</v>
      </c>
      <c r="L32" s="218"/>
      <c r="M32" s="218"/>
      <c r="N32" s="218">
        <f>H31/C32</f>
        <v>0.14837895986349134</v>
      </c>
      <c r="O32" s="218">
        <f>I31/C32</f>
        <v>0.66399584538912382</v>
      </c>
      <c r="P32" s="218">
        <f>K31/C32</f>
        <v>4.4810445878774384E-2</v>
      </c>
      <c r="Q32" s="110">
        <f>J31/C32</f>
        <v>0.14281474886861042</v>
      </c>
      <c r="R32" s="99" t="s">
        <v>82</v>
      </c>
      <c r="S32" s="213">
        <f>I31+M31</f>
        <v>1790</v>
      </c>
      <c r="T32" s="352"/>
      <c r="U32" s="353"/>
      <c r="V32" s="55"/>
      <c r="W32" s="55"/>
      <c r="X32" s="56" t="s">
        <v>27</v>
      </c>
      <c r="Y32" s="56"/>
      <c r="Z32" s="54">
        <f>I31</f>
        <v>1790</v>
      </c>
      <c r="AE32" s="37"/>
      <c r="AF32" s="37"/>
      <c r="AG32" s="37"/>
      <c r="AH32" s="37"/>
    </row>
    <row r="33" spans="1:34" ht="18" thickBot="1" x14ac:dyDescent="0.4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57" t="s">
        <v>29</v>
      </c>
      <c r="Y33" s="57"/>
      <c r="Z33" s="58">
        <f>SUM(Z31:Z32)</f>
        <v>-955</v>
      </c>
      <c r="AE33" s="37"/>
      <c r="AF33" s="37"/>
      <c r="AG33" s="59"/>
      <c r="AH33" s="37"/>
    </row>
    <row r="34" spans="1:34" ht="18" thickBot="1" x14ac:dyDescent="0.45">
      <c r="A34" s="344" t="str">
        <f>A2</f>
        <v>16 - 5 - 2022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SUNNY</v>
      </c>
      <c r="K34" s="346"/>
      <c r="L34" s="348" t="s">
        <v>50</v>
      </c>
      <c r="M34" s="349"/>
      <c r="N34" s="347"/>
      <c r="O34" s="345" t="str">
        <f>O2</f>
        <v>HENDRA</v>
      </c>
      <c r="P34" s="345"/>
      <c r="Q34" s="346"/>
      <c r="R34" s="348" t="s">
        <v>51</v>
      </c>
      <c r="S34" s="347"/>
      <c r="T34" s="336">
        <f>T2</f>
        <v>5</v>
      </c>
      <c r="U34" s="33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37" t="s">
        <v>8</v>
      </c>
      <c r="P36" s="337"/>
      <c r="Q36" s="337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>
        <v>4187</v>
      </c>
      <c r="C37" s="68" t="s">
        <v>169</v>
      </c>
      <c r="D37" s="258" t="s">
        <v>170</v>
      </c>
      <c r="E37" s="181" t="s">
        <v>92</v>
      </c>
      <c r="F37" s="174">
        <v>1545</v>
      </c>
      <c r="G37" s="118" t="s">
        <v>115</v>
      </c>
      <c r="H37" s="91"/>
      <c r="I37" s="124">
        <v>75</v>
      </c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99</v>
      </c>
      <c r="O37" s="311"/>
      <c r="P37" s="310"/>
      <c r="Q37" s="312"/>
      <c r="R37" s="60"/>
      <c r="S37" s="61"/>
      <c r="T37" s="61"/>
      <c r="U37" s="70"/>
    </row>
    <row r="38" spans="1:34" x14ac:dyDescent="0.4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8"/>
      <c r="P38" s="339"/>
      <c r="Q38" s="34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0"/>
      <c r="Q39" s="312"/>
      <c r="R39" s="79"/>
      <c r="S39" s="13"/>
      <c r="T39" s="12"/>
      <c r="U39" s="72"/>
    </row>
    <row r="40" spans="1:34" x14ac:dyDescent="0.4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1"/>
      <c r="P40" s="342"/>
      <c r="Q40" s="34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1"/>
      <c r="P41" s="342"/>
      <c r="Q41" s="343"/>
      <c r="R41" s="80"/>
      <c r="S41" s="73"/>
      <c r="T41" s="73"/>
      <c r="U41" s="74"/>
    </row>
    <row r="42" spans="1:34" x14ac:dyDescent="0.4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3"/>
      <c r="P42" s="334"/>
      <c r="Q42" s="33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0"/>
      <c r="Q43" s="312"/>
      <c r="R43" s="78"/>
      <c r="S43" s="71"/>
      <c r="T43" s="71"/>
      <c r="U43" s="72"/>
    </row>
    <row r="44" spans="1:34" x14ac:dyDescent="0.4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0"/>
      <c r="Q44" s="31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0"/>
      <c r="Q45" s="312"/>
      <c r="R45" s="5"/>
      <c r="S45" s="71"/>
      <c r="T45" s="71"/>
      <c r="U45" s="72"/>
    </row>
    <row r="46" spans="1:34" x14ac:dyDescent="0.4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0"/>
      <c r="Q46" s="31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0"/>
      <c r="Q47" s="312"/>
      <c r="R47" s="5"/>
      <c r="S47" s="71"/>
      <c r="T47" s="71"/>
      <c r="U47" s="72"/>
    </row>
    <row r="48" spans="1:34" x14ac:dyDescent="0.4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0"/>
      <c r="Q48" s="312"/>
      <c r="R48" s="5"/>
      <c r="S48" s="71"/>
      <c r="T48" s="71"/>
      <c r="U48" s="72"/>
    </row>
    <row r="49" spans="1:21" x14ac:dyDescent="0.4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0"/>
      <c r="Q49" s="312"/>
      <c r="R49" s="5"/>
      <c r="S49" s="71"/>
      <c r="T49" s="75"/>
      <c r="U49" s="72"/>
    </row>
    <row r="50" spans="1:21" x14ac:dyDescent="0.4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0"/>
      <c r="Q50" s="312"/>
      <c r="R50" s="5"/>
      <c r="S50" s="71"/>
      <c r="T50" s="75"/>
      <c r="U50" s="72"/>
    </row>
    <row r="51" spans="1:21" x14ac:dyDescent="0.4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0"/>
      <c r="Q51" s="310"/>
      <c r="R51" s="5"/>
      <c r="S51" s="71"/>
      <c r="T51" s="75"/>
      <c r="U51" s="72"/>
    </row>
    <row r="52" spans="1:21" x14ac:dyDescent="0.4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0"/>
      <c r="Q52" s="310"/>
      <c r="R52" s="81"/>
      <c r="S52" s="68"/>
      <c r="T52" s="76"/>
      <c r="U52" s="77"/>
    </row>
    <row r="53" spans="1:21" x14ac:dyDescent="0.4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2"/>
      <c r="P53" s="311"/>
      <c r="Q53" s="311"/>
      <c r="R53" s="81"/>
      <c r="S53" s="68"/>
      <c r="T53" s="76"/>
      <c r="U53" s="77"/>
    </row>
    <row r="54" spans="1:21" x14ac:dyDescent="0.4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2"/>
      <c r="P54" s="311"/>
      <c r="Q54" s="311"/>
      <c r="R54" s="81"/>
      <c r="S54" s="68"/>
      <c r="T54" s="76"/>
      <c r="U54" s="77"/>
    </row>
    <row r="55" spans="1:21" x14ac:dyDescent="0.4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2"/>
      <c r="P55" s="311"/>
      <c r="Q55" s="311"/>
      <c r="R55" s="81"/>
      <c r="S55" s="68"/>
      <c r="T55" s="76"/>
      <c r="U55" s="77"/>
    </row>
    <row r="56" spans="1:21" x14ac:dyDescent="0.4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4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0"/>
      <c r="Q57" s="310"/>
      <c r="R57" s="81"/>
      <c r="S57" s="68"/>
      <c r="T57" s="68"/>
      <c r="U57" s="77"/>
    </row>
    <row r="58" spans="1:21" x14ac:dyDescent="0.4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4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4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0"/>
      <c r="Q60" s="31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3"/>
      <c r="P61" s="314"/>
      <c r="Q61" s="315"/>
      <c r="R61" s="81"/>
      <c r="S61" s="68"/>
      <c r="T61" s="68"/>
      <c r="U61" s="77"/>
    </row>
    <row r="62" spans="1:21" x14ac:dyDescent="0.4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0</v>
      </c>
      <c r="I62" s="323">
        <f t="shared" si="8"/>
        <v>75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0</v>
      </c>
      <c r="L62" s="326">
        <f t="shared" si="8"/>
        <v>0</v>
      </c>
      <c r="M62" s="329">
        <f t="shared" si="8"/>
        <v>0</v>
      </c>
      <c r="N62" s="298"/>
      <c r="O62" s="299"/>
      <c r="P62" s="299"/>
      <c r="Q62" s="300"/>
      <c r="R62" s="5"/>
      <c r="S62" s="6"/>
      <c r="T62" s="7"/>
      <c r="U62" s="8"/>
    </row>
    <row r="63" spans="1:21" ht="18" thickBot="1" x14ac:dyDescent="0.4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8" thickBot="1" x14ac:dyDescent="0.4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8" thickBot="1" x14ac:dyDescent="0.4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8" thickBot="1" x14ac:dyDescent="0.45">
      <c r="A66" s="344" t="str">
        <f>A34</f>
        <v>16 - 5 - 2022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SUNNY</v>
      </c>
      <c r="K66" s="346"/>
      <c r="L66" s="348" t="s">
        <v>50</v>
      </c>
      <c r="M66" s="349"/>
      <c r="N66" s="347"/>
      <c r="O66" s="345" t="str">
        <f>O34</f>
        <v>HENDRA</v>
      </c>
      <c r="P66" s="345"/>
      <c r="Q66" s="346"/>
      <c r="R66" s="348" t="s">
        <v>51</v>
      </c>
      <c r="S66" s="347"/>
      <c r="T66" s="336">
        <f>T34</f>
        <v>5</v>
      </c>
      <c r="U66" s="33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37" t="s">
        <v>8</v>
      </c>
      <c r="P68" s="337"/>
      <c r="Q68" s="337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0"/>
      <c r="Q69" s="312"/>
      <c r="R69" s="60"/>
      <c r="S69" s="61"/>
      <c r="T69" s="61"/>
      <c r="U69" s="70"/>
    </row>
    <row r="70" spans="1:21" x14ac:dyDescent="0.4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8"/>
      <c r="P70" s="339"/>
      <c r="Q70" s="34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0"/>
      <c r="Q71" s="31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1"/>
      <c r="P72" s="342"/>
      <c r="Q72" s="34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1"/>
      <c r="P73" s="342"/>
      <c r="Q73" s="34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3"/>
      <c r="P74" s="334"/>
      <c r="Q74" s="33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0"/>
      <c r="Q75" s="31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0"/>
      <c r="Q76" s="312"/>
      <c r="R76" s="5"/>
      <c r="S76" s="71"/>
      <c r="T76" s="71"/>
      <c r="U76" s="72"/>
    </row>
    <row r="77" spans="1:21" x14ac:dyDescent="0.4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0"/>
      <c r="Q77" s="312"/>
      <c r="R77" s="5"/>
      <c r="S77" s="71"/>
      <c r="T77" s="71"/>
      <c r="U77" s="72"/>
    </row>
    <row r="78" spans="1:21" x14ac:dyDescent="0.4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0"/>
      <c r="Q78" s="312"/>
      <c r="R78" s="5"/>
      <c r="S78" s="71"/>
      <c r="T78" s="71"/>
      <c r="U78" s="72"/>
    </row>
    <row r="79" spans="1:21" x14ac:dyDescent="0.4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0"/>
      <c r="Q79" s="312"/>
      <c r="R79" s="5"/>
      <c r="S79" s="71"/>
      <c r="T79" s="71"/>
      <c r="U79" s="72"/>
    </row>
    <row r="80" spans="1:21" x14ac:dyDescent="0.4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0"/>
      <c r="Q80" s="312"/>
      <c r="R80" s="5"/>
      <c r="S80" s="71"/>
      <c r="T80" s="71"/>
      <c r="U80" s="72"/>
    </row>
    <row r="81" spans="1:21" x14ac:dyDescent="0.4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0"/>
      <c r="Q81" s="312"/>
      <c r="R81" s="5"/>
      <c r="S81" s="71"/>
      <c r="T81" s="75"/>
      <c r="U81" s="72"/>
    </row>
    <row r="82" spans="1:21" x14ac:dyDescent="0.4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0"/>
      <c r="Q82" s="312"/>
      <c r="R82" s="5"/>
      <c r="S82" s="71"/>
      <c r="T82" s="75"/>
      <c r="U82" s="72"/>
    </row>
    <row r="83" spans="1:21" x14ac:dyDescent="0.4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0"/>
      <c r="Q83" s="310"/>
      <c r="R83" s="5"/>
      <c r="S83" s="71"/>
      <c r="T83" s="75"/>
      <c r="U83" s="72"/>
    </row>
    <row r="84" spans="1:21" x14ac:dyDescent="0.4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0"/>
      <c r="Q84" s="31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2"/>
      <c r="P85" s="311"/>
      <c r="Q85" s="31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2"/>
      <c r="P86" s="311"/>
      <c r="Q86" s="31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2"/>
      <c r="P87" s="311"/>
      <c r="Q87" s="31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0"/>
      <c r="Q89" s="31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0"/>
      <c r="Q92" s="31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3"/>
      <c r="P93" s="314"/>
      <c r="Q93" s="315"/>
      <c r="R93" s="81"/>
      <c r="S93" s="68"/>
      <c r="T93" s="68"/>
      <c r="U93" s="77"/>
    </row>
    <row r="94" spans="1:21" x14ac:dyDescent="0.4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8" thickBot="1" x14ac:dyDescent="0.4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8" thickBot="1" x14ac:dyDescent="0.4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5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L15" sqref="L15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8" thickBot="1" x14ac:dyDescent="0.45">
      <c r="A2" s="344" t="s">
        <v>171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98</v>
      </c>
      <c r="K2" s="346"/>
      <c r="L2" s="348" t="s">
        <v>96</v>
      </c>
      <c r="M2" s="349"/>
      <c r="N2" s="347"/>
      <c r="O2" s="345" t="s">
        <v>99</v>
      </c>
      <c r="P2" s="345"/>
      <c r="Q2" s="346"/>
      <c r="R2" s="348" t="s">
        <v>51</v>
      </c>
      <c r="S2" s="347"/>
      <c r="T2" s="336">
        <v>5</v>
      </c>
      <c r="U2" s="33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7" t="s">
        <v>8</v>
      </c>
      <c r="P4" s="337"/>
      <c r="Q4" s="33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4188</v>
      </c>
      <c r="C5" s="68" t="s">
        <v>172</v>
      </c>
      <c r="D5" s="200" t="s">
        <v>173</v>
      </c>
      <c r="E5" s="181" t="s">
        <v>91</v>
      </c>
      <c r="F5" s="170">
        <v>755</v>
      </c>
      <c r="G5" s="118" t="s">
        <v>44</v>
      </c>
      <c r="H5" s="91"/>
      <c r="I5" s="124"/>
      <c r="J5" s="130">
        <v>110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391">
        <v>2.0220302020220198E+17</v>
      </c>
      <c r="P5" s="392"/>
      <c r="Q5" s="393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4189</v>
      </c>
      <c r="C6" s="67" t="s">
        <v>174</v>
      </c>
      <c r="D6" s="200" t="s">
        <v>114</v>
      </c>
      <c r="E6" s="181" t="s">
        <v>92</v>
      </c>
      <c r="F6" s="171">
        <v>935</v>
      </c>
      <c r="G6" s="118" t="s">
        <v>115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8"/>
      <c r="P6" s="339"/>
      <c r="Q6" s="340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4190</v>
      </c>
      <c r="C7" s="67" t="s">
        <v>175</v>
      </c>
      <c r="D7" s="200" t="s">
        <v>176</v>
      </c>
      <c r="E7" s="181" t="s">
        <v>91</v>
      </c>
      <c r="F7" s="171">
        <v>935</v>
      </c>
      <c r="G7" s="118" t="s">
        <v>177</v>
      </c>
      <c r="H7" s="91"/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1" t="s">
        <v>178</v>
      </c>
      <c r="P7" s="310"/>
      <c r="Q7" s="312"/>
      <c r="R7" s="134" t="s">
        <v>101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4191</v>
      </c>
      <c r="C8" s="27" t="s">
        <v>179</v>
      </c>
      <c r="D8" s="200" t="s">
        <v>180</v>
      </c>
      <c r="E8" s="181" t="s">
        <v>92</v>
      </c>
      <c r="F8" s="171">
        <v>945</v>
      </c>
      <c r="G8" s="118" t="s">
        <v>107</v>
      </c>
      <c r="H8" s="91"/>
      <c r="I8" s="124">
        <v>130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41"/>
      <c r="P8" s="342"/>
      <c r="Q8" s="343"/>
      <c r="R8" s="26" t="s">
        <v>102</v>
      </c>
      <c r="S8" s="31">
        <v>0.36458333333333331</v>
      </c>
      <c r="T8" s="32">
        <v>0.70833333333333337</v>
      </c>
      <c r="U8" s="92">
        <f t="shared" si="0"/>
        <v>8.2500000000000018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276">
        <v>5</v>
      </c>
      <c r="B9" s="268">
        <v>4192</v>
      </c>
      <c r="C9" s="275" t="s">
        <v>181</v>
      </c>
      <c r="D9" s="286" t="s">
        <v>182</v>
      </c>
      <c r="E9" s="271" t="s">
        <v>92</v>
      </c>
      <c r="F9" s="288">
        <v>1045</v>
      </c>
      <c r="G9" s="277" t="s">
        <v>120</v>
      </c>
      <c r="H9" s="273"/>
      <c r="I9" s="273"/>
      <c r="J9" s="273" t="str">
        <f t="shared" si="1"/>
        <v>0</v>
      </c>
      <c r="K9" s="273" t="str">
        <f t="shared" si="2"/>
        <v>0</v>
      </c>
      <c r="L9" s="274"/>
      <c r="M9" s="274">
        <v>475</v>
      </c>
      <c r="N9" s="275" t="s">
        <v>99</v>
      </c>
      <c r="O9" s="384" t="s">
        <v>183</v>
      </c>
      <c r="P9" s="385"/>
      <c r="Q9" s="386"/>
      <c r="R9" s="26" t="s">
        <v>103</v>
      </c>
      <c r="S9" s="31">
        <v>0.45833333333333331</v>
      </c>
      <c r="T9" s="32">
        <v>0.70833333333333337</v>
      </c>
      <c r="U9" s="92">
        <f t="shared" si="0"/>
        <v>6.0000000000000018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4193</v>
      </c>
      <c r="C10" s="28" t="s">
        <v>184</v>
      </c>
      <c r="D10" s="202" t="s">
        <v>185</v>
      </c>
      <c r="E10" s="181" t="s">
        <v>91</v>
      </c>
      <c r="F10" s="173">
        <v>1045</v>
      </c>
      <c r="G10" s="120" t="s">
        <v>115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33"/>
      <c r="P10" s="334"/>
      <c r="Q10" s="33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4194</v>
      </c>
      <c r="C11" s="18" t="s">
        <v>186</v>
      </c>
      <c r="D11" s="203" t="s">
        <v>187</v>
      </c>
      <c r="E11" s="181" t="s">
        <v>91</v>
      </c>
      <c r="F11" s="66">
        <v>1100</v>
      </c>
      <c r="G11" s="121" t="s">
        <v>107</v>
      </c>
      <c r="H11" s="123"/>
      <c r="I11" s="124">
        <v>160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1" t="s">
        <v>188</v>
      </c>
      <c r="P11" s="310"/>
      <c r="Q11" s="31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4195</v>
      </c>
      <c r="C12" s="64" t="s">
        <v>189</v>
      </c>
      <c r="D12" s="204" t="s">
        <v>190</v>
      </c>
      <c r="E12" s="181" t="s">
        <v>92</v>
      </c>
      <c r="F12" s="173">
        <v>1130</v>
      </c>
      <c r="G12" s="119" t="s">
        <v>191</v>
      </c>
      <c r="H12" s="123"/>
      <c r="I12" s="125">
        <v>65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1"/>
      <c r="P12" s="310"/>
      <c r="Q12" s="31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4196</v>
      </c>
      <c r="C13" s="64" t="s">
        <v>192</v>
      </c>
      <c r="D13" s="204" t="s">
        <v>193</v>
      </c>
      <c r="E13" s="181" t="s">
        <v>92</v>
      </c>
      <c r="F13" s="173">
        <v>1145</v>
      </c>
      <c r="G13" s="119" t="s">
        <v>44</v>
      </c>
      <c r="H13" s="169">
        <v>20</v>
      </c>
      <c r="I13" s="168"/>
      <c r="J13" s="130" t="str">
        <f t="shared" si="1"/>
        <v>55</v>
      </c>
      <c r="K13" s="130" t="str">
        <f t="shared" si="2"/>
        <v>0</v>
      </c>
      <c r="L13" s="131"/>
      <c r="M13" s="131"/>
      <c r="N13" s="134" t="s">
        <v>99</v>
      </c>
      <c r="O13" s="311">
        <v>202203015</v>
      </c>
      <c r="P13" s="310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4197</v>
      </c>
      <c r="C14" s="65" t="s">
        <v>194</v>
      </c>
      <c r="D14" s="205" t="s">
        <v>195</v>
      </c>
      <c r="E14" s="181" t="s">
        <v>91</v>
      </c>
      <c r="F14" s="174">
        <v>1145</v>
      </c>
      <c r="G14" s="122" t="s">
        <v>107</v>
      </c>
      <c r="H14" s="123"/>
      <c r="I14" s="125">
        <v>150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1"/>
      <c r="P14" s="310"/>
      <c r="Q14" s="31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4198</v>
      </c>
      <c r="C15" s="65" t="s">
        <v>196</v>
      </c>
      <c r="D15" s="205" t="s">
        <v>197</v>
      </c>
      <c r="E15" s="181" t="s">
        <v>92</v>
      </c>
      <c r="F15" s="174">
        <v>1200</v>
      </c>
      <c r="G15" s="122" t="s">
        <v>111</v>
      </c>
      <c r="H15" s="123"/>
      <c r="I15" s="124"/>
      <c r="J15" s="130" t="str">
        <f t="shared" si="1"/>
        <v>0</v>
      </c>
      <c r="K15" s="130">
        <v>79.16</v>
      </c>
      <c r="L15" s="131"/>
      <c r="M15" s="131"/>
      <c r="N15" s="134" t="s">
        <v>99</v>
      </c>
      <c r="O15" s="311" t="s">
        <v>198</v>
      </c>
      <c r="P15" s="310"/>
      <c r="Q15" s="31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4199</v>
      </c>
      <c r="C16" s="65" t="s">
        <v>199</v>
      </c>
      <c r="D16" s="205" t="s">
        <v>200</v>
      </c>
      <c r="E16" s="181" t="s">
        <v>92</v>
      </c>
      <c r="F16" s="174">
        <v>1205</v>
      </c>
      <c r="G16" s="122" t="s">
        <v>115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1"/>
      <c r="P16" s="310"/>
      <c r="Q16" s="312"/>
      <c r="R16" s="82">
        <f>H32/U16</f>
        <v>0.50955414012738842</v>
      </c>
      <c r="S16" s="83">
        <f>H32/(U16-U5)</f>
        <v>0.66115702479338823</v>
      </c>
      <c r="T16" s="83">
        <f>C32/U16</f>
        <v>43.163312101910819</v>
      </c>
      <c r="U16" s="83">
        <f>SUM(U5:U15)</f>
        <v>39.250000000000007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4200</v>
      </c>
      <c r="C17" s="18" t="s">
        <v>201</v>
      </c>
      <c r="D17" s="203" t="s">
        <v>202</v>
      </c>
      <c r="E17" s="181" t="s">
        <v>92</v>
      </c>
      <c r="F17" s="66">
        <v>1215</v>
      </c>
      <c r="G17" s="121" t="s">
        <v>120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1"/>
      <c r="P17" s="310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4201</v>
      </c>
      <c r="C18" s="18" t="s">
        <v>203</v>
      </c>
      <c r="D18" s="203" t="s">
        <v>204</v>
      </c>
      <c r="E18" s="181" t="s">
        <v>92</v>
      </c>
      <c r="F18" s="66">
        <v>1230</v>
      </c>
      <c r="G18" s="20" t="s">
        <v>107</v>
      </c>
      <c r="H18" s="123"/>
      <c r="I18" s="124">
        <v>150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11"/>
      <c r="P18" s="310"/>
      <c r="Q18" s="31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287">
        <v>4202</v>
      </c>
      <c r="C19" s="18" t="s">
        <v>205</v>
      </c>
      <c r="D19" s="203" t="s">
        <v>206</v>
      </c>
      <c r="E19" s="181" t="s">
        <v>92</v>
      </c>
      <c r="F19" s="66">
        <v>1245</v>
      </c>
      <c r="G19" s="121" t="s">
        <v>115</v>
      </c>
      <c r="H19" s="123"/>
      <c r="I19" s="124">
        <v>55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11"/>
      <c r="P19" s="310"/>
      <c r="Q19" s="310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4203</v>
      </c>
      <c r="C20" s="18" t="s">
        <v>207</v>
      </c>
      <c r="D20" s="203" t="s">
        <v>208</v>
      </c>
      <c r="E20" s="181" t="s">
        <v>92</v>
      </c>
      <c r="F20" s="66">
        <v>1310</v>
      </c>
      <c r="G20" s="121" t="s">
        <v>115</v>
      </c>
      <c r="H20" s="123"/>
      <c r="I20" s="219">
        <v>65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80"/>
      <c r="P20" s="381"/>
      <c r="Q20" s="38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4204</v>
      </c>
      <c r="C21" s="18" t="s">
        <v>210</v>
      </c>
      <c r="D21" s="203" t="s">
        <v>209</v>
      </c>
      <c r="E21" s="181" t="s">
        <v>91</v>
      </c>
      <c r="F21" s="66">
        <v>1315</v>
      </c>
      <c r="G21" s="20" t="s">
        <v>115</v>
      </c>
      <c r="H21" s="123">
        <v>55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11"/>
      <c r="P21" s="310"/>
      <c r="Q21" s="31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4205</v>
      </c>
      <c r="C22" s="127" t="s">
        <v>211</v>
      </c>
      <c r="D22" s="206" t="s">
        <v>212</v>
      </c>
      <c r="E22" s="181" t="s">
        <v>91</v>
      </c>
      <c r="F22" s="175">
        <v>1340</v>
      </c>
      <c r="G22" s="263" t="s">
        <v>107</v>
      </c>
      <c r="H22" s="89"/>
      <c r="I22" s="141">
        <v>120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11"/>
      <c r="P22" s="310"/>
      <c r="Q22" s="31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4206</v>
      </c>
      <c r="C23" s="136" t="s">
        <v>213</v>
      </c>
      <c r="D23" s="207" t="s">
        <v>214</v>
      </c>
      <c r="E23" s="181" t="s">
        <v>92</v>
      </c>
      <c r="F23" s="176">
        <v>1345</v>
      </c>
      <c r="G23" s="165" t="s">
        <v>115</v>
      </c>
      <c r="H23" s="89">
        <v>55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78"/>
      <c r="Y23" s="379"/>
      <c r="Z23" s="379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4207</v>
      </c>
      <c r="C24" s="127" t="s">
        <v>215</v>
      </c>
      <c r="D24" s="206" t="s">
        <v>216</v>
      </c>
      <c r="E24" s="181" t="s">
        <v>92</v>
      </c>
      <c r="F24" s="175">
        <v>1500</v>
      </c>
      <c r="G24" s="263" t="s">
        <v>135</v>
      </c>
      <c r="H24" s="89"/>
      <c r="I24" s="141"/>
      <c r="J24" s="130" t="str">
        <f t="shared" si="1"/>
        <v>0</v>
      </c>
      <c r="K24" s="130">
        <v>125</v>
      </c>
      <c r="L24" s="69"/>
      <c r="M24" s="69"/>
      <c r="N24" s="134" t="s">
        <v>99</v>
      </c>
      <c r="O24" s="311" t="s">
        <v>217</v>
      </c>
      <c r="P24" s="310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1"/>
      <c r="P25" s="310"/>
      <c r="Q25" s="312"/>
      <c r="R25" s="100">
        <f>COUNTIF(G5:G29,"GV1")+COUNTIF(G37:G61,"GV1")+COUNTIF(G69:G93,"GV1")</f>
        <v>0</v>
      </c>
      <c r="S25" s="101">
        <f>COUNTIF(G5:G29,"GV2")+COUNTIF(G37:G61,"GV2")+COUNTIF(G69:G93,"GV2")</f>
        <v>1</v>
      </c>
      <c r="T25" s="101">
        <f>COUNTIF(G5:G29,"GV3")+COUNTIF(G37:G61,"GV3")+COUNTIF(G69:G93,"GV3")</f>
        <v>0</v>
      </c>
      <c r="U25" s="382">
        <f>((C32+(R26+S26+T26)*0.5))</f>
        <v>1714.91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1"/>
      <c r="P26" s="310"/>
      <c r="Q26" s="312"/>
      <c r="R26" s="112">
        <f>R25*37.5</f>
        <v>0</v>
      </c>
      <c r="S26" s="102">
        <f>S25*41.5</f>
        <v>41.5</v>
      </c>
      <c r="T26" s="102">
        <f>T25*50</f>
        <v>0</v>
      </c>
      <c r="U26" s="38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1"/>
      <c r="P27" s="310"/>
      <c r="Q27" s="312"/>
      <c r="R27" s="375" t="s">
        <v>56</v>
      </c>
      <c r="S27" s="376"/>
      <c r="T27" s="376"/>
      <c r="U27" s="37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1"/>
      <c r="P28" s="310"/>
      <c r="Q28" s="312"/>
      <c r="R28" s="368"/>
      <c r="S28" s="369"/>
      <c r="T28" s="37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94"/>
      <c r="P29" s="395"/>
      <c r="Q29" s="396"/>
      <c r="R29" s="357"/>
      <c r="S29" s="358"/>
      <c r="T29" s="35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0" t="s">
        <v>48</v>
      </c>
      <c r="B30" s="361"/>
      <c r="C30" s="361"/>
      <c r="D30" s="361"/>
      <c r="E30" s="362"/>
      <c r="F30" s="361"/>
      <c r="G30" s="361"/>
      <c r="H30" s="264">
        <f t="shared" ref="H30:M30" si="3">SUM(H5:H29)</f>
        <v>130</v>
      </c>
      <c r="I30" s="105">
        <f>SUM(I5:I29)</f>
        <v>1195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204.16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3"/>
      <c r="S30" s="363"/>
      <c r="T30" s="36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5" t="s">
        <v>16</v>
      </c>
      <c r="B31" s="366"/>
      <c r="C31" s="366"/>
      <c r="D31" s="366"/>
      <c r="E31" s="366"/>
      <c r="F31" s="366"/>
      <c r="G31" s="366"/>
      <c r="H31" s="265">
        <f t="shared" ref="H31:J31" si="4">H30+H62+H94</f>
        <v>130</v>
      </c>
      <c r="I31" s="103">
        <f t="shared" si="4"/>
        <v>1195</v>
      </c>
      <c r="J31" s="103">
        <f t="shared" si="4"/>
        <v>165</v>
      </c>
      <c r="K31" s="103">
        <f>K30+K62+K94</f>
        <v>204.16</v>
      </c>
      <c r="L31" s="97">
        <f>L30+L62+L94</f>
        <v>0</v>
      </c>
      <c r="M31" s="97">
        <f>M30+M62+M94</f>
        <v>475</v>
      </c>
      <c r="N31" s="262">
        <f>COUNT(H5:H29,H37:H61,H69:H93)</f>
        <v>3</v>
      </c>
      <c r="O31" s="104">
        <f>COUNT(I5:I29,I37:I61,I69:I93)</f>
        <v>12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130</v>
      </c>
      <c r="T31" s="350">
        <f>H31+I31+L31+M31</f>
        <v>1800</v>
      </c>
      <c r="U31" s="35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71" t="s">
        <v>55</v>
      </c>
      <c r="B32" s="372"/>
      <c r="C32" s="107">
        <f>H31+I31+J31+K31</f>
        <v>1694.16</v>
      </c>
      <c r="D32" s="196"/>
      <c r="E32" s="107"/>
      <c r="F32" s="373" t="s">
        <v>53</v>
      </c>
      <c r="G32" s="373"/>
      <c r="H32" s="109">
        <f>COUNT(B5:B29,B37:B61,B69:B93)</f>
        <v>20</v>
      </c>
      <c r="I32" s="374" t="s">
        <v>54</v>
      </c>
      <c r="J32" s="374"/>
      <c r="K32" s="108">
        <f>C32/H32</f>
        <v>84.707999999999998</v>
      </c>
      <c r="L32" s="260"/>
      <c r="M32" s="260"/>
      <c r="N32" s="260">
        <f>H31/C32</f>
        <v>7.6734192756292202E-2</v>
      </c>
      <c r="O32" s="260">
        <f>I31/C32</f>
        <v>0.70536431033668601</v>
      </c>
      <c r="P32" s="260">
        <f>K31/C32</f>
        <v>0.12050809840865088</v>
      </c>
      <c r="Q32" s="110">
        <f>J31/C32</f>
        <v>9.7393398498370864E-2</v>
      </c>
      <c r="R32" s="99" t="s">
        <v>82</v>
      </c>
      <c r="S32" s="266">
        <f>I31+M31</f>
        <v>1670</v>
      </c>
      <c r="T32" s="352"/>
      <c r="U32" s="353"/>
      <c r="V32" s="55"/>
      <c r="W32" s="55"/>
      <c r="X32" s="56" t="s">
        <v>27</v>
      </c>
      <c r="Y32" s="56"/>
      <c r="Z32" s="54">
        <f>I31</f>
        <v>1195</v>
      </c>
      <c r="AE32" s="37"/>
      <c r="AF32" s="37"/>
      <c r="AG32" s="37"/>
      <c r="AH32" s="37"/>
    </row>
    <row r="33" spans="1:34" ht="18" thickBot="1" x14ac:dyDescent="0.4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57" t="s">
        <v>29</v>
      </c>
      <c r="Y33" s="57"/>
      <c r="Z33" s="58">
        <f>SUM(Z31:Z32)</f>
        <v>-1550</v>
      </c>
      <c r="AE33" s="37"/>
      <c r="AF33" s="37"/>
      <c r="AG33" s="59"/>
      <c r="AH33" s="37"/>
    </row>
    <row r="34" spans="1:34" ht="18" thickBot="1" x14ac:dyDescent="0.45">
      <c r="A34" s="344" t="str">
        <f>A2</f>
        <v>17 - 5 - 2022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SUNNY</v>
      </c>
      <c r="K34" s="346"/>
      <c r="L34" s="348" t="s">
        <v>50</v>
      </c>
      <c r="M34" s="349"/>
      <c r="N34" s="347"/>
      <c r="O34" s="345" t="str">
        <f>O2</f>
        <v>HENDRA</v>
      </c>
      <c r="P34" s="345"/>
      <c r="Q34" s="346"/>
      <c r="R34" s="348" t="s">
        <v>51</v>
      </c>
      <c r="S34" s="347"/>
      <c r="T34" s="336">
        <f>T2</f>
        <v>5</v>
      </c>
      <c r="U34" s="33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7" t="s">
        <v>8</v>
      </c>
      <c r="P36" s="337"/>
      <c r="Q36" s="33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1"/>
      <c r="P37" s="310"/>
      <c r="Q37" s="31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8"/>
      <c r="P38" s="339"/>
      <c r="Q38" s="34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0"/>
      <c r="Q39" s="31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1"/>
      <c r="P40" s="342"/>
      <c r="Q40" s="34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1"/>
      <c r="P41" s="342"/>
      <c r="Q41" s="34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3"/>
      <c r="P42" s="334"/>
      <c r="Q42" s="33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0"/>
      <c r="Q43" s="31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0"/>
      <c r="Q44" s="31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0"/>
      <c r="Q45" s="31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0"/>
      <c r="Q46" s="31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0"/>
      <c r="Q47" s="31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0"/>
      <c r="Q48" s="31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0"/>
      <c r="Q49" s="31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0"/>
      <c r="Q50" s="31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0"/>
      <c r="Q51" s="31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0"/>
      <c r="Q52" s="31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2"/>
      <c r="P53" s="311"/>
      <c r="Q53" s="31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2"/>
      <c r="P54" s="311"/>
      <c r="Q54" s="31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2"/>
      <c r="P55" s="311"/>
      <c r="Q55" s="31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0"/>
      <c r="Q57" s="31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0"/>
      <c r="Q60" s="31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3"/>
      <c r="P61" s="314"/>
      <c r="Q61" s="315"/>
      <c r="R61" s="81"/>
      <c r="S61" s="68"/>
      <c r="T61" s="68"/>
      <c r="U61" s="77"/>
    </row>
    <row r="62" spans="1:21" x14ac:dyDescent="0.4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0</v>
      </c>
      <c r="I62" s="323">
        <f t="shared" si="8"/>
        <v>0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0</v>
      </c>
      <c r="L62" s="326">
        <f t="shared" si="8"/>
        <v>0</v>
      </c>
      <c r="M62" s="329">
        <f t="shared" si="8"/>
        <v>0</v>
      </c>
      <c r="N62" s="298"/>
      <c r="O62" s="299"/>
      <c r="P62" s="299"/>
      <c r="Q62" s="300"/>
      <c r="R62" s="5"/>
      <c r="S62" s="6"/>
      <c r="T62" s="7"/>
      <c r="U62" s="8"/>
    </row>
    <row r="63" spans="1:21" ht="18" thickBot="1" x14ac:dyDescent="0.4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8" thickBot="1" x14ac:dyDescent="0.4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8" thickBot="1" x14ac:dyDescent="0.4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8" thickBot="1" x14ac:dyDescent="0.45">
      <c r="A66" s="344" t="str">
        <f>A34</f>
        <v>17 - 5 - 2022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SUNNY</v>
      </c>
      <c r="K66" s="346"/>
      <c r="L66" s="348" t="s">
        <v>50</v>
      </c>
      <c r="M66" s="349"/>
      <c r="N66" s="347"/>
      <c r="O66" s="345" t="str">
        <f>O34</f>
        <v>HENDRA</v>
      </c>
      <c r="P66" s="345"/>
      <c r="Q66" s="346"/>
      <c r="R66" s="348" t="s">
        <v>51</v>
      </c>
      <c r="S66" s="347"/>
      <c r="T66" s="336">
        <f>T34</f>
        <v>5</v>
      </c>
      <c r="U66" s="33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7" t="s">
        <v>8</v>
      </c>
      <c r="P68" s="337"/>
      <c r="Q68" s="33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0"/>
      <c r="Q69" s="31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8"/>
      <c r="P70" s="339"/>
      <c r="Q70" s="34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0"/>
      <c r="Q71" s="31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1"/>
      <c r="P72" s="342"/>
      <c r="Q72" s="34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1"/>
      <c r="P73" s="342"/>
      <c r="Q73" s="34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3"/>
      <c r="P74" s="334"/>
      <c r="Q74" s="33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0"/>
      <c r="Q75" s="31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0"/>
      <c r="Q76" s="31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0"/>
      <c r="Q77" s="31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0"/>
      <c r="Q78" s="31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0"/>
      <c r="Q79" s="31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0"/>
      <c r="Q80" s="31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0"/>
      <c r="Q81" s="31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0"/>
      <c r="Q82" s="31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0"/>
      <c r="Q83" s="31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0"/>
      <c r="Q84" s="31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2"/>
      <c r="P85" s="311"/>
      <c r="Q85" s="31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2"/>
      <c r="P86" s="311"/>
      <c r="Q86" s="31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2"/>
      <c r="P87" s="311"/>
      <c r="Q87" s="31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0"/>
      <c r="Q89" s="31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0"/>
      <c r="Q92" s="31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3"/>
      <c r="P93" s="314"/>
      <c r="Q93" s="315"/>
      <c r="R93" s="81"/>
      <c r="S93" s="68"/>
      <c r="T93" s="68"/>
      <c r="U93" s="77"/>
    </row>
    <row r="94" spans="1:21" x14ac:dyDescent="0.4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8" thickBot="1" x14ac:dyDescent="0.4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8" thickBot="1" x14ac:dyDescent="0.4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5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tabSelected="1" zoomScaleNormal="100" zoomScaleSheetLayoutView="77" workbookViewId="0">
      <selection activeCell="M26" sqref="M26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8" thickBot="1" x14ac:dyDescent="0.45">
      <c r="A2" s="344" t="s">
        <v>218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98</v>
      </c>
      <c r="K2" s="346"/>
      <c r="L2" s="348" t="s">
        <v>96</v>
      </c>
      <c r="M2" s="349"/>
      <c r="N2" s="347"/>
      <c r="O2" s="345" t="s">
        <v>99</v>
      </c>
      <c r="P2" s="345"/>
      <c r="Q2" s="346"/>
      <c r="R2" s="348" t="s">
        <v>51</v>
      </c>
      <c r="S2" s="347"/>
      <c r="T2" s="336">
        <v>6</v>
      </c>
      <c r="U2" s="33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7" t="s">
        <v>8</v>
      </c>
      <c r="P4" s="337"/>
      <c r="Q4" s="33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4208</v>
      </c>
      <c r="C5" s="68" t="s">
        <v>232</v>
      </c>
      <c r="D5" s="200" t="s">
        <v>233</v>
      </c>
      <c r="E5" s="181" t="s">
        <v>92</v>
      </c>
      <c r="F5" s="170">
        <v>900</v>
      </c>
      <c r="G5" s="118" t="s">
        <v>115</v>
      </c>
      <c r="H5" s="91">
        <v>70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97"/>
      <c r="P5" s="392"/>
      <c r="Q5" s="393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4209</v>
      </c>
      <c r="C6" s="67" t="s">
        <v>220</v>
      </c>
      <c r="D6" s="200" t="s">
        <v>221</v>
      </c>
      <c r="E6" s="181" t="s">
        <v>92</v>
      </c>
      <c r="F6" s="171">
        <v>900</v>
      </c>
      <c r="G6" s="118" t="s">
        <v>120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8"/>
      <c r="P6" s="339"/>
      <c r="Q6" s="340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4210</v>
      </c>
      <c r="C7" s="67" t="s">
        <v>222</v>
      </c>
      <c r="D7" s="200" t="s">
        <v>223</v>
      </c>
      <c r="E7" s="181" t="s">
        <v>92</v>
      </c>
      <c r="F7" s="171">
        <v>915</v>
      </c>
      <c r="G7" s="118" t="s">
        <v>115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1"/>
      <c r="P7" s="310"/>
      <c r="Q7" s="312"/>
      <c r="R7" s="134" t="s">
        <v>101</v>
      </c>
      <c r="S7" s="31">
        <v>0.35416666666666669</v>
      </c>
      <c r="T7" s="32">
        <v>0.66666666666666663</v>
      </c>
      <c r="U7" s="92">
        <f t="shared" si="0"/>
        <v>7.4999999999999982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267">
        <v>4</v>
      </c>
      <c r="B8" s="277">
        <v>4211</v>
      </c>
      <c r="C8" s="275" t="s">
        <v>224</v>
      </c>
      <c r="D8" s="270" t="s">
        <v>225</v>
      </c>
      <c r="E8" s="271" t="s">
        <v>92</v>
      </c>
      <c r="F8" s="288">
        <v>920</v>
      </c>
      <c r="G8" s="268" t="s">
        <v>107</v>
      </c>
      <c r="H8" s="273"/>
      <c r="I8" s="273"/>
      <c r="J8" s="273" t="str">
        <f t="shared" si="1"/>
        <v>0</v>
      </c>
      <c r="K8" s="273" t="str">
        <f t="shared" si="2"/>
        <v>0</v>
      </c>
      <c r="L8" s="274"/>
      <c r="M8" s="274">
        <v>750</v>
      </c>
      <c r="N8" s="275" t="s">
        <v>99</v>
      </c>
      <c r="O8" s="384" t="s">
        <v>226</v>
      </c>
      <c r="P8" s="385"/>
      <c r="Q8" s="386"/>
      <c r="R8" s="26" t="s">
        <v>102</v>
      </c>
      <c r="S8" s="31">
        <v>0.35416666666666669</v>
      </c>
      <c r="T8" s="32">
        <v>0.70833333333333337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4212</v>
      </c>
      <c r="C9" s="63" t="s">
        <v>227</v>
      </c>
      <c r="D9" s="201" t="s">
        <v>228</v>
      </c>
      <c r="E9" s="181" t="s">
        <v>91</v>
      </c>
      <c r="F9" s="172">
        <v>930</v>
      </c>
      <c r="G9" s="119" t="s">
        <v>111</v>
      </c>
      <c r="H9" s="91"/>
      <c r="I9" s="91"/>
      <c r="J9" s="130" t="str">
        <f t="shared" si="1"/>
        <v>0</v>
      </c>
      <c r="K9" s="130">
        <v>79.16</v>
      </c>
      <c r="L9" s="131"/>
      <c r="M9" s="131"/>
      <c r="N9" s="134" t="s">
        <v>99</v>
      </c>
      <c r="O9" s="341" t="s">
        <v>229</v>
      </c>
      <c r="P9" s="342"/>
      <c r="Q9" s="343"/>
      <c r="R9" s="26" t="s">
        <v>219</v>
      </c>
      <c r="S9" s="31">
        <v>0.375</v>
      </c>
      <c r="T9" s="32">
        <v>0.70833333333333337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4213</v>
      </c>
      <c r="C10" s="28" t="s">
        <v>230</v>
      </c>
      <c r="D10" s="202" t="s">
        <v>231</v>
      </c>
      <c r="E10" s="181" t="s">
        <v>92</v>
      </c>
      <c r="F10" s="173">
        <v>945</v>
      </c>
      <c r="G10" s="120" t="s">
        <v>115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33"/>
      <c r="P10" s="334"/>
      <c r="Q10" s="335"/>
      <c r="R10" s="26" t="s">
        <v>103</v>
      </c>
      <c r="S10" s="31">
        <v>0.41666666666666669</v>
      </c>
      <c r="T10" s="32">
        <v>0.70833333333333337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4214</v>
      </c>
      <c r="C11" s="18" t="s">
        <v>234</v>
      </c>
      <c r="D11" s="203" t="s">
        <v>235</v>
      </c>
      <c r="E11" s="181" t="s">
        <v>92</v>
      </c>
      <c r="F11" s="66">
        <v>1000</v>
      </c>
      <c r="G11" s="121" t="s">
        <v>120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1"/>
      <c r="P11" s="310"/>
      <c r="Q11" s="31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4215</v>
      </c>
      <c r="C12" s="64" t="s">
        <v>236</v>
      </c>
      <c r="D12" s="204" t="s">
        <v>237</v>
      </c>
      <c r="E12" s="181" t="s">
        <v>92</v>
      </c>
      <c r="F12" s="173">
        <v>1000</v>
      </c>
      <c r="G12" s="119" t="s">
        <v>120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1"/>
      <c r="P12" s="310"/>
      <c r="Q12" s="31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4216</v>
      </c>
      <c r="C13" s="64" t="s">
        <v>238</v>
      </c>
      <c r="D13" s="204" t="s">
        <v>239</v>
      </c>
      <c r="E13" s="181" t="s">
        <v>92</v>
      </c>
      <c r="F13" s="173">
        <v>1005</v>
      </c>
      <c r="G13" s="119" t="s">
        <v>115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1"/>
      <c r="P13" s="310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4217</v>
      </c>
      <c r="C14" s="65" t="s">
        <v>240</v>
      </c>
      <c r="D14" s="205" t="s">
        <v>241</v>
      </c>
      <c r="E14" s="181" t="s">
        <v>92</v>
      </c>
      <c r="F14" s="174">
        <v>1100</v>
      </c>
      <c r="G14" s="122" t="s">
        <v>145</v>
      </c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1" t="s">
        <v>242</v>
      </c>
      <c r="P14" s="310"/>
      <c r="Q14" s="31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276">
        <v>11</v>
      </c>
      <c r="B15" s="268">
        <v>4218</v>
      </c>
      <c r="C15" s="289" t="s">
        <v>243</v>
      </c>
      <c r="D15" s="290" t="s">
        <v>244</v>
      </c>
      <c r="E15" s="271" t="s">
        <v>92</v>
      </c>
      <c r="F15" s="291">
        <v>1105</v>
      </c>
      <c r="G15" s="268" t="s">
        <v>245</v>
      </c>
      <c r="H15" s="281"/>
      <c r="I15" s="273">
        <v>400</v>
      </c>
      <c r="J15" s="273" t="str">
        <f t="shared" si="1"/>
        <v>0</v>
      </c>
      <c r="K15" s="273" t="str">
        <f t="shared" si="2"/>
        <v>0</v>
      </c>
      <c r="L15" s="274"/>
      <c r="M15" s="274"/>
      <c r="N15" s="275" t="s">
        <v>99</v>
      </c>
      <c r="O15" s="384" t="s">
        <v>78</v>
      </c>
      <c r="P15" s="385"/>
      <c r="Q15" s="38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4219</v>
      </c>
      <c r="C16" s="65" t="s">
        <v>246</v>
      </c>
      <c r="D16" s="205" t="s">
        <v>247</v>
      </c>
      <c r="E16" s="181" t="s">
        <v>92</v>
      </c>
      <c r="F16" s="174">
        <v>1115</v>
      </c>
      <c r="G16" s="122" t="s">
        <v>115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1" t="s">
        <v>188</v>
      </c>
      <c r="P16" s="310"/>
      <c r="Q16" s="312"/>
      <c r="R16" s="82">
        <f>H32/U16</f>
        <v>0.40816326530612246</v>
      </c>
      <c r="S16" s="83">
        <f>H32/(U16-U5)</f>
        <v>0.5</v>
      </c>
      <c r="T16" s="83">
        <f>C32/U16</f>
        <v>47.822857142857146</v>
      </c>
      <c r="U16" s="83">
        <f>SUM(U5:U15)</f>
        <v>49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4220</v>
      </c>
      <c r="C17" s="18" t="s">
        <v>251</v>
      </c>
      <c r="D17" s="203" t="s">
        <v>252</v>
      </c>
      <c r="E17" s="181" t="s">
        <v>91</v>
      </c>
      <c r="F17" s="66">
        <v>1200</v>
      </c>
      <c r="G17" s="121" t="s">
        <v>120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1"/>
      <c r="P17" s="310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4221</v>
      </c>
      <c r="C18" s="18" t="s">
        <v>248</v>
      </c>
      <c r="D18" s="203" t="s">
        <v>249</v>
      </c>
      <c r="E18" s="181" t="s">
        <v>91</v>
      </c>
      <c r="F18" s="66">
        <v>1230</v>
      </c>
      <c r="G18" s="20" t="s">
        <v>120</v>
      </c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11" t="s">
        <v>250</v>
      </c>
      <c r="P18" s="310"/>
      <c r="Q18" s="31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276">
        <v>15</v>
      </c>
      <c r="B19" s="268">
        <v>4222</v>
      </c>
      <c r="C19" s="292" t="s">
        <v>253</v>
      </c>
      <c r="D19" s="293" t="s">
        <v>254</v>
      </c>
      <c r="E19" s="271" t="s">
        <v>91</v>
      </c>
      <c r="F19" s="294">
        <v>1315</v>
      </c>
      <c r="G19" s="295" t="s">
        <v>245</v>
      </c>
      <c r="H19" s="281"/>
      <c r="I19" s="273">
        <v>500</v>
      </c>
      <c r="J19" s="273" t="str">
        <f t="shared" si="1"/>
        <v>0</v>
      </c>
      <c r="K19" s="273" t="str">
        <f t="shared" si="2"/>
        <v>0</v>
      </c>
      <c r="L19" s="274"/>
      <c r="M19" s="274"/>
      <c r="N19" s="275" t="s">
        <v>99</v>
      </c>
      <c r="O19" s="384" t="s">
        <v>80</v>
      </c>
      <c r="P19" s="385"/>
      <c r="Q19" s="385"/>
      <c r="R19" s="93" t="s">
        <v>45</v>
      </c>
      <c r="S19" s="94">
        <f>COUNT(L5:M29,L37:M61,L69:M93)</f>
        <v>1</v>
      </c>
      <c r="T19" s="116">
        <f>SUM(L5:M29,L37:M61,L69:M93)</f>
        <v>750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276">
        <v>16</v>
      </c>
      <c r="B20" s="277">
        <v>4223</v>
      </c>
      <c r="C20" s="292" t="s">
        <v>255</v>
      </c>
      <c r="D20" s="293" t="s">
        <v>256</v>
      </c>
      <c r="E20" s="271" t="s">
        <v>91</v>
      </c>
      <c r="F20" s="294">
        <v>1330</v>
      </c>
      <c r="G20" s="295" t="s">
        <v>162</v>
      </c>
      <c r="H20" s="281"/>
      <c r="I20" s="273">
        <v>300</v>
      </c>
      <c r="J20" s="273" t="str">
        <f t="shared" si="1"/>
        <v>0</v>
      </c>
      <c r="K20" s="273" t="str">
        <f t="shared" si="2"/>
        <v>0</v>
      </c>
      <c r="L20" s="274"/>
      <c r="M20" s="274"/>
      <c r="N20" s="275" t="s">
        <v>99</v>
      </c>
      <c r="O20" s="384" t="s">
        <v>79</v>
      </c>
      <c r="P20" s="385"/>
      <c r="Q20" s="385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4224</v>
      </c>
      <c r="C21" s="18" t="s">
        <v>259</v>
      </c>
      <c r="D21" s="203" t="s">
        <v>260</v>
      </c>
      <c r="E21" s="181" t="s">
        <v>92</v>
      </c>
      <c r="F21" s="66">
        <v>1330</v>
      </c>
      <c r="G21" s="20" t="s">
        <v>111</v>
      </c>
      <c r="H21" s="123"/>
      <c r="I21" s="124"/>
      <c r="J21" s="130" t="str">
        <f t="shared" si="1"/>
        <v>0</v>
      </c>
      <c r="K21" s="130">
        <v>79.16</v>
      </c>
      <c r="L21" s="131"/>
      <c r="M21" s="131"/>
      <c r="N21" s="134" t="s">
        <v>99</v>
      </c>
      <c r="O21" s="311" t="s">
        <v>261</v>
      </c>
      <c r="P21" s="310"/>
      <c r="Q21" s="31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4225</v>
      </c>
      <c r="C22" s="127" t="s">
        <v>257</v>
      </c>
      <c r="D22" s="206" t="s">
        <v>258</v>
      </c>
      <c r="E22" s="181" t="s">
        <v>92</v>
      </c>
      <c r="F22" s="175">
        <v>1330</v>
      </c>
      <c r="G22" s="263" t="s">
        <v>115</v>
      </c>
      <c r="H22" s="89"/>
      <c r="I22" s="141">
        <v>55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11"/>
      <c r="P22" s="310"/>
      <c r="Q22" s="31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4226</v>
      </c>
      <c r="C23" s="136" t="s">
        <v>262</v>
      </c>
      <c r="D23" s="207" t="s">
        <v>263</v>
      </c>
      <c r="E23" s="181" t="s">
        <v>92</v>
      </c>
      <c r="F23" s="176">
        <v>1453</v>
      </c>
      <c r="G23" s="165" t="s">
        <v>115</v>
      </c>
      <c r="H23" s="89"/>
      <c r="I23" s="141">
        <v>150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103</v>
      </c>
      <c r="O23" s="163"/>
      <c r="P23" s="164" t="s">
        <v>264</v>
      </c>
      <c r="Q23" s="159"/>
      <c r="R23" s="113"/>
      <c r="S23" s="114"/>
      <c r="T23" s="114"/>
      <c r="U23" s="115"/>
      <c r="X23" s="378"/>
      <c r="Y23" s="379"/>
      <c r="Z23" s="379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4227</v>
      </c>
      <c r="C24" s="127" t="s">
        <v>265</v>
      </c>
      <c r="D24" s="206" t="s">
        <v>266</v>
      </c>
      <c r="E24" s="181" t="s">
        <v>92</v>
      </c>
      <c r="F24" s="175">
        <v>1620</v>
      </c>
      <c r="G24" s="263" t="s">
        <v>191</v>
      </c>
      <c r="H24" s="89"/>
      <c r="I24" s="141">
        <v>50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11"/>
      <c r="P24" s="310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1"/>
      <c r="P25" s="310"/>
      <c r="Q25" s="31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82">
        <f>((C32+(R26+S26+T26)*0.5))</f>
        <v>2368.3200000000002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1"/>
      <c r="P26" s="310"/>
      <c r="Q26" s="312"/>
      <c r="R26" s="112">
        <f>R25*37.5</f>
        <v>0</v>
      </c>
      <c r="S26" s="102">
        <f>S25*41.5</f>
        <v>0</v>
      </c>
      <c r="T26" s="102">
        <f>T25*50</f>
        <v>50</v>
      </c>
      <c r="U26" s="38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1"/>
      <c r="P27" s="310"/>
      <c r="Q27" s="312"/>
      <c r="R27" s="375" t="s">
        <v>56</v>
      </c>
      <c r="S27" s="376"/>
      <c r="T27" s="376"/>
      <c r="U27" s="37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1"/>
      <c r="P28" s="310"/>
      <c r="Q28" s="312"/>
      <c r="R28" s="368"/>
      <c r="S28" s="369"/>
      <c r="T28" s="37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94"/>
      <c r="P29" s="395"/>
      <c r="Q29" s="396"/>
      <c r="R29" s="357"/>
      <c r="S29" s="358"/>
      <c r="T29" s="35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0" t="s">
        <v>48</v>
      </c>
      <c r="B30" s="361"/>
      <c r="C30" s="361"/>
      <c r="D30" s="361"/>
      <c r="E30" s="362"/>
      <c r="F30" s="361"/>
      <c r="G30" s="361"/>
      <c r="H30" s="264">
        <f t="shared" ref="H30:M30" si="3">SUM(H5:H29)</f>
        <v>70</v>
      </c>
      <c r="I30" s="105">
        <f>SUM(I5:I29)</f>
        <v>2115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158.32</v>
      </c>
      <c r="L30" s="106">
        <f t="shared" si="3"/>
        <v>0</v>
      </c>
      <c r="M30" s="106">
        <f t="shared" si="3"/>
        <v>750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3"/>
      <c r="S30" s="363"/>
      <c r="T30" s="36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5" t="s">
        <v>16</v>
      </c>
      <c r="B31" s="366"/>
      <c r="C31" s="366"/>
      <c r="D31" s="366"/>
      <c r="E31" s="366"/>
      <c r="F31" s="366"/>
      <c r="G31" s="366"/>
      <c r="H31" s="265">
        <f t="shared" ref="H31:J31" si="4">H30+H62+H94</f>
        <v>70</v>
      </c>
      <c r="I31" s="103">
        <f t="shared" si="4"/>
        <v>2115</v>
      </c>
      <c r="J31" s="103">
        <f t="shared" si="4"/>
        <v>0</v>
      </c>
      <c r="K31" s="103">
        <f>K30+K62+K94</f>
        <v>158.32</v>
      </c>
      <c r="L31" s="97">
        <f>L30+L62+L94</f>
        <v>0</v>
      </c>
      <c r="M31" s="97">
        <f>M30+M62+M94</f>
        <v>750</v>
      </c>
      <c r="N31" s="262">
        <f>COUNT(H5:H29,H37:H61,H69:H93)</f>
        <v>1</v>
      </c>
      <c r="O31" s="104">
        <f>COUNT(I5:I29,I37:I61,I69:I93)</f>
        <v>14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70</v>
      </c>
      <c r="T31" s="350">
        <f>H31+I31+L31+M31</f>
        <v>2935</v>
      </c>
      <c r="U31" s="35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71" t="s">
        <v>55</v>
      </c>
      <c r="B32" s="372"/>
      <c r="C32" s="107">
        <f>H31+I31+J31+K31</f>
        <v>2343.3200000000002</v>
      </c>
      <c r="D32" s="196"/>
      <c r="E32" s="107"/>
      <c r="F32" s="373" t="s">
        <v>53</v>
      </c>
      <c r="G32" s="373"/>
      <c r="H32" s="109">
        <f>COUNT(B5:B29,B37:B61,B69:B93)</f>
        <v>20</v>
      </c>
      <c r="I32" s="374" t="s">
        <v>54</v>
      </c>
      <c r="J32" s="374"/>
      <c r="K32" s="108">
        <f>C32/H32</f>
        <v>117.16600000000001</v>
      </c>
      <c r="L32" s="260"/>
      <c r="M32" s="260"/>
      <c r="N32" s="260">
        <f>H31/C32</f>
        <v>2.9872147209941448E-2</v>
      </c>
      <c r="O32" s="260">
        <f>I31/C32</f>
        <v>0.90256559070037379</v>
      </c>
      <c r="P32" s="260">
        <f>K31/C32</f>
        <v>6.7562262089684716E-2</v>
      </c>
      <c r="Q32" s="110">
        <f>J31/C32</f>
        <v>0</v>
      </c>
      <c r="R32" s="99" t="s">
        <v>82</v>
      </c>
      <c r="S32" s="266">
        <f>I31+M31</f>
        <v>2865</v>
      </c>
      <c r="T32" s="352"/>
      <c r="U32" s="353"/>
      <c r="V32" s="55"/>
      <c r="W32" s="55"/>
      <c r="X32" s="56" t="s">
        <v>27</v>
      </c>
      <c r="Y32" s="56"/>
      <c r="Z32" s="54">
        <f>I31</f>
        <v>2115</v>
      </c>
      <c r="AE32" s="37"/>
      <c r="AF32" s="37"/>
      <c r="AG32" s="37"/>
      <c r="AH32" s="37"/>
    </row>
    <row r="33" spans="1:34" ht="18" thickBot="1" x14ac:dyDescent="0.4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57" t="s">
        <v>29</v>
      </c>
      <c r="Y33" s="57"/>
      <c r="Z33" s="58">
        <f>SUM(Z31:Z32)</f>
        <v>-630</v>
      </c>
      <c r="AE33" s="37"/>
      <c r="AF33" s="37"/>
      <c r="AG33" s="59"/>
      <c r="AH33" s="37"/>
    </row>
    <row r="34" spans="1:34" ht="18" thickBot="1" x14ac:dyDescent="0.45">
      <c r="A34" s="344" t="str">
        <f>A2</f>
        <v>18 - 5 - 2022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SUNNY</v>
      </c>
      <c r="K34" s="346"/>
      <c r="L34" s="348" t="s">
        <v>50</v>
      </c>
      <c r="M34" s="349"/>
      <c r="N34" s="347"/>
      <c r="O34" s="345" t="str">
        <f>O2</f>
        <v>HENDRA</v>
      </c>
      <c r="P34" s="345"/>
      <c r="Q34" s="346"/>
      <c r="R34" s="348" t="s">
        <v>51</v>
      </c>
      <c r="S34" s="347"/>
      <c r="T34" s="336">
        <f>T2</f>
        <v>6</v>
      </c>
      <c r="U34" s="33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7" t="s">
        <v>8</v>
      </c>
      <c r="P36" s="337"/>
      <c r="Q36" s="33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1"/>
      <c r="P37" s="310"/>
      <c r="Q37" s="31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8"/>
      <c r="P38" s="339"/>
      <c r="Q38" s="34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0"/>
      <c r="Q39" s="31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1"/>
      <c r="P40" s="342"/>
      <c r="Q40" s="34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1"/>
      <c r="P41" s="342"/>
      <c r="Q41" s="34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3"/>
      <c r="P42" s="334"/>
      <c r="Q42" s="33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0"/>
      <c r="Q43" s="31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0"/>
      <c r="Q44" s="31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0"/>
      <c r="Q45" s="31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0"/>
      <c r="Q46" s="31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0"/>
      <c r="Q47" s="31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0"/>
      <c r="Q48" s="31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0"/>
      <c r="Q49" s="31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0"/>
      <c r="Q50" s="31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0"/>
      <c r="Q51" s="31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0"/>
      <c r="Q52" s="31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2"/>
      <c r="P53" s="311"/>
      <c r="Q53" s="31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2"/>
      <c r="P54" s="311"/>
      <c r="Q54" s="31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2"/>
      <c r="P55" s="311"/>
      <c r="Q55" s="31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0"/>
      <c r="Q57" s="31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0"/>
      <c r="Q60" s="31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3"/>
      <c r="P61" s="314"/>
      <c r="Q61" s="315"/>
      <c r="R61" s="81"/>
      <c r="S61" s="68"/>
      <c r="T61" s="68"/>
      <c r="U61" s="77"/>
    </row>
    <row r="62" spans="1:21" x14ac:dyDescent="0.4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0</v>
      </c>
      <c r="I62" s="323">
        <f t="shared" si="8"/>
        <v>0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0</v>
      </c>
      <c r="L62" s="326">
        <f t="shared" si="8"/>
        <v>0</v>
      </c>
      <c r="M62" s="329">
        <f t="shared" si="8"/>
        <v>0</v>
      </c>
      <c r="N62" s="298"/>
      <c r="O62" s="299"/>
      <c r="P62" s="299"/>
      <c r="Q62" s="300"/>
      <c r="R62" s="5"/>
      <c r="S62" s="6"/>
      <c r="T62" s="7"/>
      <c r="U62" s="8"/>
    </row>
    <row r="63" spans="1:21" ht="18" thickBot="1" x14ac:dyDescent="0.4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8" thickBot="1" x14ac:dyDescent="0.4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8" thickBot="1" x14ac:dyDescent="0.4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8" thickBot="1" x14ac:dyDescent="0.45">
      <c r="A66" s="344" t="str">
        <f>A34</f>
        <v>18 - 5 - 2022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SUNNY</v>
      </c>
      <c r="K66" s="346"/>
      <c r="L66" s="348" t="s">
        <v>50</v>
      </c>
      <c r="M66" s="349"/>
      <c r="N66" s="347"/>
      <c r="O66" s="345" t="str">
        <f>O34</f>
        <v>HENDRA</v>
      </c>
      <c r="P66" s="345"/>
      <c r="Q66" s="346"/>
      <c r="R66" s="348" t="s">
        <v>51</v>
      </c>
      <c r="S66" s="347"/>
      <c r="T66" s="336">
        <f>T34</f>
        <v>6</v>
      </c>
      <c r="U66" s="33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7" t="s">
        <v>8</v>
      </c>
      <c r="P68" s="337"/>
      <c r="Q68" s="33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0"/>
      <c r="Q69" s="31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8"/>
      <c r="P70" s="339"/>
      <c r="Q70" s="34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0"/>
      <c r="Q71" s="31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1"/>
      <c r="P72" s="342"/>
      <c r="Q72" s="34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1"/>
      <c r="P73" s="342"/>
      <c r="Q73" s="34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3"/>
      <c r="P74" s="334"/>
      <c r="Q74" s="33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0"/>
      <c r="Q75" s="31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0"/>
      <c r="Q76" s="31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0"/>
      <c r="Q77" s="31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0"/>
      <c r="Q78" s="31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0"/>
      <c r="Q79" s="31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0"/>
      <c r="Q80" s="31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0"/>
      <c r="Q81" s="31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0"/>
      <c r="Q82" s="31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0"/>
      <c r="Q83" s="31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0"/>
      <c r="Q84" s="31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2"/>
      <c r="P85" s="311"/>
      <c r="Q85" s="31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2"/>
      <c r="P86" s="311"/>
      <c r="Q86" s="31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2"/>
      <c r="P87" s="311"/>
      <c r="Q87" s="31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0"/>
      <c r="Q89" s="31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0"/>
      <c r="Q92" s="31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3"/>
      <c r="P93" s="314"/>
      <c r="Q93" s="315"/>
      <c r="R93" s="81"/>
      <c r="S93" s="68"/>
      <c r="T93" s="68"/>
      <c r="U93" s="77"/>
    </row>
    <row r="94" spans="1:21" x14ac:dyDescent="0.4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8" thickBot="1" x14ac:dyDescent="0.4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8" thickBot="1" x14ac:dyDescent="0.4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H25" sqref="H25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8" thickBot="1" x14ac:dyDescent="0.45">
      <c r="A2" s="344" t="s">
        <v>267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98</v>
      </c>
      <c r="K2" s="346"/>
      <c r="L2" s="348" t="s">
        <v>96</v>
      </c>
      <c r="M2" s="349"/>
      <c r="N2" s="347"/>
      <c r="O2" s="345" t="s">
        <v>99</v>
      </c>
      <c r="P2" s="345"/>
      <c r="Q2" s="346"/>
      <c r="R2" s="348" t="s">
        <v>51</v>
      </c>
      <c r="S2" s="347"/>
      <c r="T2" s="336">
        <v>6</v>
      </c>
      <c r="U2" s="33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7" t="s">
        <v>8</v>
      </c>
      <c r="P4" s="337"/>
      <c r="Q4" s="33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4228</v>
      </c>
      <c r="C5" s="68" t="s">
        <v>268</v>
      </c>
      <c r="D5" s="200" t="s">
        <v>269</v>
      </c>
      <c r="E5" s="181" t="s">
        <v>91</v>
      </c>
      <c r="F5" s="170">
        <v>850</v>
      </c>
      <c r="G5" s="118" t="s">
        <v>44</v>
      </c>
      <c r="H5" s="91"/>
      <c r="I5" s="124"/>
      <c r="J5" s="130" t="str">
        <f>IF(G5="RSL","55","0")</f>
        <v>55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97">
        <v>202204037</v>
      </c>
      <c r="P5" s="392"/>
      <c r="Q5" s="393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4229</v>
      </c>
      <c r="C6" s="67" t="s">
        <v>277</v>
      </c>
      <c r="D6" s="200" t="s">
        <v>278</v>
      </c>
      <c r="E6" s="181" t="s">
        <v>91</v>
      </c>
      <c r="F6" s="171">
        <v>930</v>
      </c>
      <c r="G6" s="118" t="s">
        <v>115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8"/>
      <c r="P6" s="339"/>
      <c r="Q6" s="340"/>
      <c r="R6" s="132" t="s">
        <v>101</v>
      </c>
      <c r="S6" s="31">
        <v>0.35416666666666669</v>
      </c>
      <c r="T6" s="32">
        <v>0.70833333333333337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4230</v>
      </c>
      <c r="C7" s="67" t="s">
        <v>270</v>
      </c>
      <c r="D7" s="200" t="s">
        <v>271</v>
      </c>
      <c r="E7" s="181" t="s">
        <v>92</v>
      </c>
      <c r="F7" s="171">
        <v>930</v>
      </c>
      <c r="G7" s="118" t="s">
        <v>135</v>
      </c>
      <c r="H7" s="91"/>
      <c r="I7" s="124"/>
      <c r="J7" s="130" t="str">
        <f t="shared" si="1"/>
        <v>0</v>
      </c>
      <c r="K7" s="130">
        <v>62.5</v>
      </c>
      <c r="L7" s="131"/>
      <c r="M7" s="131"/>
      <c r="N7" s="134" t="s">
        <v>99</v>
      </c>
      <c r="O7" s="311" t="s">
        <v>272</v>
      </c>
      <c r="P7" s="310"/>
      <c r="Q7" s="312"/>
      <c r="R7" s="134" t="s">
        <v>102</v>
      </c>
      <c r="S7" s="31">
        <v>0.35416666666666669</v>
      </c>
      <c r="T7" s="32">
        <v>0.5</v>
      </c>
      <c r="U7" s="92">
        <f t="shared" si="0"/>
        <v>3.4999999999999996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4231</v>
      </c>
      <c r="C8" s="27" t="s">
        <v>273</v>
      </c>
      <c r="D8" s="200" t="s">
        <v>274</v>
      </c>
      <c r="E8" s="181" t="s">
        <v>92</v>
      </c>
      <c r="F8" s="171">
        <v>935</v>
      </c>
      <c r="G8" s="118" t="s">
        <v>115</v>
      </c>
      <c r="H8" s="91">
        <v>75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41"/>
      <c r="P8" s="342"/>
      <c r="Q8" s="343"/>
      <c r="R8" s="26" t="s">
        <v>100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4232</v>
      </c>
      <c r="C9" s="63" t="s">
        <v>275</v>
      </c>
      <c r="D9" s="201" t="s">
        <v>276</v>
      </c>
      <c r="E9" s="181" t="s">
        <v>92</v>
      </c>
      <c r="F9" s="172">
        <v>1000</v>
      </c>
      <c r="G9" s="119" t="s">
        <v>120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41"/>
      <c r="P9" s="342"/>
      <c r="Q9" s="343"/>
      <c r="R9" s="26" t="s">
        <v>219</v>
      </c>
      <c r="S9" s="31">
        <v>0.375</v>
      </c>
      <c r="T9" s="32">
        <v>0.70833333333333337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4233</v>
      </c>
      <c r="C10" s="28" t="s">
        <v>279</v>
      </c>
      <c r="D10" s="202" t="s">
        <v>280</v>
      </c>
      <c r="E10" s="181" t="s">
        <v>92</v>
      </c>
      <c r="F10" s="173">
        <v>1000</v>
      </c>
      <c r="G10" s="120" t="s">
        <v>115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33"/>
      <c r="P10" s="334"/>
      <c r="Q10" s="335"/>
      <c r="R10" s="26" t="s">
        <v>103</v>
      </c>
      <c r="S10" s="31">
        <v>0.45833333333333331</v>
      </c>
      <c r="T10" s="32">
        <v>0.70833333333333337</v>
      </c>
      <c r="U10" s="92">
        <f t="shared" si="0"/>
        <v>6.0000000000000018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4234</v>
      </c>
      <c r="C11" s="18" t="s">
        <v>281</v>
      </c>
      <c r="D11" s="203" t="s">
        <v>282</v>
      </c>
      <c r="E11" s="181" t="s">
        <v>92</v>
      </c>
      <c r="F11" s="66">
        <v>1025</v>
      </c>
      <c r="G11" s="121" t="s">
        <v>107</v>
      </c>
      <c r="H11" s="123"/>
      <c r="I11" s="124">
        <v>120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1"/>
      <c r="P11" s="310"/>
      <c r="Q11" s="312"/>
      <c r="R11" s="26" t="s">
        <v>299</v>
      </c>
      <c r="S11" s="31">
        <v>0.55208333333333337</v>
      </c>
      <c r="T11" s="32">
        <v>0.59375</v>
      </c>
      <c r="U11" s="92">
        <f t="shared" si="0"/>
        <v>0.99999999999999911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4235</v>
      </c>
      <c r="C12" s="64" t="s">
        <v>283</v>
      </c>
      <c r="D12" s="204" t="s">
        <v>284</v>
      </c>
      <c r="E12" s="181" t="s">
        <v>91</v>
      </c>
      <c r="F12" s="173">
        <v>1025</v>
      </c>
      <c r="G12" s="119" t="s">
        <v>115</v>
      </c>
      <c r="H12" s="123"/>
      <c r="I12" s="125">
        <v>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1"/>
      <c r="P12" s="310"/>
      <c r="Q12" s="31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4236</v>
      </c>
      <c r="C13" s="64" t="s">
        <v>285</v>
      </c>
      <c r="D13" s="204" t="s">
        <v>286</v>
      </c>
      <c r="E13" s="181" t="s">
        <v>92</v>
      </c>
      <c r="F13" s="173">
        <v>1130</v>
      </c>
      <c r="G13" s="119" t="s">
        <v>115</v>
      </c>
      <c r="H13" s="169"/>
      <c r="I13" s="168">
        <v>65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1"/>
      <c r="P13" s="310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4237</v>
      </c>
      <c r="C14" s="65" t="s">
        <v>287</v>
      </c>
      <c r="D14" s="205" t="s">
        <v>288</v>
      </c>
      <c r="E14" s="181" t="s">
        <v>91</v>
      </c>
      <c r="F14" s="174">
        <v>1130</v>
      </c>
      <c r="G14" s="122" t="s">
        <v>135</v>
      </c>
      <c r="H14" s="123"/>
      <c r="I14" s="125"/>
      <c r="J14" s="130" t="str">
        <f t="shared" si="1"/>
        <v>0</v>
      </c>
      <c r="K14" s="130">
        <v>62.5</v>
      </c>
      <c r="L14" s="131"/>
      <c r="M14" s="131"/>
      <c r="N14" s="134" t="s">
        <v>99</v>
      </c>
      <c r="O14" s="311" t="s">
        <v>289</v>
      </c>
      <c r="P14" s="310"/>
      <c r="Q14" s="31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4238</v>
      </c>
      <c r="C15" s="65" t="s">
        <v>290</v>
      </c>
      <c r="D15" s="205" t="s">
        <v>291</v>
      </c>
      <c r="E15" s="181" t="s">
        <v>92</v>
      </c>
      <c r="F15" s="174">
        <v>1140</v>
      </c>
      <c r="G15" s="122" t="s">
        <v>115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1" t="s">
        <v>188</v>
      </c>
      <c r="P15" s="310"/>
      <c r="Q15" s="31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4239</v>
      </c>
      <c r="C16" s="65" t="s">
        <v>292</v>
      </c>
      <c r="D16" s="205" t="s">
        <v>293</v>
      </c>
      <c r="E16" s="181" t="s">
        <v>92</v>
      </c>
      <c r="F16" s="174">
        <v>1200</v>
      </c>
      <c r="G16" s="122" t="s">
        <v>120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1"/>
      <c r="P16" s="310"/>
      <c r="Q16" s="312"/>
      <c r="R16" s="82">
        <f>H32/U16</f>
        <v>0.45454545454545453</v>
      </c>
      <c r="S16" s="83">
        <f>H32/(U16-U5)</f>
        <v>0.5714285714285714</v>
      </c>
      <c r="T16" s="83">
        <f>C32/U16</f>
        <v>40.227272727272727</v>
      </c>
      <c r="U16" s="83">
        <f>SUM(U5:U15)</f>
        <v>44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4240</v>
      </c>
      <c r="C17" s="18" t="s">
        <v>294</v>
      </c>
      <c r="D17" s="203" t="s">
        <v>295</v>
      </c>
      <c r="E17" s="181" t="s">
        <v>91</v>
      </c>
      <c r="F17" s="66">
        <v>1200</v>
      </c>
      <c r="G17" s="121" t="s">
        <v>115</v>
      </c>
      <c r="H17" s="123"/>
      <c r="I17" s="124">
        <v>55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1"/>
      <c r="P17" s="310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276">
        <v>14</v>
      </c>
      <c r="B18" s="277">
        <v>4241</v>
      </c>
      <c r="C18" s="292" t="s">
        <v>296</v>
      </c>
      <c r="D18" s="293" t="s">
        <v>297</v>
      </c>
      <c r="E18" s="271" t="s">
        <v>92</v>
      </c>
      <c r="F18" s="294">
        <v>1200</v>
      </c>
      <c r="G18" s="277" t="s">
        <v>107</v>
      </c>
      <c r="H18" s="281"/>
      <c r="I18" s="273">
        <v>150</v>
      </c>
      <c r="J18" s="273" t="str">
        <f t="shared" si="1"/>
        <v>0</v>
      </c>
      <c r="K18" s="273" t="str">
        <f t="shared" si="2"/>
        <v>0</v>
      </c>
      <c r="L18" s="274"/>
      <c r="M18" s="274">
        <v>475</v>
      </c>
      <c r="N18" s="275" t="s">
        <v>99</v>
      </c>
      <c r="O18" s="384" t="s">
        <v>298</v>
      </c>
      <c r="P18" s="385"/>
      <c r="Q18" s="38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276">
        <v>15</v>
      </c>
      <c r="B19" s="268">
        <v>4242</v>
      </c>
      <c r="C19" s="292" t="s">
        <v>105</v>
      </c>
      <c r="D19" s="293" t="s">
        <v>106</v>
      </c>
      <c r="E19" s="271" t="s">
        <v>91</v>
      </c>
      <c r="F19" s="294">
        <v>1210</v>
      </c>
      <c r="G19" s="295" t="s">
        <v>107</v>
      </c>
      <c r="H19" s="281"/>
      <c r="I19" s="273">
        <v>150</v>
      </c>
      <c r="J19" s="273" t="str">
        <f t="shared" si="1"/>
        <v>0</v>
      </c>
      <c r="K19" s="273" t="str">
        <f t="shared" si="2"/>
        <v>0</v>
      </c>
      <c r="L19" s="274"/>
      <c r="M19" s="274"/>
      <c r="N19" s="275" t="s">
        <v>99</v>
      </c>
      <c r="O19" s="384" t="s">
        <v>108</v>
      </c>
      <c r="P19" s="385"/>
      <c r="Q19" s="385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4243</v>
      </c>
      <c r="C20" s="18" t="s">
        <v>300</v>
      </c>
      <c r="D20" s="203" t="s">
        <v>301</v>
      </c>
      <c r="E20" s="181" t="s">
        <v>92</v>
      </c>
      <c r="F20" s="66">
        <v>1245</v>
      </c>
      <c r="G20" s="121" t="s">
        <v>115</v>
      </c>
      <c r="H20" s="123"/>
      <c r="I20" s="219">
        <v>90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80"/>
      <c r="P20" s="381"/>
      <c r="Q20" s="38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4244</v>
      </c>
      <c r="C21" s="18" t="s">
        <v>302</v>
      </c>
      <c r="D21" s="203" t="s">
        <v>303</v>
      </c>
      <c r="E21" s="181" t="s">
        <v>92</v>
      </c>
      <c r="F21" s="66">
        <v>1245</v>
      </c>
      <c r="G21" s="20" t="s">
        <v>115</v>
      </c>
      <c r="H21" s="123"/>
      <c r="I21" s="124">
        <v>55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11"/>
      <c r="P21" s="310"/>
      <c r="Q21" s="31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276">
        <v>18</v>
      </c>
      <c r="B22" s="277">
        <v>4245</v>
      </c>
      <c r="C22" s="278" t="s">
        <v>308</v>
      </c>
      <c r="D22" s="279" t="s">
        <v>309</v>
      </c>
      <c r="E22" s="271" t="s">
        <v>92</v>
      </c>
      <c r="F22" s="280">
        <v>1430</v>
      </c>
      <c r="G22" s="277" t="s">
        <v>162</v>
      </c>
      <c r="H22" s="281"/>
      <c r="I22" s="281">
        <v>250</v>
      </c>
      <c r="J22" s="273" t="str">
        <f t="shared" si="1"/>
        <v>0</v>
      </c>
      <c r="K22" s="273" t="str">
        <f t="shared" si="2"/>
        <v>0</v>
      </c>
      <c r="L22" s="273"/>
      <c r="M22" s="273"/>
      <c r="N22" s="275" t="s">
        <v>99</v>
      </c>
      <c r="O22" s="384" t="s">
        <v>78</v>
      </c>
      <c r="P22" s="385"/>
      <c r="Q22" s="38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4246</v>
      </c>
      <c r="C23" s="136" t="s">
        <v>306</v>
      </c>
      <c r="D23" s="207" t="s">
        <v>307</v>
      </c>
      <c r="E23" s="181" t="s">
        <v>92</v>
      </c>
      <c r="F23" s="176">
        <v>1445</v>
      </c>
      <c r="G23" s="165" t="s">
        <v>120</v>
      </c>
      <c r="H23" s="89"/>
      <c r="I23" s="141">
        <v>95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78"/>
      <c r="Y23" s="379"/>
      <c r="Z23" s="379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4247</v>
      </c>
      <c r="C24" s="127" t="s">
        <v>305</v>
      </c>
      <c r="D24" s="206" t="s">
        <v>214</v>
      </c>
      <c r="E24" s="181" t="s">
        <v>91</v>
      </c>
      <c r="F24" s="175">
        <v>1530</v>
      </c>
      <c r="G24" s="263" t="s">
        <v>191</v>
      </c>
      <c r="H24" s="89"/>
      <c r="I24" s="141">
        <v>55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11"/>
      <c r="P24" s="310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1"/>
      <c r="P25" s="310"/>
      <c r="Q25" s="31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2">
        <f>((C32+(R26+S26+T26)*0.5))</f>
        <v>1770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1"/>
      <c r="P26" s="310"/>
      <c r="Q26" s="312"/>
      <c r="R26" s="112">
        <f>R25*37.5</f>
        <v>0</v>
      </c>
      <c r="S26" s="102">
        <f>S25*41.5</f>
        <v>0</v>
      </c>
      <c r="T26" s="102">
        <f>T25*50</f>
        <v>0</v>
      </c>
      <c r="U26" s="38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1"/>
      <c r="P27" s="310"/>
      <c r="Q27" s="312"/>
      <c r="R27" s="375" t="s">
        <v>56</v>
      </c>
      <c r="S27" s="376"/>
      <c r="T27" s="376"/>
      <c r="U27" s="37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1"/>
      <c r="P28" s="310"/>
      <c r="Q28" s="312"/>
      <c r="R28" s="368" t="s">
        <v>304</v>
      </c>
      <c r="S28" s="369"/>
      <c r="T28" s="37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94"/>
      <c r="P29" s="395"/>
      <c r="Q29" s="396"/>
      <c r="R29" s="357"/>
      <c r="S29" s="358"/>
      <c r="T29" s="35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0" t="s">
        <v>48</v>
      </c>
      <c r="B30" s="361"/>
      <c r="C30" s="361"/>
      <c r="D30" s="361"/>
      <c r="E30" s="362"/>
      <c r="F30" s="361"/>
      <c r="G30" s="361"/>
      <c r="H30" s="264">
        <f t="shared" ref="H30:M30" si="3">SUM(H5:H29)</f>
        <v>75</v>
      </c>
      <c r="I30" s="105">
        <f>SUM(I5:I29)</f>
        <v>1515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125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3"/>
      <c r="S30" s="363"/>
      <c r="T30" s="36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5" t="s">
        <v>16</v>
      </c>
      <c r="B31" s="366"/>
      <c r="C31" s="366"/>
      <c r="D31" s="366"/>
      <c r="E31" s="366"/>
      <c r="F31" s="366"/>
      <c r="G31" s="366"/>
      <c r="H31" s="265">
        <f t="shared" ref="H31:J31" si="4">H30+H62+H94</f>
        <v>75</v>
      </c>
      <c r="I31" s="103">
        <f t="shared" si="4"/>
        <v>1515</v>
      </c>
      <c r="J31" s="103">
        <f t="shared" si="4"/>
        <v>55</v>
      </c>
      <c r="K31" s="103">
        <f>K30+K62+K94</f>
        <v>125</v>
      </c>
      <c r="L31" s="97">
        <f>L30+L62+L94</f>
        <v>0</v>
      </c>
      <c r="M31" s="97">
        <f>M30+M62+M94</f>
        <v>475</v>
      </c>
      <c r="N31" s="262">
        <f>COUNT(H5:H29,H37:H61,H69:H93)</f>
        <v>1</v>
      </c>
      <c r="O31" s="104">
        <f>COUNT(I5:I29,I37:I61,I69:I93)</f>
        <v>16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75</v>
      </c>
      <c r="T31" s="350">
        <f>H31+I31+L31+M31</f>
        <v>2065</v>
      </c>
      <c r="U31" s="35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71" t="s">
        <v>55</v>
      </c>
      <c r="B32" s="372"/>
      <c r="C32" s="107">
        <f>H31+I31+J31+K31</f>
        <v>1770</v>
      </c>
      <c r="D32" s="196"/>
      <c r="E32" s="107"/>
      <c r="F32" s="373" t="s">
        <v>53</v>
      </c>
      <c r="G32" s="373"/>
      <c r="H32" s="109">
        <f>COUNT(B5:B29,B37:B61,B69:B93)</f>
        <v>20</v>
      </c>
      <c r="I32" s="374" t="s">
        <v>54</v>
      </c>
      <c r="J32" s="374"/>
      <c r="K32" s="108">
        <f>C32/H32</f>
        <v>88.5</v>
      </c>
      <c r="L32" s="260"/>
      <c r="M32" s="260"/>
      <c r="N32" s="260">
        <f>H31/C32</f>
        <v>4.2372881355932202E-2</v>
      </c>
      <c r="O32" s="260">
        <f>I31/C32</f>
        <v>0.85593220338983056</v>
      </c>
      <c r="P32" s="260">
        <f>K31/C32</f>
        <v>7.0621468926553674E-2</v>
      </c>
      <c r="Q32" s="110">
        <f>J31/C32</f>
        <v>3.1073446327683617E-2</v>
      </c>
      <c r="R32" s="99" t="s">
        <v>82</v>
      </c>
      <c r="S32" s="266">
        <f>I31+M31</f>
        <v>1990</v>
      </c>
      <c r="T32" s="352"/>
      <c r="U32" s="353"/>
      <c r="V32" s="55"/>
      <c r="W32" s="55"/>
      <c r="X32" s="56" t="s">
        <v>27</v>
      </c>
      <c r="Y32" s="56"/>
      <c r="Z32" s="54">
        <f>I31</f>
        <v>1515</v>
      </c>
      <c r="AE32" s="37"/>
      <c r="AF32" s="37"/>
      <c r="AG32" s="37"/>
      <c r="AH32" s="37"/>
    </row>
    <row r="33" spans="1:34" ht="18" thickBot="1" x14ac:dyDescent="0.4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57" t="s">
        <v>29</v>
      </c>
      <c r="Y33" s="57"/>
      <c r="Z33" s="58">
        <f>SUM(Z31:Z32)</f>
        <v>-1230</v>
      </c>
      <c r="AE33" s="37"/>
      <c r="AF33" s="37"/>
      <c r="AG33" s="59"/>
      <c r="AH33" s="37"/>
    </row>
    <row r="34" spans="1:34" ht="18" thickBot="1" x14ac:dyDescent="0.45">
      <c r="A34" s="344" t="str">
        <f>A2</f>
        <v>19 - 5 - 2022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SUNNY</v>
      </c>
      <c r="K34" s="346"/>
      <c r="L34" s="348" t="s">
        <v>50</v>
      </c>
      <c r="M34" s="349"/>
      <c r="N34" s="347"/>
      <c r="O34" s="345" t="str">
        <f>O2</f>
        <v>HENDRA</v>
      </c>
      <c r="P34" s="345"/>
      <c r="Q34" s="346"/>
      <c r="R34" s="348" t="s">
        <v>51</v>
      </c>
      <c r="S34" s="347"/>
      <c r="T34" s="336">
        <f>T2</f>
        <v>6</v>
      </c>
      <c r="U34" s="33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7" t="s">
        <v>8</v>
      </c>
      <c r="P36" s="337"/>
      <c r="Q36" s="33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1"/>
      <c r="P37" s="310"/>
      <c r="Q37" s="31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8"/>
      <c r="P38" s="339"/>
      <c r="Q38" s="34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0"/>
      <c r="Q39" s="31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1"/>
      <c r="P40" s="342"/>
      <c r="Q40" s="34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1"/>
      <c r="P41" s="342"/>
      <c r="Q41" s="34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3"/>
      <c r="P42" s="334"/>
      <c r="Q42" s="33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0"/>
      <c r="Q43" s="31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0"/>
      <c r="Q44" s="31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0"/>
      <c r="Q45" s="31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0"/>
      <c r="Q46" s="31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0"/>
      <c r="Q47" s="31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0"/>
      <c r="Q48" s="31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0"/>
      <c r="Q49" s="31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0"/>
      <c r="Q50" s="31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0"/>
      <c r="Q51" s="31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0"/>
      <c r="Q52" s="31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2"/>
      <c r="P53" s="311"/>
      <c r="Q53" s="31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2"/>
      <c r="P54" s="311"/>
      <c r="Q54" s="31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2"/>
      <c r="P55" s="311"/>
      <c r="Q55" s="31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0"/>
      <c r="Q57" s="31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0"/>
      <c r="Q60" s="31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3"/>
      <c r="P61" s="314"/>
      <c r="Q61" s="315"/>
      <c r="R61" s="81"/>
      <c r="S61" s="68"/>
      <c r="T61" s="68"/>
      <c r="U61" s="77"/>
    </row>
    <row r="62" spans="1:21" x14ac:dyDescent="0.4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0</v>
      </c>
      <c r="I62" s="323">
        <f t="shared" si="8"/>
        <v>0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0</v>
      </c>
      <c r="L62" s="326">
        <f t="shared" si="8"/>
        <v>0</v>
      </c>
      <c r="M62" s="329">
        <f t="shared" si="8"/>
        <v>0</v>
      </c>
      <c r="N62" s="298"/>
      <c r="O62" s="299"/>
      <c r="P62" s="299"/>
      <c r="Q62" s="300"/>
      <c r="R62" s="5"/>
      <c r="S62" s="6"/>
      <c r="T62" s="7"/>
      <c r="U62" s="8"/>
    </row>
    <row r="63" spans="1:21" ht="18" thickBot="1" x14ac:dyDescent="0.4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8" thickBot="1" x14ac:dyDescent="0.4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8" thickBot="1" x14ac:dyDescent="0.4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8" thickBot="1" x14ac:dyDescent="0.45">
      <c r="A66" s="344" t="str">
        <f>A34</f>
        <v>19 - 5 - 2022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SUNNY</v>
      </c>
      <c r="K66" s="346"/>
      <c r="L66" s="348" t="s">
        <v>50</v>
      </c>
      <c r="M66" s="349"/>
      <c r="N66" s="347"/>
      <c r="O66" s="345" t="str">
        <f>O34</f>
        <v>HENDRA</v>
      </c>
      <c r="P66" s="345"/>
      <c r="Q66" s="346"/>
      <c r="R66" s="348" t="s">
        <v>51</v>
      </c>
      <c r="S66" s="347"/>
      <c r="T66" s="336">
        <f>T34</f>
        <v>6</v>
      </c>
      <c r="U66" s="33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7" t="s">
        <v>8</v>
      </c>
      <c r="P68" s="337"/>
      <c r="Q68" s="33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0"/>
      <c r="Q69" s="31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8"/>
      <c r="P70" s="339"/>
      <c r="Q70" s="34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0"/>
      <c r="Q71" s="31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1"/>
      <c r="P72" s="342"/>
      <c r="Q72" s="34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1"/>
      <c r="P73" s="342"/>
      <c r="Q73" s="34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3"/>
      <c r="P74" s="334"/>
      <c r="Q74" s="33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0"/>
      <c r="Q75" s="31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0"/>
      <c r="Q76" s="31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0"/>
      <c r="Q77" s="31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0"/>
      <c r="Q78" s="31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0"/>
      <c r="Q79" s="31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0"/>
      <c r="Q80" s="31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0"/>
      <c r="Q81" s="31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0"/>
      <c r="Q82" s="31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0"/>
      <c r="Q83" s="31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0"/>
      <c r="Q84" s="31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2"/>
      <c r="P85" s="311"/>
      <c r="Q85" s="31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2"/>
      <c r="P86" s="311"/>
      <c r="Q86" s="31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2"/>
      <c r="P87" s="311"/>
      <c r="Q87" s="31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0"/>
      <c r="Q89" s="31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0"/>
      <c r="Q92" s="31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3"/>
      <c r="P93" s="314"/>
      <c r="Q93" s="315"/>
      <c r="R93" s="81"/>
      <c r="S93" s="68"/>
      <c r="T93" s="68"/>
      <c r="U93" s="77"/>
    </row>
    <row r="94" spans="1:21" x14ac:dyDescent="0.4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8" thickBot="1" x14ac:dyDescent="0.4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8" thickBot="1" x14ac:dyDescent="0.4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5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G36" sqref="G36:G40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8" thickBot="1" x14ac:dyDescent="0.45">
      <c r="A2" s="344" t="s">
        <v>310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311</v>
      </c>
      <c r="K2" s="346"/>
      <c r="L2" s="348" t="s">
        <v>96</v>
      </c>
      <c r="M2" s="349"/>
      <c r="N2" s="347"/>
      <c r="O2" s="345" t="s">
        <v>99</v>
      </c>
      <c r="P2" s="345"/>
      <c r="Q2" s="346"/>
      <c r="R2" s="348" t="s">
        <v>51</v>
      </c>
      <c r="S2" s="347"/>
      <c r="T2" s="336">
        <v>4</v>
      </c>
      <c r="U2" s="33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7" t="s">
        <v>8</v>
      </c>
      <c r="P4" s="337"/>
      <c r="Q4" s="33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4248</v>
      </c>
      <c r="C5" s="68" t="s">
        <v>312</v>
      </c>
      <c r="D5" s="200" t="s">
        <v>313</v>
      </c>
      <c r="E5" s="181" t="s">
        <v>92</v>
      </c>
      <c r="F5" s="170">
        <v>1030</v>
      </c>
      <c r="G5" s="118" t="s">
        <v>115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97"/>
      <c r="P5" s="392"/>
      <c r="Q5" s="393"/>
      <c r="R5" s="33" t="s">
        <v>99</v>
      </c>
      <c r="S5" s="31">
        <v>0.33333333333333331</v>
      </c>
      <c r="T5" s="32">
        <v>0.67708333333333337</v>
      </c>
      <c r="U5" s="92">
        <f t="shared" ref="U5:U15" si="0">(T5-S5)*24</f>
        <v>8.2500000000000018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296">
        <v>4249</v>
      </c>
      <c r="C6" s="67" t="s">
        <v>314</v>
      </c>
      <c r="D6" s="200" t="s">
        <v>315</v>
      </c>
      <c r="E6" s="181" t="s">
        <v>92</v>
      </c>
      <c r="F6" s="171">
        <v>1040</v>
      </c>
      <c r="G6" s="118" t="s">
        <v>120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8"/>
      <c r="P6" s="339"/>
      <c r="Q6" s="340"/>
      <c r="R6" s="132" t="s">
        <v>100</v>
      </c>
      <c r="S6" s="31">
        <v>0.33333333333333331</v>
      </c>
      <c r="T6" s="32">
        <v>0.67708333333333337</v>
      </c>
      <c r="U6" s="92">
        <f t="shared" si="0"/>
        <v>8.2500000000000018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4250</v>
      </c>
      <c r="C7" s="67" t="s">
        <v>316</v>
      </c>
      <c r="D7" s="200" t="s">
        <v>322</v>
      </c>
      <c r="E7" s="181" t="s">
        <v>92</v>
      </c>
      <c r="F7" s="171">
        <v>1305</v>
      </c>
      <c r="G7" s="118" t="s">
        <v>120</v>
      </c>
      <c r="H7" s="91">
        <v>75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103</v>
      </c>
      <c r="O7" s="311"/>
      <c r="P7" s="310"/>
      <c r="Q7" s="312"/>
      <c r="R7" s="134" t="s">
        <v>103</v>
      </c>
      <c r="S7" s="31">
        <v>0.42708333333333331</v>
      </c>
      <c r="T7" s="32">
        <v>0.67708333333333337</v>
      </c>
      <c r="U7" s="92">
        <f t="shared" si="0"/>
        <v>6.0000000000000018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4251</v>
      </c>
      <c r="C8" s="27" t="s">
        <v>317</v>
      </c>
      <c r="D8" s="200" t="s">
        <v>318</v>
      </c>
      <c r="E8" s="181" t="s">
        <v>91</v>
      </c>
      <c r="F8" s="171">
        <v>1315</v>
      </c>
      <c r="G8" s="118" t="s">
        <v>115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41"/>
      <c r="P8" s="342"/>
      <c r="Q8" s="343"/>
      <c r="R8" s="26" t="s">
        <v>219</v>
      </c>
      <c r="S8" s="31">
        <v>0.375</v>
      </c>
      <c r="T8" s="32">
        <v>0.54166666666666663</v>
      </c>
      <c r="U8" s="92">
        <f t="shared" si="0"/>
        <v>3.9999999999999991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4252</v>
      </c>
      <c r="C9" s="63" t="s">
        <v>319</v>
      </c>
      <c r="D9" s="201" t="s">
        <v>320</v>
      </c>
      <c r="E9" s="181" t="s">
        <v>92</v>
      </c>
      <c r="F9" s="172">
        <v>1430</v>
      </c>
      <c r="G9" s="119" t="s">
        <v>120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41"/>
      <c r="P9" s="342"/>
      <c r="Q9" s="343"/>
      <c r="R9" s="26" t="s">
        <v>104</v>
      </c>
      <c r="S9" s="31">
        <v>0.625</v>
      </c>
      <c r="T9" s="32">
        <v>0.66666666666666663</v>
      </c>
      <c r="U9" s="92">
        <f t="shared" si="0"/>
        <v>0.99999999999999911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4253</v>
      </c>
      <c r="C10" s="28" t="s">
        <v>321</v>
      </c>
      <c r="D10" s="202" t="s">
        <v>323</v>
      </c>
      <c r="E10" s="181" t="s">
        <v>92</v>
      </c>
      <c r="F10" s="173">
        <v>1500</v>
      </c>
      <c r="G10" s="120" t="s">
        <v>115</v>
      </c>
      <c r="H10" s="123"/>
      <c r="I10" s="125">
        <v>70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33"/>
      <c r="P10" s="334"/>
      <c r="Q10" s="33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11"/>
      <c r="P11" s="310"/>
      <c r="Q11" s="31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11"/>
      <c r="P12" s="310"/>
      <c r="Q12" s="31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11"/>
      <c r="P13" s="310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1"/>
      <c r="P14" s="310"/>
      <c r="Q14" s="31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1"/>
      <c r="P15" s="310"/>
      <c r="Q15" s="31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1"/>
      <c r="P16" s="310"/>
      <c r="Q16" s="312"/>
      <c r="R16" s="82">
        <f>H32/U16</f>
        <v>0.21818181818181812</v>
      </c>
      <c r="S16" s="83">
        <f>H32/(U16-U5)</f>
        <v>0.31168831168831157</v>
      </c>
      <c r="T16" s="83">
        <f>C32/U16</f>
        <v>16.909090909090903</v>
      </c>
      <c r="U16" s="83">
        <f>SUM(U5:U15)</f>
        <v>27.500000000000007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1"/>
      <c r="P17" s="310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1"/>
      <c r="P18" s="310"/>
      <c r="Q18" s="31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1"/>
      <c r="P19" s="310"/>
      <c r="Q19" s="31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80"/>
      <c r="P20" s="381"/>
      <c r="Q20" s="38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1"/>
      <c r="P21" s="310"/>
      <c r="Q21" s="31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1"/>
      <c r="P22" s="310"/>
      <c r="Q22" s="31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8"/>
      <c r="Y23" s="379"/>
      <c r="Z23" s="379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1"/>
      <c r="P24" s="310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1"/>
      <c r="P25" s="310"/>
      <c r="Q25" s="31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2">
        <f>((C32+(R26+S26+T26)*0.5))</f>
        <v>465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1"/>
      <c r="P26" s="310"/>
      <c r="Q26" s="312"/>
      <c r="R26" s="112">
        <f>R25*37.5</f>
        <v>0</v>
      </c>
      <c r="S26" s="102">
        <f>S25*41.5</f>
        <v>0</v>
      </c>
      <c r="T26" s="102">
        <f>T25*50</f>
        <v>0</v>
      </c>
      <c r="U26" s="38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1"/>
      <c r="P27" s="310"/>
      <c r="Q27" s="312"/>
      <c r="R27" s="375" t="s">
        <v>56</v>
      </c>
      <c r="S27" s="376"/>
      <c r="T27" s="376"/>
      <c r="U27" s="37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1"/>
      <c r="P28" s="310"/>
      <c r="Q28" s="312"/>
      <c r="R28" s="368"/>
      <c r="S28" s="369"/>
      <c r="T28" s="37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94"/>
      <c r="P29" s="395"/>
      <c r="Q29" s="396"/>
      <c r="R29" s="357"/>
      <c r="S29" s="358"/>
      <c r="T29" s="35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0" t="s">
        <v>48</v>
      </c>
      <c r="B30" s="361"/>
      <c r="C30" s="361"/>
      <c r="D30" s="361"/>
      <c r="E30" s="362"/>
      <c r="F30" s="361"/>
      <c r="G30" s="361"/>
      <c r="H30" s="264">
        <f t="shared" ref="H30:M30" si="3">SUM(H5:H29)</f>
        <v>75</v>
      </c>
      <c r="I30" s="105">
        <f>SUM(I5:I29)</f>
        <v>390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3"/>
      <c r="S30" s="363"/>
      <c r="T30" s="36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5" t="s">
        <v>16</v>
      </c>
      <c r="B31" s="366"/>
      <c r="C31" s="366"/>
      <c r="D31" s="366"/>
      <c r="E31" s="366"/>
      <c r="F31" s="366"/>
      <c r="G31" s="366"/>
      <c r="H31" s="265">
        <f t="shared" ref="H31:J31" si="4">H30+H62+H94</f>
        <v>75</v>
      </c>
      <c r="I31" s="103">
        <f t="shared" si="4"/>
        <v>390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75</v>
      </c>
      <c r="T31" s="350">
        <f>H31+I31+L31+M31</f>
        <v>465</v>
      </c>
      <c r="U31" s="35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71" t="s">
        <v>55</v>
      </c>
      <c r="B32" s="372"/>
      <c r="C32" s="107">
        <f>H31+I31+J31+K31</f>
        <v>465</v>
      </c>
      <c r="D32" s="196"/>
      <c r="E32" s="107"/>
      <c r="F32" s="373" t="s">
        <v>53</v>
      </c>
      <c r="G32" s="373"/>
      <c r="H32" s="109">
        <f>COUNT(B5:B29,B37:B61,B69:B93)</f>
        <v>6</v>
      </c>
      <c r="I32" s="374" t="s">
        <v>54</v>
      </c>
      <c r="J32" s="374"/>
      <c r="K32" s="108">
        <f>C32/H32</f>
        <v>77.5</v>
      </c>
      <c r="L32" s="260"/>
      <c r="M32" s="260"/>
      <c r="N32" s="260">
        <f>H31/C32</f>
        <v>0.16129032258064516</v>
      </c>
      <c r="O32" s="260">
        <f>I31/C32</f>
        <v>0.83870967741935487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390</v>
      </c>
      <c r="T32" s="352"/>
      <c r="U32" s="353"/>
      <c r="V32" s="55"/>
      <c r="W32" s="55"/>
      <c r="X32" s="56" t="s">
        <v>27</v>
      </c>
      <c r="Y32" s="56"/>
      <c r="Z32" s="54">
        <f>I31</f>
        <v>390</v>
      </c>
      <c r="AE32" s="37"/>
      <c r="AF32" s="37"/>
      <c r="AG32" s="37"/>
      <c r="AH32" s="37"/>
    </row>
    <row r="33" spans="1:34" ht="18" thickBot="1" x14ac:dyDescent="0.4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57" t="s">
        <v>29</v>
      </c>
      <c r="Y33" s="57"/>
      <c r="Z33" s="58">
        <f>SUM(Z31:Z32)</f>
        <v>-2355</v>
      </c>
      <c r="AE33" s="37"/>
      <c r="AF33" s="37"/>
      <c r="AG33" s="59"/>
      <c r="AH33" s="37"/>
    </row>
    <row r="34" spans="1:34" ht="18" thickBot="1" x14ac:dyDescent="0.45">
      <c r="A34" s="344" t="str">
        <f>A2</f>
        <v>20/05 / 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RAIN</v>
      </c>
      <c r="K34" s="346"/>
      <c r="L34" s="348" t="s">
        <v>50</v>
      </c>
      <c r="M34" s="349"/>
      <c r="N34" s="347"/>
      <c r="O34" s="345" t="str">
        <f>O2</f>
        <v>HENDRA</v>
      </c>
      <c r="P34" s="345"/>
      <c r="Q34" s="346"/>
      <c r="R34" s="348" t="s">
        <v>51</v>
      </c>
      <c r="S34" s="347"/>
      <c r="T34" s="336">
        <f>T2</f>
        <v>4</v>
      </c>
      <c r="U34" s="33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7" t="s">
        <v>8</v>
      </c>
      <c r="P36" s="337"/>
      <c r="Q36" s="33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1"/>
      <c r="P37" s="310"/>
      <c r="Q37" s="31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8"/>
      <c r="P38" s="339"/>
      <c r="Q38" s="34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0"/>
      <c r="Q39" s="31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1"/>
      <c r="P40" s="342"/>
      <c r="Q40" s="34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1"/>
      <c r="P41" s="342"/>
      <c r="Q41" s="34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3"/>
      <c r="P42" s="334"/>
      <c r="Q42" s="33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0"/>
      <c r="Q43" s="31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0"/>
      <c r="Q44" s="31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0"/>
      <c r="Q45" s="31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0"/>
      <c r="Q46" s="31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0"/>
      <c r="Q47" s="31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0"/>
      <c r="Q48" s="31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0"/>
      <c r="Q49" s="31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0"/>
      <c r="Q50" s="31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0"/>
      <c r="Q51" s="31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0"/>
      <c r="Q52" s="31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2"/>
      <c r="P53" s="311"/>
      <c r="Q53" s="31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2"/>
      <c r="P54" s="311"/>
      <c r="Q54" s="31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2"/>
      <c r="P55" s="311"/>
      <c r="Q55" s="31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0"/>
      <c r="Q57" s="31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0"/>
      <c r="Q60" s="31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3"/>
      <c r="P61" s="314"/>
      <c r="Q61" s="315"/>
      <c r="R61" s="81"/>
      <c r="S61" s="68"/>
      <c r="T61" s="68"/>
      <c r="U61" s="77"/>
    </row>
    <row r="62" spans="1:21" x14ac:dyDescent="0.4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0</v>
      </c>
      <c r="I62" s="323">
        <f t="shared" si="8"/>
        <v>0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0</v>
      </c>
      <c r="L62" s="326">
        <f t="shared" si="8"/>
        <v>0</v>
      </c>
      <c r="M62" s="329">
        <f t="shared" si="8"/>
        <v>0</v>
      </c>
      <c r="N62" s="298"/>
      <c r="O62" s="299"/>
      <c r="P62" s="299"/>
      <c r="Q62" s="300"/>
      <c r="R62" s="5"/>
      <c r="S62" s="6"/>
      <c r="T62" s="7"/>
      <c r="U62" s="8"/>
    </row>
    <row r="63" spans="1:21" ht="18" thickBot="1" x14ac:dyDescent="0.4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8" thickBot="1" x14ac:dyDescent="0.4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8" thickBot="1" x14ac:dyDescent="0.4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8" thickBot="1" x14ac:dyDescent="0.45">
      <c r="A66" s="344" t="str">
        <f>A34</f>
        <v>20/05 / 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RAIN</v>
      </c>
      <c r="K66" s="346"/>
      <c r="L66" s="348" t="s">
        <v>50</v>
      </c>
      <c r="M66" s="349"/>
      <c r="N66" s="347"/>
      <c r="O66" s="345" t="str">
        <f>O34</f>
        <v>HENDRA</v>
      </c>
      <c r="P66" s="345"/>
      <c r="Q66" s="346"/>
      <c r="R66" s="348" t="s">
        <v>51</v>
      </c>
      <c r="S66" s="347"/>
      <c r="T66" s="336">
        <f>T34</f>
        <v>4</v>
      </c>
      <c r="U66" s="33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7" t="s">
        <v>8</v>
      </c>
      <c r="P68" s="337"/>
      <c r="Q68" s="33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0"/>
      <c r="Q69" s="31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8"/>
      <c r="P70" s="339"/>
      <c r="Q70" s="34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0"/>
      <c r="Q71" s="31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1"/>
      <c r="P72" s="342"/>
      <c r="Q72" s="34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1"/>
      <c r="P73" s="342"/>
      <c r="Q73" s="34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3"/>
      <c r="P74" s="334"/>
      <c r="Q74" s="33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0"/>
      <c r="Q75" s="31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0"/>
      <c r="Q76" s="31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0"/>
      <c r="Q77" s="31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0"/>
      <c r="Q78" s="31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0"/>
      <c r="Q79" s="31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0"/>
      <c r="Q80" s="31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0"/>
      <c r="Q81" s="31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0"/>
      <c r="Q82" s="31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0"/>
      <c r="Q83" s="31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0"/>
      <c r="Q84" s="31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2"/>
      <c r="P85" s="311"/>
      <c r="Q85" s="31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2"/>
      <c r="P86" s="311"/>
      <c r="Q86" s="31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2"/>
      <c r="P87" s="311"/>
      <c r="Q87" s="31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0"/>
      <c r="Q89" s="31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0"/>
      <c r="Q92" s="31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3"/>
      <c r="P93" s="314"/>
      <c r="Q93" s="315"/>
      <c r="R93" s="81"/>
      <c r="S93" s="68"/>
      <c r="T93" s="68"/>
      <c r="U93" s="77"/>
    </row>
    <row r="94" spans="1:21" x14ac:dyDescent="0.4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8" thickBot="1" x14ac:dyDescent="0.4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8" thickBot="1" x14ac:dyDescent="0.4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T6" sqref="T6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8" thickBot="1" x14ac:dyDescent="0.45">
      <c r="A2" s="344" t="s">
        <v>324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325</v>
      </c>
      <c r="K2" s="346"/>
      <c r="L2" s="348" t="s">
        <v>96</v>
      </c>
      <c r="M2" s="349"/>
      <c r="N2" s="347"/>
      <c r="O2" s="345" t="s">
        <v>99</v>
      </c>
      <c r="P2" s="345"/>
      <c r="Q2" s="346"/>
      <c r="R2" s="348" t="s">
        <v>51</v>
      </c>
      <c r="S2" s="347"/>
      <c r="T2" s="336">
        <v>5</v>
      </c>
      <c r="U2" s="33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7" t="s">
        <v>8</v>
      </c>
      <c r="P4" s="337"/>
      <c r="Q4" s="33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4254</v>
      </c>
      <c r="C5" s="68" t="s">
        <v>327</v>
      </c>
      <c r="D5" s="200" t="s">
        <v>328</v>
      </c>
      <c r="E5" s="181" t="s">
        <v>92</v>
      </c>
      <c r="F5" s="170">
        <v>845</v>
      </c>
      <c r="G5" s="118" t="s">
        <v>111</v>
      </c>
      <c r="H5" s="91"/>
      <c r="I5" s="124"/>
      <c r="J5" s="130" t="str">
        <f>IF(G5="RSL","55","0")</f>
        <v>0</v>
      </c>
      <c r="K5" s="130">
        <v>79.16</v>
      </c>
      <c r="L5" s="131"/>
      <c r="M5" s="131"/>
      <c r="N5" s="134" t="s">
        <v>99</v>
      </c>
      <c r="O5" s="397" t="s">
        <v>329</v>
      </c>
      <c r="P5" s="392"/>
      <c r="Q5" s="393"/>
      <c r="R5" s="33" t="s">
        <v>99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4255</v>
      </c>
      <c r="C6" s="67" t="s">
        <v>330</v>
      </c>
      <c r="D6" s="200" t="s">
        <v>331</v>
      </c>
      <c r="E6" s="181" t="s">
        <v>92</v>
      </c>
      <c r="F6" s="171">
        <v>900</v>
      </c>
      <c r="G6" s="118" t="s">
        <v>111</v>
      </c>
      <c r="H6" s="91"/>
      <c r="I6" s="124"/>
      <c r="J6" s="130" t="str">
        <f t="shared" ref="J6:J29" si="1">IF(G6="RSL","55","0")</f>
        <v>0</v>
      </c>
      <c r="K6" s="130">
        <v>79.16</v>
      </c>
      <c r="L6" s="131"/>
      <c r="M6" s="131"/>
      <c r="N6" s="134" t="s">
        <v>99</v>
      </c>
      <c r="O6" s="338" t="s">
        <v>332</v>
      </c>
      <c r="P6" s="339"/>
      <c r="Q6" s="340"/>
      <c r="R6" s="132" t="s">
        <v>100</v>
      </c>
      <c r="S6" s="31">
        <v>0.33333333333333331</v>
      </c>
      <c r="T6" s="32">
        <v>0.55208333333333337</v>
      </c>
      <c r="U6" s="92">
        <f t="shared" si="0"/>
        <v>5.2500000000000018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4256</v>
      </c>
      <c r="C7" s="67" t="s">
        <v>333</v>
      </c>
      <c r="D7" s="200" t="s">
        <v>334</v>
      </c>
      <c r="E7" s="181" t="s">
        <v>92</v>
      </c>
      <c r="F7" s="171">
        <v>1100</v>
      </c>
      <c r="G7" s="118" t="s">
        <v>120</v>
      </c>
      <c r="H7" s="91"/>
      <c r="I7" s="124">
        <v>95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99</v>
      </c>
      <c r="O7" s="311"/>
      <c r="P7" s="310"/>
      <c r="Q7" s="312"/>
      <c r="R7" s="134" t="s">
        <v>101</v>
      </c>
      <c r="S7" s="31">
        <v>0.39583333333333331</v>
      </c>
      <c r="T7" s="32">
        <v>0.70833333333333337</v>
      </c>
      <c r="U7" s="92">
        <f t="shared" si="0"/>
        <v>7.5000000000000018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4257</v>
      </c>
      <c r="C8" s="27" t="s">
        <v>335</v>
      </c>
      <c r="D8" s="200" t="s">
        <v>336</v>
      </c>
      <c r="E8" s="181" t="s">
        <v>91</v>
      </c>
      <c r="F8" s="171">
        <v>920</v>
      </c>
      <c r="G8" s="118" t="s">
        <v>120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41"/>
      <c r="P8" s="342"/>
      <c r="Q8" s="343"/>
      <c r="R8" s="26" t="s">
        <v>102</v>
      </c>
      <c r="S8" s="31">
        <v>0.375</v>
      </c>
      <c r="T8" s="32">
        <v>0.72916666666666663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4258</v>
      </c>
      <c r="C9" s="63" t="s">
        <v>337</v>
      </c>
      <c r="D9" s="201" t="s">
        <v>338</v>
      </c>
      <c r="E9" s="181" t="s">
        <v>91</v>
      </c>
      <c r="F9" s="172">
        <v>1020</v>
      </c>
      <c r="G9" s="119" t="s">
        <v>107</v>
      </c>
      <c r="H9" s="91"/>
      <c r="I9" s="91">
        <v>120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41" t="s">
        <v>188</v>
      </c>
      <c r="P9" s="342"/>
      <c r="Q9" s="343"/>
      <c r="R9" s="26" t="s">
        <v>326</v>
      </c>
      <c r="S9" s="31">
        <v>0.375</v>
      </c>
      <c r="T9" s="32">
        <v>0.72916666666666663</v>
      </c>
      <c r="U9" s="92">
        <f t="shared" si="0"/>
        <v>8.5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4259</v>
      </c>
      <c r="C10" s="28" t="s">
        <v>339</v>
      </c>
      <c r="D10" s="202" t="s">
        <v>340</v>
      </c>
      <c r="E10" s="181" t="s">
        <v>91</v>
      </c>
      <c r="F10" s="173">
        <v>1025</v>
      </c>
      <c r="G10" s="120" t="s">
        <v>341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33"/>
      <c r="P10" s="334"/>
      <c r="Q10" s="335"/>
      <c r="R10" s="26" t="s">
        <v>363</v>
      </c>
      <c r="S10" s="31">
        <v>0.5625</v>
      </c>
      <c r="T10" s="32">
        <v>0.70833333333333337</v>
      </c>
      <c r="U10" s="92">
        <f t="shared" si="0"/>
        <v>3.5000000000000009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4260</v>
      </c>
      <c r="C11" s="18" t="s">
        <v>342</v>
      </c>
      <c r="D11" s="203" t="s">
        <v>343</v>
      </c>
      <c r="E11" s="181" t="s">
        <v>92</v>
      </c>
      <c r="F11" s="66">
        <v>1115</v>
      </c>
      <c r="G11" s="121" t="s">
        <v>107</v>
      </c>
      <c r="H11" s="123"/>
      <c r="I11" s="124">
        <v>150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1"/>
      <c r="P11" s="310"/>
      <c r="Q11" s="31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4261</v>
      </c>
      <c r="C12" s="64" t="s">
        <v>344</v>
      </c>
      <c r="D12" s="204" t="s">
        <v>345</v>
      </c>
      <c r="E12" s="181" t="s">
        <v>91</v>
      </c>
      <c r="F12" s="173">
        <v>1130</v>
      </c>
      <c r="G12" s="119" t="s">
        <v>115</v>
      </c>
      <c r="H12" s="123"/>
      <c r="I12" s="125">
        <v>65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1"/>
      <c r="P12" s="310"/>
      <c r="Q12" s="31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4262</v>
      </c>
      <c r="C13" s="64" t="s">
        <v>346</v>
      </c>
      <c r="D13" s="204" t="s">
        <v>347</v>
      </c>
      <c r="E13" s="181" t="s">
        <v>92</v>
      </c>
      <c r="F13" s="173">
        <v>1200</v>
      </c>
      <c r="G13" s="119" t="s">
        <v>115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1"/>
      <c r="P13" s="310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4263</v>
      </c>
      <c r="C14" s="65" t="s">
        <v>348</v>
      </c>
      <c r="D14" s="205" t="s">
        <v>349</v>
      </c>
      <c r="E14" s="181" t="s">
        <v>91</v>
      </c>
      <c r="F14" s="174">
        <v>1155</v>
      </c>
      <c r="G14" s="122" t="s">
        <v>120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1"/>
      <c r="P14" s="310"/>
      <c r="Q14" s="31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4264</v>
      </c>
      <c r="C15" s="65" t="s">
        <v>350</v>
      </c>
      <c r="D15" s="205" t="s">
        <v>351</v>
      </c>
      <c r="E15" s="181" t="s">
        <v>91</v>
      </c>
      <c r="F15" s="174">
        <v>1200</v>
      </c>
      <c r="G15" s="122" t="s">
        <v>115</v>
      </c>
      <c r="H15" s="123"/>
      <c r="I15" s="124">
        <v>55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1"/>
      <c r="P15" s="310"/>
      <c r="Q15" s="31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276">
        <v>12</v>
      </c>
      <c r="B16" s="277">
        <v>4265</v>
      </c>
      <c r="C16" s="289" t="s">
        <v>352</v>
      </c>
      <c r="D16" s="290" t="s">
        <v>353</v>
      </c>
      <c r="E16" s="271" t="s">
        <v>92</v>
      </c>
      <c r="F16" s="291">
        <v>1220</v>
      </c>
      <c r="G16" s="268" t="s">
        <v>162</v>
      </c>
      <c r="H16" s="281"/>
      <c r="I16" s="273">
        <v>250</v>
      </c>
      <c r="J16" s="273" t="str">
        <f t="shared" si="1"/>
        <v>0</v>
      </c>
      <c r="K16" s="273" t="str">
        <f t="shared" si="2"/>
        <v>0</v>
      </c>
      <c r="L16" s="274"/>
      <c r="M16" s="274"/>
      <c r="N16" s="275" t="s">
        <v>99</v>
      </c>
      <c r="O16" s="384" t="s">
        <v>78</v>
      </c>
      <c r="P16" s="385"/>
      <c r="Q16" s="386"/>
      <c r="R16" s="82">
        <f>H32/U16</f>
        <v>0.46783625730994149</v>
      </c>
      <c r="S16" s="83">
        <f>H32/(U16-U5)</f>
        <v>0.60150375939849621</v>
      </c>
      <c r="T16" s="83">
        <f>C32/U16</f>
        <v>45.867134502923975</v>
      </c>
      <c r="U16" s="83">
        <f>SUM(U5:U15)</f>
        <v>42.75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4266</v>
      </c>
      <c r="C17" s="18" t="s">
        <v>364</v>
      </c>
      <c r="D17" s="203" t="s">
        <v>365</v>
      </c>
      <c r="E17" s="181" t="s">
        <v>91</v>
      </c>
      <c r="F17" s="66">
        <v>1230</v>
      </c>
      <c r="G17" s="121" t="s">
        <v>120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1"/>
      <c r="P17" s="310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4267</v>
      </c>
      <c r="C18" s="18" t="s">
        <v>354</v>
      </c>
      <c r="D18" s="203" t="s">
        <v>355</v>
      </c>
      <c r="E18" s="181" t="s">
        <v>91</v>
      </c>
      <c r="F18" s="66">
        <v>1315</v>
      </c>
      <c r="G18" s="20" t="s">
        <v>120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11"/>
      <c r="P18" s="310"/>
      <c r="Q18" s="31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4268</v>
      </c>
      <c r="C19" s="18" t="s">
        <v>356</v>
      </c>
      <c r="D19" s="203" t="s">
        <v>357</v>
      </c>
      <c r="E19" s="181" t="s">
        <v>92</v>
      </c>
      <c r="F19" s="66">
        <v>1330</v>
      </c>
      <c r="G19" s="121" t="s">
        <v>115</v>
      </c>
      <c r="H19" s="123">
        <v>75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11"/>
      <c r="P19" s="310"/>
      <c r="Q19" s="310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276">
        <v>16</v>
      </c>
      <c r="B20" s="277">
        <v>4269</v>
      </c>
      <c r="C20" s="292" t="s">
        <v>358</v>
      </c>
      <c r="D20" s="293" t="s">
        <v>359</v>
      </c>
      <c r="E20" s="271" t="s">
        <v>92</v>
      </c>
      <c r="F20" s="294">
        <v>1400</v>
      </c>
      <c r="G20" s="295" t="s">
        <v>360</v>
      </c>
      <c r="H20" s="281"/>
      <c r="I20" s="273">
        <v>200</v>
      </c>
      <c r="J20" s="273" t="str">
        <f t="shared" si="1"/>
        <v>0</v>
      </c>
      <c r="K20" s="273" t="str">
        <f t="shared" si="2"/>
        <v>0</v>
      </c>
      <c r="L20" s="274"/>
      <c r="M20" s="274"/>
      <c r="N20" s="275" t="s">
        <v>99</v>
      </c>
      <c r="O20" s="384" t="s">
        <v>78</v>
      </c>
      <c r="P20" s="385"/>
      <c r="Q20" s="385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276">
        <v>17</v>
      </c>
      <c r="B21" s="268">
        <v>4270</v>
      </c>
      <c r="C21" s="292" t="s">
        <v>366</v>
      </c>
      <c r="D21" s="293" t="s">
        <v>367</v>
      </c>
      <c r="E21" s="271" t="s">
        <v>91</v>
      </c>
      <c r="F21" s="294">
        <v>1500</v>
      </c>
      <c r="G21" s="277" t="s">
        <v>135</v>
      </c>
      <c r="H21" s="281"/>
      <c r="I21" s="273"/>
      <c r="J21" s="273" t="str">
        <f t="shared" si="1"/>
        <v>0</v>
      </c>
      <c r="K21" s="273">
        <v>62.5</v>
      </c>
      <c r="L21" s="274"/>
      <c r="M21" s="274">
        <v>375</v>
      </c>
      <c r="N21" s="275" t="s">
        <v>99</v>
      </c>
      <c r="O21" s="384" t="s">
        <v>368</v>
      </c>
      <c r="P21" s="385"/>
      <c r="Q21" s="38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4271</v>
      </c>
      <c r="C22" s="127" t="s">
        <v>361</v>
      </c>
      <c r="D22" s="206" t="s">
        <v>362</v>
      </c>
      <c r="E22" s="181" t="s">
        <v>92</v>
      </c>
      <c r="F22" s="175">
        <v>1530</v>
      </c>
      <c r="G22" s="263" t="s">
        <v>44</v>
      </c>
      <c r="H22" s="89"/>
      <c r="I22" s="141"/>
      <c r="J22" s="130" t="str">
        <f t="shared" si="1"/>
        <v>55</v>
      </c>
      <c r="K22" s="130" t="str">
        <f t="shared" si="2"/>
        <v>0</v>
      </c>
      <c r="L22" s="69"/>
      <c r="M22" s="69"/>
      <c r="N22" s="134" t="s">
        <v>99</v>
      </c>
      <c r="O22" s="311">
        <v>202203084</v>
      </c>
      <c r="P22" s="310"/>
      <c r="Q22" s="31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4272</v>
      </c>
      <c r="C23" s="136" t="s">
        <v>369</v>
      </c>
      <c r="D23" s="207" t="s">
        <v>370</v>
      </c>
      <c r="E23" s="181" t="s">
        <v>92</v>
      </c>
      <c r="F23" s="176">
        <v>1530</v>
      </c>
      <c r="G23" s="165" t="s">
        <v>120</v>
      </c>
      <c r="H23" s="89"/>
      <c r="I23" s="141">
        <v>85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78"/>
      <c r="Y23" s="379"/>
      <c r="Z23" s="379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4273</v>
      </c>
      <c r="C24" s="127" t="s">
        <v>371</v>
      </c>
      <c r="D24" s="206" t="s">
        <v>372</v>
      </c>
      <c r="E24" s="181" t="s">
        <v>92</v>
      </c>
      <c r="F24" s="175">
        <v>1550</v>
      </c>
      <c r="G24" s="263" t="s">
        <v>120</v>
      </c>
      <c r="H24" s="89"/>
      <c r="I24" s="141">
        <v>100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11"/>
      <c r="P24" s="310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1"/>
      <c r="P25" s="310"/>
      <c r="Q25" s="31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2">
        <f>((C32+(R26+S26+T26)*0.5))</f>
        <v>1960.82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1"/>
      <c r="P26" s="310"/>
      <c r="Q26" s="312"/>
      <c r="R26" s="112">
        <f>R25*37.5</f>
        <v>0</v>
      </c>
      <c r="S26" s="102">
        <f>S25*41.5</f>
        <v>0</v>
      </c>
      <c r="T26" s="102">
        <f>T25*50</f>
        <v>0</v>
      </c>
      <c r="U26" s="38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1"/>
      <c r="P27" s="310"/>
      <c r="Q27" s="312"/>
      <c r="R27" s="375" t="s">
        <v>56</v>
      </c>
      <c r="S27" s="376"/>
      <c r="T27" s="376"/>
      <c r="U27" s="37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1"/>
      <c r="P28" s="310"/>
      <c r="Q28" s="312"/>
      <c r="R28" s="368"/>
      <c r="S28" s="369"/>
      <c r="T28" s="37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94"/>
      <c r="P29" s="395"/>
      <c r="Q29" s="396"/>
      <c r="R29" s="357"/>
      <c r="S29" s="358"/>
      <c r="T29" s="35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0" t="s">
        <v>48</v>
      </c>
      <c r="B30" s="361"/>
      <c r="C30" s="361"/>
      <c r="D30" s="361"/>
      <c r="E30" s="362"/>
      <c r="F30" s="361"/>
      <c r="G30" s="361"/>
      <c r="H30" s="264">
        <f t="shared" ref="H30:M30" si="3">SUM(H5:H29)</f>
        <v>75</v>
      </c>
      <c r="I30" s="105">
        <f>SUM(I5:I29)</f>
        <v>1610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220.82</v>
      </c>
      <c r="L30" s="106">
        <f t="shared" si="3"/>
        <v>0</v>
      </c>
      <c r="M30" s="106">
        <f t="shared" si="3"/>
        <v>375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3"/>
      <c r="S30" s="363"/>
      <c r="T30" s="36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5" t="s">
        <v>16</v>
      </c>
      <c r="B31" s="366"/>
      <c r="C31" s="366"/>
      <c r="D31" s="366"/>
      <c r="E31" s="366"/>
      <c r="F31" s="366"/>
      <c r="G31" s="366"/>
      <c r="H31" s="265">
        <f t="shared" ref="H31:J31" si="4">H30+H62+H94</f>
        <v>75</v>
      </c>
      <c r="I31" s="103">
        <f t="shared" si="4"/>
        <v>1610</v>
      </c>
      <c r="J31" s="103">
        <f t="shared" si="4"/>
        <v>55</v>
      </c>
      <c r="K31" s="103">
        <f>K30+K62+K94</f>
        <v>220.82</v>
      </c>
      <c r="L31" s="97">
        <f>L30+L62+L94</f>
        <v>0</v>
      </c>
      <c r="M31" s="97">
        <f>M30+M62+M94</f>
        <v>375</v>
      </c>
      <c r="N31" s="262">
        <f>COUNT(H5:H29,H37:H61,H69:H93)</f>
        <v>1</v>
      </c>
      <c r="O31" s="104">
        <f>COUNT(I5:I29,I37:I61,I69:I93)</f>
        <v>15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75</v>
      </c>
      <c r="T31" s="350">
        <f>H31+I31+L31+M31</f>
        <v>2060</v>
      </c>
      <c r="U31" s="35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71" t="s">
        <v>55</v>
      </c>
      <c r="B32" s="372"/>
      <c r="C32" s="107">
        <f>H31+I31+J31+K31</f>
        <v>1960.82</v>
      </c>
      <c r="D32" s="196"/>
      <c r="E32" s="107"/>
      <c r="F32" s="373" t="s">
        <v>53</v>
      </c>
      <c r="G32" s="373"/>
      <c r="H32" s="109">
        <f>COUNT(B5:B29,B37:B61,B69:B93)</f>
        <v>20</v>
      </c>
      <c r="I32" s="374" t="s">
        <v>54</v>
      </c>
      <c r="J32" s="374"/>
      <c r="K32" s="108">
        <f>C32/H32</f>
        <v>98.040999999999997</v>
      </c>
      <c r="L32" s="260"/>
      <c r="M32" s="260"/>
      <c r="N32" s="260">
        <f>H31/C32</f>
        <v>3.8249303862669698E-2</v>
      </c>
      <c r="O32" s="260">
        <f>I31/C32</f>
        <v>0.82108505625197625</v>
      </c>
      <c r="P32" s="260">
        <f>K31/C32</f>
        <v>0.11261615038606297</v>
      </c>
      <c r="Q32" s="110">
        <f>J31/C32</f>
        <v>2.8049489499291112E-2</v>
      </c>
      <c r="R32" s="99" t="s">
        <v>82</v>
      </c>
      <c r="S32" s="266">
        <f>I31+M31</f>
        <v>1985</v>
      </c>
      <c r="T32" s="352"/>
      <c r="U32" s="353"/>
      <c r="V32" s="55"/>
      <c r="W32" s="55"/>
      <c r="X32" s="56" t="s">
        <v>27</v>
      </c>
      <c r="Y32" s="56"/>
      <c r="Z32" s="54">
        <f>I31</f>
        <v>1610</v>
      </c>
      <c r="AE32" s="37"/>
      <c r="AF32" s="37"/>
      <c r="AG32" s="37"/>
      <c r="AH32" s="37"/>
    </row>
    <row r="33" spans="1:34" ht="18" thickBot="1" x14ac:dyDescent="0.4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57" t="s">
        <v>29</v>
      </c>
      <c r="Y33" s="57"/>
      <c r="Z33" s="58">
        <f>SUM(Z31:Z32)</f>
        <v>-1135</v>
      </c>
      <c r="AE33" s="37"/>
      <c r="AF33" s="37"/>
      <c r="AG33" s="59"/>
      <c r="AH33" s="37"/>
    </row>
    <row r="34" spans="1:34" ht="18" thickBot="1" x14ac:dyDescent="0.45">
      <c r="A34" s="344" t="str">
        <f>A2</f>
        <v>21 - 5 - 2022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SHOWER</v>
      </c>
      <c r="K34" s="346"/>
      <c r="L34" s="348" t="s">
        <v>50</v>
      </c>
      <c r="M34" s="349"/>
      <c r="N34" s="347"/>
      <c r="O34" s="345" t="str">
        <f>O2</f>
        <v>HENDRA</v>
      </c>
      <c r="P34" s="345"/>
      <c r="Q34" s="346"/>
      <c r="R34" s="348" t="s">
        <v>51</v>
      </c>
      <c r="S34" s="347"/>
      <c r="T34" s="336">
        <f>T2</f>
        <v>5</v>
      </c>
      <c r="U34" s="33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7" t="s">
        <v>8</v>
      </c>
      <c r="P36" s="337"/>
      <c r="Q36" s="33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1"/>
      <c r="P37" s="310"/>
      <c r="Q37" s="31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8"/>
      <c r="P38" s="339"/>
      <c r="Q38" s="34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0"/>
      <c r="Q39" s="31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1"/>
      <c r="P40" s="342"/>
      <c r="Q40" s="34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1"/>
      <c r="P41" s="342"/>
      <c r="Q41" s="34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3"/>
      <c r="P42" s="334"/>
      <c r="Q42" s="33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0"/>
      <c r="Q43" s="31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0"/>
      <c r="Q44" s="31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0"/>
      <c r="Q45" s="31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0"/>
      <c r="Q46" s="31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0"/>
      <c r="Q47" s="31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0"/>
      <c r="Q48" s="31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0"/>
      <c r="Q49" s="31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0"/>
      <c r="Q50" s="31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0"/>
      <c r="Q51" s="31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0"/>
      <c r="Q52" s="31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2"/>
      <c r="P53" s="311"/>
      <c r="Q53" s="31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2"/>
      <c r="P54" s="311"/>
      <c r="Q54" s="31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2"/>
      <c r="P55" s="311"/>
      <c r="Q55" s="31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0"/>
      <c r="Q57" s="31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0"/>
      <c r="Q60" s="31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3"/>
      <c r="P61" s="314"/>
      <c r="Q61" s="315"/>
      <c r="R61" s="81"/>
      <c r="S61" s="68"/>
      <c r="T61" s="68"/>
      <c r="U61" s="77"/>
    </row>
    <row r="62" spans="1:21" x14ac:dyDescent="0.4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0</v>
      </c>
      <c r="I62" s="323">
        <f t="shared" si="8"/>
        <v>0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0</v>
      </c>
      <c r="L62" s="326">
        <f t="shared" si="8"/>
        <v>0</v>
      </c>
      <c r="M62" s="329">
        <f t="shared" si="8"/>
        <v>0</v>
      </c>
      <c r="N62" s="298"/>
      <c r="O62" s="299"/>
      <c r="P62" s="299"/>
      <c r="Q62" s="300"/>
      <c r="R62" s="5"/>
      <c r="S62" s="6"/>
      <c r="T62" s="7"/>
      <c r="U62" s="8"/>
    </row>
    <row r="63" spans="1:21" ht="18" thickBot="1" x14ac:dyDescent="0.4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8" thickBot="1" x14ac:dyDescent="0.4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8" thickBot="1" x14ac:dyDescent="0.4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8" thickBot="1" x14ac:dyDescent="0.45">
      <c r="A66" s="344" t="str">
        <f>A34</f>
        <v>21 - 5 - 2022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SHOWER</v>
      </c>
      <c r="K66" s="346"/>
      <c r="L66" s="348" t="s">
        <v>50</v>
      </c>
      <c r="M66" s="349"/>
      <c r="N66" s="347"/>
      <c r="O66" s="345" t="str">
        <f>O34</f>
        <v>HENDRA</v>
      </c>
      <c r="P66" s="345"/>
      <c r="Q66" s="346"/>
      <c r="R66" s="348" t="s">
        <v>51</v>
      </c>
      <c r="S66" s="347"/>
      <c r="T66" s="336">
        <f>T34</f>
        <v>5</v>
      </c>
      <c r="U66" s="33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7" t="s">
        <v>8</v>
      </c>
      <c r="P68" s="337"/>
      <c r="Q68" s="33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0"/>
      <c r="Q69" s="31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8"/>
      <c r="P70" s="339"/>
      <c r="Q70" s="34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0"/>
      <c r="Q71" s="31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1"/>
      <c r="P72" s="342"/>
      <c r="Q72" s="34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1"/>
      <c r="P73" s="342"/>
      <c r="Q73" s="34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3"/>
      <c r="P74" s="334"/>
      <c r="Q74" s="33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0"/>
      <c r="Q75" s="31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0"/>
      <c r="Q76" s="31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0"/>
      <c r="Q77" s="31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0"/>
      <c r="Q78" s="31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0"/>
      <c r="Q79" s="31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0"/>
      <c r="Q80" s="31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0"/>
      <c r="Q81" s="31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0"/>
      <c r="Q82" s="31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0"/>
      <c r="Q83" s="31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0"/>
      <c r="Q84" s="31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2"/>
      <c r="P85" s="311"/>
      <c r="Q85" s="31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2"/>
      <c r="P86" s="311"/>
      <c r="Q86" s="31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2"/>
      <c r="P87" s="311"/>
      <c r="Q87" s="31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0"/>
      <c r="Q89" s="31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0"/>
      <c r="Q92" s="31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3"/>
      <c r="P93" s="314"/>
      <c r="Q93" s="315"/>
      <c r="R93" s="81"/>
      <c r="S93" s="68"/>
      <c r="T93" s="68"/>
      <c r="U93" s="77"/>
    </row>
    <row r="94" spans="1:21" x14ac:dyDescent="0.4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8" thickBot="1" x14ac:dyDescent="0.4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8" thickBot="1" x14ac:dyDescent="0.4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5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O14" sqref="O14:Q14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8" thickBot="1" x14ac:dyDescent="0.45">
      <c r="A2" s="344" t="s">
        <v>373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325</v>
      </c>
      <c r="K2" s="346"/>
      <c r="L2" s="348" t="s">
        <v>96</v>
      </c>
      <c r="M2" s="349"/>
      <c r="N2" s="347"/>
      <c r="O2" s="345" t="s">
        <v>99</v>
      </c>
      <c r="P2" s="345"/>
      <c r="Q2" s="346"/>
      <c r="R2" s="348" t="s">
        <v>51</v>
      </c>
      <c r="S2" s="347"/>
      <c r="T2" s="336">
        <v>5</v>
      </c>
      <c r="U2" s="33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7" t="s">
        <v>8</v>
      </c>
      <c r="P4" s="337"/>
      <c r="Q4" s="33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4274</v>
      </c>
      <c r="C5" s="68" t="s">
        <v>377</v>
      </c>
      <c r="D5" s="200" t="s">
        <v>378</v>
      </c>
      <c r="E5" s="181" t="s">
        <v>92</v>
      </c>
      <c r="F5" s="170">
        <v>950</v>
      </c>
      <c r="G5" s="118" t="s">
        <v>107</v>
      </c>
      <c r="H5" s="91"/>
      <c r="I5" s="124">
        <v>120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97"/>
      <c r="P5" s="392"/>
      <c r="Q5" s="393"/>
      <c r="R5" s="33" t="s">
        <v>99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4275</v>
      </c>
      <c r="C6" s="67" t="s">
        <v>375</v>
      </c>
      <c r="D6" s="200" t="s">
        <v>376</v>
      </c>
      <c r="E6" s="181" t="s">
        <v>92</v>
      </c>
      <c r="F6" s="171">
        <v>1015</v>
      </c>
      <c r="G6" s="118" t="s">
        <v>120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8"/>
      <c r="P6" s="339"/>
      <c r="Q6" s="340"/>
      <c r="R6" s="132" t="s">
        <v>374</v>
      </c>
      <c r="S6" s="31">
        <v>0.33333333333333331</v>
      </c>
      <c r="T6" s="32">
        <v>0.58333333333333337</v>
      </c>
      <c r="U6" s="92">
        <f t="shared" si="0"/>
        <v>6.0000000000000018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267">
        <v>3</v>
      </c>
      <c r="B7" s="268">
        <v>4276</v>
      </c>
      <c r="C7" s="297" t="s">
        <v>105</v>
      </c>
      <c r="D7" s="270" t="s">
        <v>106</v>
      </c>
      <c r="E7" s="271" t="s">
        <v>91</v>
      </c>
      <c r="F7" s="288">
        <v>1030</v>
      </c>
      <c r="G7" s="268" t="s">
        <v>107</v>
      </c>
      <c r="H7" s="273"/>
      <c r="I7" s="273">
        <v>150</v>
      </c>
      <c r="J7" s="273" t="str">
        <f t="shared" si="1"/>
        <v>0</v>
      </c>
      <c r="K7" s="273" t="str">
        <f t="shared" si="2"/>
        <v>0</v>
      </c>
      <c r="L7" s="274"/>
      <c r="M7" s="274"/>
      <c r="N7" s="275" t="s">
        <v>99</v>
      </c>
      <c r="O7" s="384" t="s">
        <v>108</v>
      </c>
      <c r="P7" s="385"/>
      <c r="Q7" s="386"/>
      <c r="R7" s="134" t="s">
        <v>326</v>
      </c>
      <c r="S7" s="31">
        <v>0.35416666666666669</v>
      </c>
      <c r="T7" s="32">
        <v>0.58333333333333337</v>
      </c>
      <c r="U7" s="92">
        <f t="shared" si="0"/>
        <v>5.5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4277</v>
      </c>
      <c r="C8" s="27" t="s">
        <v>379</v>
      </c>
      <c r="D8" s="200" t="s">
        <v>380</v>
      </c>
      <c r="E8" s="181" t="s">
        <v>91</v>
      </c>
      <c r="F8" s="171">
        <v>1045</v>
      </c>
      <c r="G8" s="118" t="s">
        <v>115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41"/>
      <c r="P8" s="342"/>
      <c r="Q8" s="343"/>
      <c r="R8" s="26" t="s">
        <v>102</v>
      </c>
      <c r="S8" s="31">
        <v>0.375</v>
      </c>
      <c r="T8" s="32">
        <v>0.66666666666666663</v>
      </c>
      <c r="U8" s="92">
        <f t="shared" si="0"/>
        <v>6.9999999999999991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4278</v>
      </c>
      <c r="C9" s="63" t="s">
        <v>383</v>
      </c>
      <c r="D9" s="201" t="s">
        <v>384</v>
      </c>
      <c r="E9" s="181" t="s">
        <v>92</v>
      </c>
      <c r="F9" s="172">
        <v>1115</v>
      </c>
      <c r="G9" s="119" t="s">
        <v>107</v>
      </c>
      <c r="H9" s="91"/>
      <c r="I9" s="91">
        <v>150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41"/>
      <c r="P9" s="342"/>
      <c r="Q9" s="343"/>
      <c r="R9" s="26" t="s">
        <v>103</v>
      </c>
      <c r="S9" s="31">
        <v>0.44791666666666669</v>
      </c>
      <c r="T9" s="32">
        <v>0.66666666666666663</v>
      </c>
      <c r="U9" s="92">
        <f t="shared" si="0"/>
        <v>5.2499999999999982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4279</v>
      </c>
      <c r="C10" s="28" t="s">
        <v>381</v>
      </c>
      <c r="D10" s="202" t="s">
        <v>382</v>
      </c>
      <c r="E10" s="181" t="s">
        <v>91</v>
      </c>
      <c r="F10" s="173">
        <v>1130</v>
      </c>
      <c r="G10" s="120" t="s">
        <v>115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33"/>
      <c r="P10" s="334"/>
      <c r="Q10" s="33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4280</v>
      </c>
      <c r="C11" s="18" t="s">
        <v>385</v>
      </c>
      <c r="D11" s="203" t="s">
        <v>386</v>
      </c>
      <c r="E11" s="181" t="s">
        <v>92</v>
      </c>
      <c r="F11" s="66">
        <v>1245</v>
      </c>
      <c r="G11" s="121" t="s">
        <v>107</v>
      </c>
      <c r="H11" s="123"/>
      <c r="I11" s="124">
        <v>150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1"/>
      <c r="P11" s="310"/>
      <c r="Q11" s="31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4281</v>
      </c>
      <c r="C12" s="64" t="s">
        <v>387</v>
      </c>
      <c r="D12" s="204" t="s">
        <v>388</v>
      </c>
      <c r="E12" s="181" t="s">
        <v>92</v>
      </c>
      <c r="F12" s="173">
        <v>1310</v>
      </c>
      <c r="G12" s="119" t="s">
        <v>120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1"/>
      <c r="P12" s="310"/>
      <c r="Q12" s="31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4282</v>
      </c>
      <c r="C13" s="64" t="s">
        <v>389</v>
      </c>
      <c r="D13" s="204" t="s">
        <v>390</v>
      </c>
      <c r="E13" s="181" t="s">
        <v>91</v>
      </c>
      <c r="F13" s="173">
        <v>1410</v>
      </c>
      <c r="G13" s="119" t="s">
        <v>115</v>
      </c>
      <c r="H13" s="169">
        <v>75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1"/>
      <c r="P13" s="310"/>
      <c r="Q13" s="31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4283</v>
      </c>
      <c r="C14" s="65" t="s">
        <v>391</v>
      </c>
      <c r="D14" s="205" t="s">
        <v>392</v>
      </c>
      <c r="E14" s="181" t="s">
        <v>91</v>
      </c>
      <c r="F14" s="174">
        <v>1445</v>
      </c>
      <c r="G14" s="122" t="s">
        <v>120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1"/>
      <c r="P14" s="310"/>
      <c r="Q14" s="31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1"/>
      <c r="P15" s="310"/>
      <c r="Q15" s="31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1"/>
      <c r="P16" s="310"/>
      <c r="Q16" s="312"/>
      <c r="R16" s="82">
        <f>H32/U16</f>
        <v>0.31496062992125984</v>
      </c>
      <c r="S16" s="83">
        <f>H32/(U16-U5)</f>
        <v>0.42105263157894735</v>
      </c>
      <c r="T16" s="83">
        <f>C32/U16</f>
        <v>32.755905511811022</v>
      </c>
      <c r="U16" s="83">
        <f>SUM(U5:U15)</f>
        <v>31.75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1"/>
      <c r="P17" s="310"/>
      <c r="Q17" s="31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1"/>
      <c r="P18" s="310"/>
      <c r="Q18" s="31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1"/>
      <c r="P19" s="310"/>
      <c r="Q19" s="31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80"/>
      <c r="P20" s="381"/>
      <c r="Q20" s="38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1"/>
      <c r="P21" s="310"/>
      <c r="Q21" s="31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1"/>
      <c r="P22" s="310"/>
      <c r="Q22" s="31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8"/>
      <c r="Y23" s="379"/>
      <c r="Z23" s="379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1"/>
      <c r="P24" s="310"/>
      <c r="Q24" s="31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1"/>
      <c r="P25" s="310"/>
      <c r="Q25" s="31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2">
        <f>((C32+(R26+S26+T26)*0.5))</f>
        <v>1040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1"/>
      <c r="P26" s="310"/>
      <c r="Q26" s="312"/>
      <c r="R26" s="112">
        <f>R25*37.5</f>
        <v>0</v>
      </c>
      <c r="S26" s="102">
        <f>S25*41.5</f>
        <v>0</v>
      </c>
      <c r="T26" s="102">
        <f>T25*50</f>
        <v>0</v>
      </c>
      <c r="U26" s="38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1"/>
      <c r="P27" s="310"/>
      <c r="Q27" s="312"/>
      <c r="R27" s="375" t="s">
        <v>56</v>
      </c>
      <c r="S27" s="376"/>
      <c r="T27" s="376"/>
      <c r="U27" s="377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1"/>
      <c r="P28" s="310"/>
      <c r="Q28" s="312"/>
      <c r="R28" s="368"/>
      <c r="S28" s="369"/>
      <c r="T28" s="370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94"/>
      <c r="P29" s="395"/>
      <c r="Q29" s="396"/>
      <c r="R29" s="357"/>
      <c r="S29" s="358"/>
      <c r="T29" s="35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0" t="s">
        <v>48</v>
      </c>
      <c r="B30" s="361"/>
      <c r="C30" s="361"/>
      <c r="D30" s="361"/>
      <c r="E30" s="362"/>
      <c r="F30" s="361"/>
      <c r="G30" s="361"/>
      <c r="H30" s="264">
        <f t="shared" ref="H30:M30" si="3">SUM(H5:H29)</f>
        <v>75</v>
      </c>
      <c r="I30" s="105">
        <f>SUM(I5:I29)</f>
        <v>965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3"/>
      <c r="S30" s="363"/>
      <c r="T30" s="36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5" t="s">
        <v>16</v>
      </c>
      <c r="B31" s="366"/>
      <c r="C31" s="366"/>
      <c r="D31" s="366"/>
      <c r="E31" s="366"/>
      <c r="F31" s="366"/>
      <c r="G31" s="366"/>
      <c r="H31" s="265">
        <f t="shared" ref="H31:J31" si="4">H30+H62+H94</f>
        <v>75</v>
      </c>
      <c r="I31" s="103">
        <f t="shared" si="4"/>
        <v>965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75</v>
      </c>
      <c r="T31" s="350">
        <f>H31+I31+L31+M31</f>
        <v>1040</v>
      </c>
      <c r="U31" s="35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71" t="s">
        <v>55</v>
      </c>
      <c r="B32" s="372"/>
      <c r="C32" s="107">
        <f>H31+I31+J31+K31</f>
        <v>1040</v>
      </c>
      <c r="D32" s="196"/>
      <c r="E32" s="107"/>
      <c r="F32" s="373" t="s">
        <v>53</v>
      </c>
      <c r="G32" s="373"/>
      <c r="H32" s="109">
        <f>COUNT(B5:B29,B37:B61,B69:B93)</f>
        <v>10</v>
      </c>
      <c r="I32" s="374" t="s">
        <v>54</v>
      </c>
      <c r="J32" s="374"/>
      <c r="K32" s="108">
        <f>C32/H32</f>
        <v>104</v>
      </c>
      <c r="L32" s="260"/>
      <c r="M32" s="260"/>
      <c r="N32" s="260">
        <f>H31/C32</f>
        <v>7.2115384615384609E-2</v>
      </c>
      <c r="O32" s="260">
        <f>I31/C32</f>
        <v>0.92788461538461542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965</v>
      </c>
      <c r="T32" s="352"/>
      <c r="U32" s="353"/>
      <c r="V32" s="55"/>
      <c r="W32" s="55"/>
      <c r="X32" s="56" t="s">
        <v>27</v>
      </c>
      <c r="Y32" s="56"/>
      <c r="Z32" s="54">
        <f>I31</f>
        <v>965</v>
      </c>
      <c r="AE32" s="37"/>
      <c r="AF32" s="37"/>
      <c r="AG32" s="37"/>
      <c r="AH32" s="37"/>
    </row>
    <row r="33" spans="1:34" ht="18" thickBot="1" x14ac:dyDescent="0.4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57" t="s">
        <v>29</v>
      </c>
      <c r="Y33" s="57"/>
      <c r="Z33" s="58">
        <f>SUM(Z31:Z32)</f>
        <v>-1780</v>
      </c>
      <c r="AE33" s="37"/>
      <c r="AF33" s="37"/>
      <c r="AG33" s="59"/>
      <c r="AH33" s="37"/>
    </row>
    <row r="34" spans="1:34" ht="18" thickBot="1" x14ac:dyDescent="0.45">
      <c r="A34" s="344" t="str">
        <f>A2</f>
        <v>22 - 5 - 2022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SHOWER</v>
      </c>
      <c r="K34" s="346"/>
      <c r="L34" s="348" t="s">
        <v>50</v>
      </c>
      <c r="M34" s="349"/>
      <c r="N34" s="347"/>
      <c r="O34" s="345" t="str">
        <f>O2</f>
        <v>HENDRA</v>
      </c>
      <c r="P34" s="345"/>
      <c r="Q34" s="346"/>
      <c r="R34" s="348" t="s">
        <v>51</v>
      </c>
      <c r="S34" s="347"/>
      <c r="T34" s="336">
        <f>T2</f>
        <v>5</v>
      </c>
      <c r="U34" s="33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7" t="s">
        <v>8</v>
      </c>
      <c r="P36" s="337"/>
      <c r="Q36" s="33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1"/>
      <c r="P37" s="310"/>
      <c r="Q37" s="312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8"/>
      <c r="P38" s="339"/>
      <c r="Q38" s="340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1"/>
      <c r="P39" s="310"/>
      <c r="Q39" s="312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1"/>
      <c r="P40" s="342"/>
      <c r="Q40" s="343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1"/>
      <c r="P41" s="342"/>
      <c r="Q41" s="343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3"/>
      <c r="P42" s="334"/>
      <c r="Q42" s="33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1"/>
      <c r="P43" s="310"/>
      <c r="Q43" s="312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1"/>
      <c r="P44" s="310"/>
      <c r="Q44" s="312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1"/>
      <c r="P45" s="310"/>
      <c r="Q45" s="312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1"/>
      <c r="P46" s="310"/>
      <c r="Q46" s="312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1"/>
      <c r="P47" s="310"/>
      <c r="Q47" s="312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1"/>
      <c r="P48" s="310"/>
      <c r="Q48" s="312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1"/>
      <c r="P49" s="310"/>
      <c r="Q49" s="312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1"/>
      <c r="P50" s="310"/>
      <c r="Q50" s="312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1"/>
      <c r="P51" s="310"/>
      <c r="Q51" s="31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1"/>
      <c r="P52" s="310"/>
      <c r="Q52" s="31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2"/>
      <c r="P53" s="311"/>
      <c r="Q53" s="311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2"/>
      <c r="P54" s="311"/>
      <c r="Q54" s="311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2"/>
      <c r="P55" s="311"/>
      <c r="Q55" s="311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1"/>
      <c r="P57" s="310"/>
      <c r="Q57" s="31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1"/>
      <c r="P60" s="310"/>
      <c r="Q60" s="312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3"/>
      <c r="P61" s="314"/>
      <c r="Q61" s="315"/>
      <c r="R61" s="81"/>
      <c r="S61" s="68"/>
      <c r="T61" s="68"/>
      <c r="U61" s="77"/>
    </row>
    <row r="62" spans="1:21" x14ac:dyDescent="0.4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0</v>
      </c>
      <c r="I62" s="323">
        <f t="shared" si="8"/>
        <v>0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0</v>
      </c>
      <c r="L62" s="326">
        <f t="shared" si="8"/>
        <v>0</v>
      </c>
      <c r="M62" s="329">
        <f t="shared" si="8"/>
        <v>0</v>
      </c>
      <c r="N62" s="298"/>
      <c r="O62" s="299"/>
      <c r="P62" s="299"/>
      <c r="Q62" s="300"/>
      <c r="R62" s="5"/>
      <c r="S62" s="6"/>
      <c r="T62" s="7"/>
      <c r="U62" s="8"/>
    </row>
    <row r="63" spans="1:21" ht="18" thickBot="1" x14ac:dyDescent="0.4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8" thickBot="1" x14ac:dyDescent="0.4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8" thickBot="1" x14ac:dyDescent="0.4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8" thickBot="1" x14ac:dyDescent="0.45">
      <c r="A66" s="344" t="str">
        <f>A34</f>
        <v>22 - 5 - 2022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SHOWER</v>
      </c>
      <c r="K66" s="346"/>
      <c r="L66" s="348" t="s">
        <v>50</v>
      </c>
      <c r="M66" s="349"/>
      <c r="N66" s="347"/>
      <c r="O66" s="345" t="str">
        <f>O34</f>
        <v>HENDRA</v>
      </c>
      <c r="P66" s="345"/>
      <c r="Q66" s="346"/>
      <c r="R66" s="348" t="s">
        <v>51</v>
      </c>
      <c r="S66" s="347"/>
      <c r="T66" s="336">
        <f>T34</f>
        <v>5</v>
      </c>
      <c r="U66" s="33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7" t="s">
        <v>8</v>
      </c>
      <c r="P68" s="337"/>
      <c r="Q68" s="33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1"/>
      <c r="P69" s="310"/>
      <c r="Q69" s="312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8"/>
      <c r="P70" s="339"/>
      <c r="Q70" s="340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1"/>
      <c r="P71" s="310"/>
      <c r="Q71" s="312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1"/>
      <c r="P72" s="342"/>
      <c r="Q72" s="343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1"/>
      <c r="P73" s="342"/>
      <c r="Q73" s="343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3"/>
      <c r="P74" s="334"/>
      <c r="Q74" s="33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1"/>
      <c r="P75" s="310"/>
      <c r="Q75" s="312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1"/>
      <c r="P76" s="310"/>
      <c r="Q76" s="312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1"/>
      <c r="P77" s="310"/>
      <c r="Q77" s="312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1"/>
      <c r="P78" s="310"/>
      <c r="Q78" s="312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1"/>
      <c r="P79" s="310"/>
      <c r="Q79" s="312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1"/>
      <c r="P80" s="310"/>
      <c r="Q80" s="312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1"/>
      <c r="P81" s="310"/>
      <c r="Q81" s="312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1"/>
      <c r="P82" s="310"/>
      <c r="Q82" s="312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1"/>
      <c r="P83" s="310"/>
      <c r="Q83" s="31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1"/>
      <c r="P84" s="310"/>
      <c r="Q84" s="31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2"/>
      <c r="P85" s="311"/>
      <c r="Q85" s="311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2"/>
      <c r="P86" s="311"/>
      <c r="Q86" s="311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2"/>
      <c r="P87" s="311"/>
      <c r="Q87" s="311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1"/>
      <c r="P89" s="310"/>
      <c r="Q89" s="31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1"/>
      <c r="P92" s="310"/>
      <c r="Q92" s="312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3"/>
      <c r="P93" s="314"/>
      <c r="Q93" s="315"/>
      <c r="R93" s="81"/>
      <c r="S93" s="68"/>
      <c r="T93" s="68"/>
      <c r="U93" s="77"/>
    </row>
    <row r="94" spans="1:21" x14ac:dyDescent="0.4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8" thickBot="1" x14ac:dyDescent="0.4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8" thickBot="1" x14ac:dyDescent="0.4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5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8" workbookViewId="0">
      <selection activeCell="H23" sqref="H23:K23"/>
    </sheetView>
  </sheetViews>
  <sheetFormatPr defaultColWidth="9" defaultRowHeight="17.399999999999999" x14ac:dyDescent="0.4"/>
  <cols>
    <col min="1" max="477" width="2.59765625" style="35" customWidth="1"/>
    <col min="478" max="16384" width="9" style="35"/>
  </cols>
  <sheetData>
    <row r="1" spans="1:30" ht="32.25" customHeight="1" x14ac:dyDescent="0.4">
      <c r="A1" s="626"/>
      <c r="B1" s="626"/>
      <c r="C1" s="626"/>
      <c r="D1" s="626"/>
      <c r="E1" s="625" t="s">
        <v>59</v>
      </c>
      <c r="F1" s="625"/>
      <c r="G1" s="625"/>
      <c r="H1" s="625" t="s">
        <v>60</v>
      </c>
      <c r="I1" s="625"/>
      <c r="J1" s="625"/>
      <c r="K1" s="625"/>
      <c r="L1" s="625" t="s">
        <v>61</v>
      </c>
      <c r="M1" s="625"/>
      <c r="N1" s="625"/>
      <c r="O1" s="625"/>
      <c r="P1" s="625"/>
      <c r="Q1" s="625" t="s">
        <v>62</v>
      </c>
      <c r="R1" s="625"/>
      <c r="S1" s="625"/>
      <c r="T1" s="625"/>
      <c r="U1" s="625"/>
      <c r="V1" s="625" t="s">
        <v>63</v>
      </c>
      <c r="W1" s="625"/>
      <c r="X1" s="625"/>
      <c r="Y1" s="625"/>
      <c r="Z1" s="625"/>
      <c r="AA1" s="625" t="s">
        <v>64</v>
      </c>
      <c r="AB1" s="625"/>
      <c r="AC1" s="625"/>
      <c r="AD1" s="625"/>
    </row>
    <row r="2" spans="1:30" ht="20.100000000000001" customHeight="1" x14ac:dyDescent="0.4">
      <c r="A2" s="706" t="s">
        <v>66</v>
      </c>
      <c r="B2" s="517" t="s">
        <v>57</v>
      </c>
      <c r="C2" s="517"/>
      <c r="D2" s="541"/>
      <c r="E2" s="541">
        <f>MON!N31</f>
        <v>4</v>
      </c>
      <c r="F2" s="541"/>
      <c r="G2" s="541"/>
      <c r="H2" s="510">
        <f>MON!S31</f>
        <v>875</v>
      </c>
      <c r="I2" s="510"/>
      <c r="J2" s="510"/>
      <c r="K2" s="510"/>
      <c r="L2" s="511">
        <f>MON!N32</f>
        <v>0.14837895986349134</v>
      </c>
      <c r="M2" s="511"/>
      <c r="N2" s="511"/>
      <c r="O2" s="511"/>
      <c r="P2" s="511"/>
      <c r="Q2" s="571">
        <f>SUM(E2:G5)</f>
        <v>26</v>
      </c>
      <c r="R2" s="572"/>
      <c r="S2" s="572"/>
      <c r="T2" s="572"/>
      <c r="U2" s="573"/>
      <c r="V2" s="636">
        <f>SUM(H2,H3,H5)</f>
        <v>3050</v>
      </c>
      <c r="W2" s="637"/>
      <c r="X2" s="637"/>
      <c r="Y2" s="637"/>
      <c r="Z2" s="638"/>
      <c r="AA2" s="645">
        <f>V2/Q2</f>
        <v>117.30769230769231</v>
      </c>
      <c r="AB2" s="646"/>
      <c r="AC2" s="646"/>
      <c r="AD2" s="647"/>
    </row>
    <row r="3" spans="1:30" ht="20.100000000000001" customHeight="1" x14ac:dyDescent="0.4">
      <c r="A3" s="707"/>
      <c r="B3" s="517" t="s">
        <v>58</v>
      </c>
      <c r="C3" s="517"/>
      <c r="D3" s="541"/>
      <c r="E3" s="541">
        <f>MON!O31</f>
        <v>15</v>
      </c>
      <c r="F3" s="541"/>
      <c r="G3" s="541"/>
      <c r="H3" s="510">
        <f>MON!S32</f>
        <v>1790</v>
      </c>
      <c r="I3" s="510"/>
      <c r="J3" s="510"/>
      <c r="K3" s="510"/>
      <c r="L3" s="511">
        <f>MON!O32</f>
        <v>0.66399584538912382</v>
      </c>
      <c r="M3" s="511"/>
      <c r="N3" s="511"/>
      <c r="O3" s="511"/>
      <c r="P3" s="511"/>
      <c r="Q3" s="574"/>
      <c r="R3" s="575"/>
      <c r="S3" s="575"/>
      <c r="T3" s="575"/>
      <c r="U3" s="576"/>
      <c r="V3" s="639"/>
      <c r="W3" s="640"/>
      <c r="X3" s="640"/>
      <c r="Y3" s="640"/>
      <c r="Z3" s="641"/>
      <c r="AA3" s="648"/>
      <c r="AB3" s="649"/>
      <c r="AC3" s="649"/>
      <c r="AD3" s="650"/>
    </row>
    <row r="4" spans="1:30" ht="20.100000000000001" customHeight="1" x14ac:dyDescent="0.4">
      <c r="A4" s="707"/>
      <c r="B4" s="517" t="s">
        <v>45</v>
      </c>
      <c r="C4" s="517"/>
      <c r="D4" s="541"/>
      <c r="E4" s="541">
        <f>MON!P31</f>
        <v>3</v>
      </c>
      <c r="F4" s="541"/>
      <c r="G4" s="541"/>
      <c r="H4" s="510">
        <f>MON!K31</f>
        <v>120.8</v>
      </c>
      <c r="I4" s="510"/>
      <c r="J4" s="510"/>
      <c r="K4" s="510"/>
      <c r="L4" s="511">
        <f>MON!P32</f>
        <v>4.4810445878774384E-2</v>
      </c>
      <c r="M4" s="511"/>
      <c r="N4" s="511"/>
      <c r="O4" s="511"/>
      <c r="P4" s="511"/>
      <c r="Q4" s="574"/>
      <c r="R4" s="575"/>
      <c r="S4" s="575"/>
      <c r="T4" s="575"/>
      <c r="U4" s="576"/>
      <c r="V4" s="639"/>
      <c r="W4" s="640"/>
      <c r="X4" s="640"/>
      <c r="Y4" s="640"/>
      <c r="Z4" s="641"/>
      <c r="AA4" s="648"/>
      <c r="AB4" s="649"/>
      <c r="AC4" s="649"/>
      <c r="AD4" s="650"/>
    </row>
    <row r="5" spans="1:30" ht="20.100000000000001" customHeight="1" x14ac:dyDescent="0.4">
      <c r="A5" s="707"/>
      <c r="B5" s="515" t="s">
        <v>65</v>
      </c>
      <c r="C5" s="516"/>
      <c r="D5" s="517"/>
      <c r="E5" s="515">
        <f>MON!Q31</f>
        <v>4</v>
      </c>
      <c r="F5" s="516"/>
      <c r="G5" s="517"/>
      <c r="H5" s="563">
        <f>MON!J31</f>
        <v>385</v>
      </c>
      <c r="I5" s="564"/>
      <c r="J5" s="564"/>
      <c r="K5" s="565"/>
      <c r="L5" s="566">
        <f>MON!Q32</f>
        <v>0.14281474886861042</v>
      </c>
      <c r="M5" s="567"/>
      <c r="N5" s="567"/>
      <c r="O5" s="567"/>
      <c r="P5" s="568"/>
      <c r="Q5" s="577"/>
      <c r="R5" s="578"/>
      <c r="S5" s="578"/>
      <c r="T5" s="578"/>
      <c r="U5" s="579"/>
      <c r="V5" s="642"/>
      <c r="W5" s="643"/>
      <c r="X5" s="643"/>
      <c r="Y5" s="643"/>
      <c r="Z5" s="644"/>
      <c r="AA5" s="651"/>
      <c r="AB5" s="652"/>
      <c r="AC5" s="652"/>
      <c r="AD5" s="653"/>
    </row>
    <row r="6" spans="1:30" ht="20.100000000000001" customHeight="1" x14ac:dyDescent="0.4">
      <c r="A6" s="708"/>
      <c r="B6" s="515" t="s">
        <v>94</v>
      </c>
      <c r="C6" s="516"/>
      <c r="D6" s="517"/>
      <c r="E6" s="515">
        <f>MON!U16</f>
        <v>42.5</v>
      </c>
      <c r="F6" s="516"/>
      <c r="G6" s="517"/>
      <c r="H6" s="563" t="s">
        <v>95</v>
      </c>
      <c r="I6" s="564"/>
      <c r="J6" s="564"/>
      <c r="K6" s="565"/>
      <c r="L6" s="619">
        <f>MON!T2</f>
        <v>5</v>
      </c>
      <c r="M6" s="620"/>
      <c r="N6" s="620"/>
      <c r="O6" s="620"/>
      <c r="P6" s="621"/>
      <c r="Q6" s="622"/>
      <c r="R6" s="623"/>
      <c r="S6" s="623"/>
      <c r="T6" s="623"/>
      <c r="U6" s="624"/>
      <c r="V6" s="727"/>
      <c r="W6" s="728"/>
      <c r="X6" s="728"/>
      <c r="Y6" s="728"/>
      <c r="Z6" s="729"/>
      <c r="AA6" s="730"/>
      <c r="AB6" s="731"/>
      <c r="AC6" s="731"/>
      <c r="AD6" s="732"/>
    </row>
    <row r="7" spans="1:30" ht="20.100000000000001" customHeight="1" x14ac:dyDescent="0.4">
      <c r="A7" s="709" t="s">
        <v>67</v>
      </c>
      <c r="B7" s="533" t="s">
        <v>57</v>
      </c>
      <c r="C7" s="533"/>
      <c r="D7" s="534"/>
      <c r="E7" s="534">
        <f>TUE!N31</f>
        <v>3</v>
      </c>
      <c r="F7" s="534"/>
      <c r="G7" s="534"/>
      <c r="H7" s="512">
        <f>TUE!S31</f>
        <v>130</v>
      </c>
      <c r="I7" s="512"/>
      <c r="J7" s="512"/>
      <c r="K7" s="512"/>
      <c r="L7" s="525">
        <f>TUE!N32</f>
        <v>7.6734192756292202E-2</v>
      </c>
      <c r="M7" s="526"/>
      <c r="N7" s="526"/>
      <c r="O7" s="526"/>
      <c r="P7" s="527"/>
      <c r="Q7" s="601">
        <f>SUM(E7:G10)</f>
        <v>20</v>
      </c>
      <c r="R7" s="602"/>
      <c r="S7" s="602"/>
      <c r="T7" s="602"/>
      <c r="U7" s="603"/>
      <c r="V7" s="627">
        <f>SUM(H7,H8,H10)</f>
        <v>1965</v>
      </c>
      <c r="W7" s="628"/>
      <c r="X7" s="628"/>
      <c r="Y7" s="628"/>
      <c r="Z7" s="629"/>
      <c r="AA7" s="654">
        <f>V7/Q7</f>
        <v>98.25</v>
      </c>
      <c r="AB7" s="655"/>
      <c r="AC7" s="655"/>
      <c r="AD7" s="656"/>
    </row>
    <row r="8" spans="1:30" ht="20.100000000000001" customHeight="1" x14ac:dyDescent="0.4">
      <c r="A8" s="710"/>
      <c r="B8" s="533" t="s">
        <v>58</v>
      </c>
      <c r="C8" s="533"/>
      <c r="D8" s="534"/>
      <c r="E8" s="534">
        <f>TUE!O31</f>
        <v>12</v>
      </c>
      <c r="F8" s="534"/>
      <c r="G8" s="534"/>
      <c r="H8" s="512">
        <f>TUE!S32</f>
        <v>1670</v>
      </c>
      <c r="I8" s="512"/>
      <c r="J8" s="512"/>
      <c r="K8" s="512"/>
      <c r="L8" s="525">
        <f>TUE!O32</f>
        <v>0.70536431033668601</v>
      </c>
      <c r="M8" s="526"/>
      <c r="N8" s="526"/>
      <c r="O8" s="526"/>
      <c r="P8" s="527"/>
      <c r="Q8" s="604"/>
      <c r="R8" s="605"/>
      <c r="S8" s="605"/>
      <c r="T8" s="605"/>
      <c r="U8" s="606"/>
      <c r="V8" s="630"/>
      <c r="W8" s="631"/>
      <c r="X8" s="631"/>
      <c r="Y8" s="631"/>
      <c r="Z8" s="632"/>
      <c r="AA8" s="657"/>
      <c r="AB8" s="658"/>
      <c r="AC8" s="658"/>
      <c r="AD8" s="659"/>
    </row>
    <row r="9" spans="1:30" ht="20.100000000000001" customHeight="1" x14ac:dyDescent="0.4">
      <c r="A9" s="710"/>
      <c r="B9" s="533" t="s">
        <v>45</v>
      </c>
      <c r="C9" s="533"/>
      <c r="D9" s="534"/>
      <c r="E9" s="534">
        <f>TUE!P31</f>
        <v>3</v>
      </c>
      <c r="F9" s="534"/>
      <c r="G9" s="534"/>
      <c r="H9" s="512">
        <f>TUE!K31</f>
        <v>204.16</v>
      </c>
      <c r="I9" s="512"/>
      <c r="J9" s="512"/>
      <c r="K9" s="512"/>
      <c r="L9" s="525">
        <f>TUE!P32</f>
        <v>0.12050809840865088</v>
      </c>
      <c r="M9" s="526"/>
      <c r="N9" s="526"/>
      <c r="O9" s="526"/>
      <c r="P9" s="527"/>
      <c r="Q9" s="604"/>
      <c r="R9" s="605"/>
      <c r="S9" s="605"/>
      <c r="T9" s="605"/>
      <c r="U9" s="606"/>
      <c r="V9" s="630"/>
      <c r="W9" s="631"/>
      <c r="X9" s="631"/>
      <c r="Y9" s="631"/>
      <c r="Z9" s="632"/>
      <c r="AA9" s="657"/>
      <c r="AB9" s="658"/>
      <c r="AC9" s="658"/>
      <c r="AD9" s="659"/>
    </row>
    <row r="10" spans="1:30" ht="20.100000000000001" customHeight="1" x14ac:dyDescent="0.4">
      <c r="A10" s="710"/>
      <c r="B10" s="569" t="s">
        <v>65</v>
      </c>
      <c r="C10" s="570"/>
      <c r="D10" s="533"/>
      <c r="E10" s="569">
        <f>TUE!Q31</f>
        <v>2</v>
      </c>
      <c r="F10" s="570"/>
      <c r="G10" s="533"/>
      <c r="H10" s="542">
        <f>TUE!J31</f>
        <v>165</v>
      </c>
      <c r="I10" s="543"/>
      <c r="J10" s="543"/>
      <c r="K10" s="544"/>
      <c r="L10" s="525">
        <f>TUE!Q32</f>
        <v>9.7393398498370864E-2</v>
      </c>
      <c r="M10" s="526"/>
      <c r="N10" s="526"/>
      <c r="O10" s="526"/>
      <c r="P10" s="527"/>
      <c r="Q10" s="607"/>
      <c r="R10" s="608"/>
      <c r="S10" s="608"/>
      <c r="T10" s="608"/>
      <c r="U10" s="609"/>
      <c r="V10" s="633"/>
      <c r="W10" s="634"/>
      <c r="X10" s="634"/>
      <c r="Y10" s="634"/>
      <c r="Z10" s="635"/>
      <c r="AA10" s="660"/>
      <c r="AB10" s="661"/>
      <c r="AC10" s="661"/>
      <c r="AD10" s="662"/>
    </row>
    <row r="11" spans="1:30" ht="20.100000000000001" customHeight="1" x14ac:dyDescent="0.4">
      <c r="A11" s="711"/>
      <c r="B11" s="569" t="s">
        <v>94</v>
      </c>
      <c r="C11" s="570"/>
      <c r="D11" s="533"/>
      <c r="E11" s="569">
        <f>TUE!U16</f>
        <v>39.250000000000007</v>
      </c>
      <c r="F11" s="570"/>
      <c r="G11" s="533"/>
      <c r="H11" s="542" t="s">
        <v>95</v>
      </c>
      <c r="I11" s="543"/>
      <c r="J11" s="543"/>
      <c r="K11" s="544"/>
      <c r="L11" s="733">
        <f>TUE!T2</f>
        <v>5</v>
      </c>
      <c r="M11" s="734"/>
      <c r="N11" s="734"/>
      <c r="O11" s="734"/>
      <c r="P11" s="735"/>
      <c r="Q11" s="736"/>
      <c r="R11" s="737"/>
      <c r="S11" s="737"/>
      <c r="T11" s="737"/>
      <c r="U11" s="738"/>
      <c r="V11" s="739"/>
      <c r="W11" s="740"/>
      <c r="X11" s="740"/>
      <c r="Y11" s="740"/>
      <c r="Z11" s="741"/>
      <c r="AA11" s="742"/>
      <c r="AB11" s="743"/>
      <c r="AC11" s="743"/>
      <c r="AD11" s="744"/>
    </row>
    <row r="12" spans="1:30" ht="20.100000000000001" customHeight="1" x14ac:dyDescent="0.4">
      <c r="A12" s="712" t="s">
        <v>68</v>
      </c>
      <c r="B12" s="518" t="s">
        <v>57</v>
      </c>
      <c r="C12" s="518"/>
      <c r="D12" s="320"/>
      <c r="E12" s="320">
        <f>WED!N31</f>
        <v>1</v>
      </c>
      <c r="F12" s="320"/>
      <c r="G12" s="320"/>
      <c r="H12" s="519">
        <f>WED!S31</f>
        <v>70</v>
      </c>
      <c r="I12" s="520"/>
      <c r="J12" s="520"/>
      <c r="K12" s="521"/>
      <c r="L12" s="522">
        <f>WED!N32</f>
        <v>2.9872147209941448E-2</v>
      </c>
      <c r="M12" s="523"/>
      <c r="N12" s="523"/>
      <c r="O12" s="523"/>
      <c r="P12" s="524"/>
      <c r="Q12" s="580">
        <f>SUM(E12:G15)</f>
        <v>18</v>
      </c>
      <c r="R12" s="581"/>
      <c r="S12" s="581"/>
      <c r="T12" s="581"/>
      <c r="U12" s="582"/>
      <c r="V12" s="754">
        <f>SUM(H12,H13,H15)</f>
        <v>2935</v>
      </c>
      <c r="W12" s="755"/>
      <c r="X12" s="755"/>
      <c r="Y12" s="755"/>
      <c r="Z12" s="756"/>
      <c r="AA12" s="745">
        <f>V12/Q12</f>
        <v>163.05555555555554</v>
      </c>
      <c r="AB12" s="746"/>
      <c r="AC12" s="746"/>
      <c r="AD12" s="747"/>
    </row>
    <row r="13" spans="1:30" ht="20.100000000000001" customHeight="1" x14ac:dyDescent="0.4">
      <c r="A13" s="713"/>
      <c r="B13" s="518" t="s">
        <v>58</v>
      </c>
      <c r="C13" s="518"/>
      <c r="D13" s="320"/>
      <c r="E13" s="320">
        <f>WED!O31</f>
        <v>14</v>
      </c>
      <c r="F13" s="320"/>
      <c r="G13" s="320"/>
      <c r="H13" s="519">
        <f>WED!S32</f>
        <v>2865</v>
      </c>
      <c r="I13" s="520"/>
      <c r="J13" s="520"/>
      <c r="K13" s="521"/>
      <c r="L13" s="522">
        <f>WED!O32</f>
        <v>0.90256559070037379</v>
      </c>
      <c r="M13" s="523"/>
      <c r="N13" s="523"/>
      <c r="O13" s="523"/>
      <c r="P13" s="524"/>
      <c r="Q13" s="583"/>
      <c r="R13" s="584"/>
      <c r="S13" s="584"/>
      <c r="T13" s="584"/>
      <c r="U13" s="585"/>
      <c r="V13" s="757"/>
      <c r="W13" s="758"/>
      <c r="X13" s="758"/>
      <c r="Y13" s="758"/>
      <c r="Z13" s="759"/>
      <c r="AA13" s="748"/>
      <c r="AB13" s="749"/>
      <c r="AC13" s="749"/>
      <c r="AD13" s="750"/>
    </row>
    <row r="14" spans="1:30" ht="20.100000000000001" customHeight="1" x14ac:dyDescent="0.4">
      <c r="A14" s="713"/>
      <c r="B14" s="518" t="s">
        <v>45</v>
      </c>
      <c r="C14" s="518"/>
      <c r="D14" s="320"/>
      <c r="E14" s="320">
        <f>WED!P31</f>
        <v>3</v>
      </c>
      <c r="F14" s="320"/>
      <c r="G14" s="320"/>
      <c r="H14" s="519">
        <f>WED!K31</f>
        <v>158.32</v>
      </c>
      <c r="I14" s="520"/>
      <c r="J14" s="520"/>
      <c r="K14" s="521"/>
      <c r="L14" s="522">
        <f>WED!P32</f>
        <v>6.7562262089684716E-2</v>
      </c>
      <c r="M14" s="523"/>
      <c r="N14" s="523"/>
      <c r="O14" s="523"/>
      <c r="P14" s="524"/>
      <c r="Q14" s="583"/>
      <c r="R14" s="584"/>
      <c r="S14" s="584"/>
      <c r="T14" s="584"/>
      <c r="U14" s="585"/>
      <c r="V14" s="757"/>
      <c r="W14" s="758"/>
      <c r="X14" s="758"/>
      <c r="Y14" s="758"/>
      <c r="Z14" s="759"/>
      <c r="AA14" s="748"/>
      <c r="AB14" s="749"/>
      <c r="AC14" s="749"/>
      <c r="AD14" s="750"/>
    </row>
    <row r="15" spans="1:30" ht="20.100000000000001" customHeight="1" x14ac:dyDescent="0.4">
      <c r="A15" s="713"/>
      <c r="B15" s="535" t="s">
        <v>65</v>
      </c>
      <c r="C15" s="536"/>
      <c r="D15" s="518"/>
      <c r="E15" s="535">
        <f>WED!Q31</f>
        <v>0</v>
      </c>
      <c r="F15" s="536"/>
      <c r="G15" s="518"/>
      <c r="H15" s="519">
        <f>WED!J31</f>
        <v>0</v>
      </c>
      <c r="I15" s="520"/>
      <c r="J15" s="520"/>
      <c r="K15" s="521"/>
      <c r="L15" s="522">
        <f>WED!Q32</f>
        <v>0</v>
      </c>
      <c r="M15" s="523"/>
      <c r="N15" s="523"/>
      <c r="O15" s="523"/>
      <c r="P15" s="524"/>
      <c r="Q15" s="586"/>
      <c r="R15" s="587"/>
      <c r="S15" s="587"/>
      <c r="T15" s="587"/>
      <c r="U15" s="588"/>
      <c r="V15" s="760"/>
      <c r="W15" s="761"/>
      <c r="X15" s="761"/>
      <c r="Y15" s="761"/>
      <c r="Z15" s="762"/>
      <c r="AA15" s="751"/>
      <c r="AB15" s="752"/>
      <c r="AC15" s="752"/>
      <c r="AD15" s="753"/>
    </row>
    <row r="16" spans="1:30" ht="20.100000000000001" customHeight="1" x14ac:dyDescent="0.4">
      <c r="A16" s="714"/>
      <c r="B16" s="535" t="s">
        <v>94</v>
      </c>
      <c r="C16" s="536"/>
      <c r="D16" s="518"/>
      <c r="E16" s="535">
        <f>WED!U16</f>
        <v>49</v>
      </c>
      <c r="F16" s="536"/>
      <c r="G16" s="518"/>
      <c r="H16" s="519" t="s">
        <v>95</v>
      </c>
      <c r="I16" s="520"/>
      <c r="J16" s="520"/>
      <c r="K16" s="521"/>
      <c r="L16" s="538">
        <f>WED!T2</f>
        <v>6</v>
      </c>
      <c r="M16" s="539"/>
      <c r="N16" s="539"/>
      <c r="O16" s="539"/>
      <c r="P16" s="540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4">
      <c r="A17" s="715" t="s">
        <v>69</v>
      </c>
      <c r="B17" s="482" t="s">
        <v>57</v>
      </c>
      <c r="C17" s="482"/>
      <c r="D17" s="529"/>
      <c r="E17" s="529">
        <f>THU!N31</f>
        <v>1</v>
      </c>
      <c r="F17" s="529"/>
      <c r="G17" s="529"/>
      <c r="H17" s="537">
        <f>THU!S31</f>
        <v>75</v>
      </c>
      <c r="I17" s="537"/>
      <c r="J17" s="537"/>
      <c r="K17" s="537"/>
      <c r="L17" s="528">
        <f>THU!N32</f>
        <v>4.2372881355932202E-2</v>
      </c>
      <c r="M17" s="528"/>
      <c r="N17" s="528"/>
      <c r="O17" s="528"/>
      <c r="P17" s="528"/>
      <c r="Q17" s="610">
        <f>SUM(E17:G20)</f>
        <v>20</v>
      </c>
      <c r="R17" s="611"/>
      <c r="S17" s="611"/>
      <c r="T17" s="611"/>
      <c r="U17" s="612"/>
      <c r="V17" s="554">
        <f>SUM(H17,H18,H20)</f>
        <v>2120</v>
      </c>
      <c r="W17" s="555"/>
      <c r="X17" s="555"/>
      <c r="Y17" s="555"/>
      <c r="Z17" s="556"/>
      <c r="AA17" s="545">
        <f>V17/Q17</f>
        <v>106</v>
      </c>
      <c r="AB17" s="546"/>
      <c r="AC17" s="546"/>
      <c r="AD17" s="547"/>
    </row>
    <row r="18" spans="1:30" ht="20.100000000000001" customHeight="1" x14ac:dyDescent="0.4">
      <c r="A18" s="716"/>
      <c r="B18" s="482" t="s">
        <v>58</v>
      </c>
      <c r="C18" s="482"/>
      <c r="D18" s="529"/>
      <c r="E18" s="529">
        <f>THU!O31</f>
        <v>16</v>
      </c>
      <c r="F18" s="529"/>
      <c r="G18" s="529"/>
      <c r="H18" s="537">
        <f>THU!S32</f>
        <v>1990</v>
      </c>
      <c r="I18" s="537"/>
      <c r="J18" s="537"/>
      <c r="K18" s="537"/>
      <c r="L18" s="528">
        <f>THU!O32</f>
        <v>0.85593220338983056</v>
      </c>
      <c r="M18" s="528"/>
      <c r="N18" s="528"/>
      <c r="O18" s="528"/>
      <c r="P18" s="528"/>
      <c r="Q18" s="613"/>
      <c r="R18" s="614"/>
      <c r="S18" s="614"/>
      <c r="T18" s="614"/>
      <c r="U18" s="615"/>
      <c r="V18" s="557"/>
      <c r="W18" s="558"/>
      <c r="X18" s="558"/>
      <c r="Y18" s="558"/>
      <c r="Z18" s="559"/>
      <c r="AA18" s="548"/>
      <c r="AB18" s="549"/>
      <c r="AC18" s="549"/>
      <c r="AD18" s="550"/>
    </row>
    <row r="19" spans="1:30" ht="20.100000000000001" customHeight="1" x14ac:dyDescent="0.4">
      <c r="A19" s="716"/>
      <c r="B19" s="482" t="s">
        <v>45</v>
      </c>
      <c r="C19" s="482"/>
      <c r="D19" s="529"/>
      <c r="E19" s="529">
        <f>THU!P31</f>
        <v>2</v>
      </c>
      <c r="F19" s="529"/>
      <c r="G19" s="529"/>
      <c r="H19" s="537">
        <f>THU!K31</f>
        <v>125</v>
      </c>
      <c r="I19" s="537"/>
      <c r="J19" s="537"/>
      <c r="K19" s="537"/>
      <c r="L19" s="528">
        <f>THU!P32</f>
        <v>7.0621468926553674E-2</v>
      </c>
      <c r="M19" s="528"/>
      <c r="N19" s="528"/>
      <c r="O19" s="528"/>
      <c r="P19" s="528"/>
      <c r="Q19" s="613"/>
      <c r="R19" s="614"/>
      <c r="S19" s="614"/>
      <c r="T19" s="614"/>
      <c r="U19" s="615"/>
      <c r="V19" s="557"/>
      <c r="W19" s="558"/>
      <c r="X19" s="558"/>
      <c r="Y19" s="558"/>
      <c r="Z19" s="559"/>
      <c r="AA19" s="548"/>
      <c r="AB19" s="549"/>
      <c r="AC19" s="549"/>
      <c r="AD19" s="550"/>
    </row>
    <row r="20" spans="1:30" ht="20.100000000000001" customHeight="1" x14ac:dyDescent="0.4">
      <c r="A20" s="716"/>
      <c r="B20" s="480" t="s">
        <v>65</v>
      </c>
      <c r="C20" s="481"/>
      <c r="D20" s="482"/>
      <c r="E20" s="480">
        <f>THU!Q31</f>
        <v>1</v>
      </c>
      <c r="F20" s="481"/>
      <c r="G20" s="482"/>
      <c r="H20" s="474">
        <f>THU!J31</f>
        <v>55</v>
      </c>
      <c r="I20" s="475"/>
      <c r="J20" s="475"/>
      <c r="K20" s="476"/>
      <c r="L20" s="530">
        <f>THU!Q32</f>
        <v>3.1073446327683617E-2</v>
      </c>
      <c r="M20" s="531"/>
      <c r="N20" s="531"/>
      <c r="O20" s="531"/>
      <c r="P20" s="532"/>
      <c r="Q20" s="616"/>
      <c r="R20" s="617"/>
      <c r="S20" s="617"/>
      <c r="T20" s="617"/>
      <c r="U20" s="618"/>
      <c r="V20" s="560"/>
      <c r="W20" s="561"/>
      <c r="X20" s="561"/>
      <c r="Y20" s="561"/>
      <c r="Z20" s="562"/>
      <c r="AA20" s="551"/>
      <c r="AB20" s="552"/>
      <c r="AC20" s="552"/>
      <c r="AD20" s="553"/>
    </row>
    <row r="21" spans="1:30" ht="20.100000000000001" customHeight="1" x14ac:dyDescent="0.4">
      <c r="A21" s="717"/>
      <c r="B21" s="480" t="s">
        <v>94</v>
      </c>
      <c r="C21" s="481"/>
      <c r="D21" s="482"/>
      <c r="E21" s="480">
        <f>THU!U16</f>
        <v>44</v>
      </c>
      <c r="F21" s="481"/>
      <c r="G21" s="482"/>
      <c r="H21" s="474" t="s">
        <v>95</v>
      </c>
      <c r="I21" s="475"/>
      <c r="J21" s="475"/>
      <c r="K21" s="476"/>
      <c r="L21" s="439">
        <f>THU!T2</f>
        <v>6</v>
      </c>
      <c r="M21" s="440"/>
      <c r="N21" s="440"/>
      <c r="O21" s="440"/>
      <c r="P21" s="441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4">
      <c r="A22" s="718" t="s">
        <v>93</v>
      </c>
      <c r="B22" s="437" t="s">
        <v>57</v>
      </c>
      <c r="C22" s="437"/>
      <c r="D22" s="438"/>
      <c r="E22" s="438">
        <f>FRI!N31</f>
        <v>1</v>
      </c>
      <c r="F22" s="438"/>
      <c r="G22" s="438"/>
      <c r="H22" s="513">
        <f>FRI!S31</f>
        <v>75</v>
      </c>
      <c r="I22" s="513"/>
      <c r="J22" s="513"/>
      <c r="K22" s="513"/>
      <c r="L22" s="514">
        <f>FRI!N32</f>
        <v>0.16129032258064516</v>
      </c>
      <c r="M22" s="514"/>
      <c r="N22" s="514"/>
      <c r="O22" s="514"/>
      <c r="P22" s="514"/>
      <c r="Q22" s="492">
        <f>SUM(E22:G25)</f>
        <v>6</v>
      </c>
      <c r="R22" s="493"/>
      <c r="S22" s="493"/>
      <c r="T22" s="493"/>
      <c r="U22" s="494"/>
      <c r="V22" s="501">
        <f>SUM(H22,H23,H25)</f>
        <v>465</v>
      </c>
      <c r="W22" s="502"/>
      <c r="X22" s="502"/>
      <c r="Y22" s="502"/>
      <c r="Z22" s="503"/>
      <c r="AA22" s="445">
        <f>V22/Q22</f>
        <v>77.5</v>
      </c>
      <c r="AB22" s="446"/>
      <c r="AC22" s="446"/>
      <c r="AD22" s="447"/>
    </row>
    <row r="23" spans="1:30" ht="20.100000000000001" customHeight="1" x14ac:dyDescent="0.4">
      <c r="A23" s="719"/>
      <c r="B23" s="437" t="s">
        <v>58</v>
      </c>
      <c r="C23" s="437"/>
      <c r="D23" s="438"/>
      <c r="E23" s="438">
        <f>FRI!O31</f>
        <v>5</v>
      </c>
      <c r="F23" s="438"/>
      <c r="G23" s="438"/>
      <c r="H23" s="513">
        <f>FRI!S32</f>
        <v>390</v>
      </c>
      <c r="I23" s="513"/>
      <c r="J23" s="513"/>
      <c r="K23" s="513"/>
      <c r="L23" s="514">
        <f>FRI!O32</f>
        <v>0.83870967741935487</v>
      </c>
      <c r="M23" s="514"/>
      <c r="N23" s="514"/>
      <c r="O23" s="514"/>
      <c r="P23" s="514"/>
      <c r="Q23" s="495"/>
      <c r="R23" s="496"/>
      <c r="S23" s="496"/>
      <c r="T23" s="496"/>
      <c r="U23" s="497"/>
      <c r="V23" s="504"/>
      <c r="W23" s="505"/>
      <c r="X23" s="505"/>
      <c r="Y23" s="505"/>
      <c r="Z23" s="506"/>
      <c r="AA23" s="448"/>
      <c r="AB23" s="449"/>
      <c r="AC23" s="449"/>
      <c r="AD23" s="450"/>
    </row>
    <row r="24" spans="1:30" ht="20.100000000000001" customHeight="1" x14ac:dyDescent="0.4">
      <c r="A24" s="719"/>
      <c r="B24" s="437" t="s">
        <v>45</v>
      </c>
      <c r="C24" s="437"/>
      <c r="D24" s="438"/>
      <c r="E24" s="438">
        <f>FRI!P31</f>
        <v>0</v>
      </c>
      <c r="F24" s="438"/>
      <c r="G24" s="438"/>
      <c r="H24" s="513">
        <f>FRI!K31</f>
        <v>0</v>
      </c>
      <c r="I24" s="513"/>
      <c r="J24" s="513"/>
      <c r="K24" s="513"/>
      <c r="L24" s="514">
        <f>FRI!P32</f>
        <v>0</v>
      </c>
      <c r="M24" s="514"/>
      <c r="N24" s="514"/>
      <c r="O24" s="514"/>
      <c r="P24" s="514"/>
      <c r="Q24" s="495"/>
      <c r="R24" s="496"/>
      <c r="S24" s="496"/>
      <c r="T24" s="496"/>
      <c r="U24" s="497"/>
      <c r="V24" s="504"/>
      <c r="W24" s="505"/>
      <c r="X24" s="505"/>
      <c r="Y24" s="505"/>
      <c r="Z24" s="506"/>
      <c r="AA24" s="448"/>
      <c r="AB24" s="449"/>
      <c r="AC24" s="449"/>
      <c r="AD24" s="450"/>
    </row>
    <row r="25" spans="1:30" ht="20.100000000000001" customHeight="1" x14ac:dyDescent="0.4">
      <c r="A25" s="719"/>
      <c r="B25" s="483" t="s">
        <v>65</v>
      </c>
      <c r="C25" s="484"/>
      <c r="D25" s="437"/>
      <c r="E25" s="483">
        <f>FRI!Q31</f>
        <v>0</v>
      </c>
      <c r="F25" s="484"/>
      <c r="G25" s="437"/>
      <c r="H25" s="477">
        <f>FRI!J31</f>
        <v>0</v>
      </c>
      <c r="I25" s="478"/>
      <c r="J25" s="478"/>
      <c r="K25" s="479"/>
      <c r="L25" s="489">
        <f>FRI!Q32</f>
        <v>0</v>
      </c>
      <c r="M25" s="490"/>
      <c r="N25" s="490"/>
      <c r="O25" s="490"/>
      <c r="P25" s="491"/>
      <c r="Q25" s="498"/>
      <c r="R25" s="499"/>
      <c r="S25" s="499"/>
      <c r="T25" s="499"/>
      <c r="U25" s="500"/>
      <c r="V25" s="507"/>
      <c r="W25" s="508"/>
      <c r="X25" s="508"/>
      <c r="Y25" s="508"/>
      <c r="Z25" s="509"/>
      <c r="AA25" s="451"/>
      <c r="AB25" s="452"/>
      <c r="AC25" s="452"/>
      <c r="AD25" s="453"/>
    </row>
    <row r="26" spans="1:30" ht="20.100000000000001" customHeight="1" x14ac:dyDescent="0.4">
      <c r="A26" s="720"/>
      <c r="B26" s="483" t="s">
        <v>94</v>
      </c>
      <c r="C26" s="484"/>
      <c r="D26" s="437"/>
      <c r="E26" s="483">
        <f>FRI!U16</f>
        <v>27.500000000000007</v>
      </c>
      <c r="F26" s="484"/>
      <c r="G26" s="437"/>
      <c r="H26" s="477" t="s">
        <v>95</v>
      </c>
      <c r="I26" s="478"/>
      <c r="J26" s="478"/>
      <c r="K26" s="479"/>
      <c r="L26" s="442">
        <f>FRI!T2</f>
        <v>4</v>
      </c>
      <c r="M26" s="443"/>
      <c r="N26" s="443"/>
      <c r="O26" s="443"/>
      <c r="P26" s="444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4">
      <c r="A27" s="721" t="s">
        <v>70</v>
      </c>
      <c r="B27" s="487" t="s">
        <v>57</v>
      </c>
      <c r="C27" s="487"/>
      <c r="D27" s="472"/>
      <c r="E27" s="472">
        <f>SAT!N31</f>
        <v>1</v>
      </c>
      <c r="F27" s="472"/>
      <c r="G27" s="472"/>
      <c r="H27" s="473">
        <f>SAT!S31</f>
        <v>75</v>
      </c>
      <c r="I27" s="473"/>
      <c r="J27" s="473"/>
      <c r="K27" s="473"/>
      <c r="L27" s="488">
        <f>SAT!N32</f>
        <v>3.8249303862669698E-2</v>
      </c>
      <c r="M27" s="488"/>
      <c r="N27" s="488"/>
      <c r="O27" s="488"/>
      <c r="P27" s="488"/>
      <c r="Q27" s="589">
        <f>SUM(E27:G30)</f>
        <v>20</v>
      </c>
      <c r="R27" s="590"/>
      <c r="S27" s="590"/>
      <c r="T27" s="590"/>
      <c r="U27" s="591"/>
      <c r="V27" s="463">
        <f>SUM(H27,H28,H30)</f>
        <v>2115</v>
      </c>
      <c r="W27" s="464"/>
      <c r="X27" s="464"/>
      <c r="Y27" s="464"/>
      <c r="Z27" s="465"/>
      <c r="AA27" s="454">
        <f>V27/Q27</f>
        <v>105.75</v>
      </c>
      <c r="AB27" s="455"/>
      <c r="AC27" s="455"/>
      <c r="AD27" s="456"/>
    </row>
    <row r="28" spans="1:30" ht="20.100000000000001" customHeight="1" x14ac:dyDescent="0.4">
      <c r="A28" s="722"/>
      <c r="B28" s="487" t="s">
        <v>58</v>
      </c>
      <c r="C28" s="487"/>
      <c r="D28" s="472"/>
      <c r="E28" s="472">
        <f>SAT!O31</f>
        <v>15</v>
      </c>
      <c r="F28" s="472"/>
      <c r="G28" s="472"/>
      <c r="H28" s="473">
        <f>SAT!S32</f>
        <v>1985</v>
      </c>
      <c r="I28" s="473"/>
      <c r="J28" s="473"/>
      <c r="K28" s="473"/>
      <c r="L28" s="488">
        <f>SAT!O32</f>
        <v>0.82108505625197625</v>
      </c>
      <c r="M28" s="488"/>
      <c r="N28" s="488"/>
      <c r="O28" s="488"/>
      <c r="P28" s="488"/>
      <c r="Q28" s="592"/>
      <c r="R28" s="593"/>
      <c r="S28" s="593"/>
      <c r="T28" s="593"/>
      <c r="U28" s="594"/>
      <c r="V28" s="466"/>
      <c r="W28" s="467"/>
      <c r="X28" s="467"/>
      <c r="Y28" s="467"/>
      <c r="Z28" s="468"/>
      <c r="AA28" s="457"/>
      <c r="AB28" s="458"/>
      <c r="AC28" s="458"/>
      <c r="AD28" s="459"/>
    </row>
    <row r="29" spans="1:30" ht="20.100000000000001" customHeight="1" x14ac:dyDescent="0.4">
      <c r="A29" s="722"/>
      <c r="B29" s="487" t="s">
        <v>45</v>
      </c>
      <c r="C29" s="487"/>
      <c r="D29" s="472"/>
      <c r="E29" s="472">
        <f>SAT!P31</f>
        <v>3</v>
      </c>
      <c r="F29" s="472"/>
      <c r="G29" s="472"/>
      <c r="H29" s="473">
        <f>SAT!K31</f>
        <v>220.82</v>
      </c>
      <c r="I29" s="473"/>
      <c r="J29" s="473"/>
      <c r="K29" s="473"/>
      <c r="L29" s="488">
        <f>SAT!P32</f>
        <v>0.11261615038606297</v>
      </c>
      <c r="M29" s="488"/>
      <c r="N29" s="488"/>
      <c r="O29" s="488"/>
      <c r="P29" s="488"/>
      <c r="Q29" s="592"/>
      <c r="R29" s="593"/>
      <c r="S29" s="593"/>
      <c r="T29" s="593"/>
      <c r="U29" s="594"/>
      <c r="V29" s="466"/>
      <c r="W29" s="467"/>
      <c r="X29" s="467"/>
      <c r="Y29" s="467"/>
      <c r="Z29" s="468"/>
      <c r="AA29" s="457"/>
      <c r="AB29" s="458"/>
      <c r="AC29" s="458"/>
      <c r="AD29" s="459"/>
    </row>
    <row r="30" spans="1:30" ht="20.100000000000001" customHeight="1" x14ac:dyDescent="0.4">
      <c r="A30" s="722"/>
      <c r="B30" s="485" t="s">
        <v>65</v>
      </c>
      <c r="C30" s="486"/>
      <c r="D30" s="487"/>
      <c r="E30" s="485">
        <f>SAT!Q31</f>
        <v>1</v>
      </c>
      <c r="F30" s="486"/>
      <c r="G30" s="487"/>
      <c r="H30" s="766">
        <f>SAT!J31</f>
        <v>55</v>
      </c>
      <c r="I30" s="767"/>
      <c r="J30" s="767"/>
      <c r="K30" s="768"/>
      <c r="L30" s="598">
        <f>SAT!Q32</f>
        <v>2.8049489499291112E-2</v>
      </c>
      <c r="M30" s="599"/>
      <c r="N30" s="599"/>
      <c r="O30" s="599"/>
      <c r="P30" s="600"/>
      <c r="Q30" s="595"/>
      <c r="R30" s="596"/>
      <c r="S30" s="596"/>
      <c r="T30" s="596"/>
      <c r="U30" s="597"/>
      <c r="V30" s="469"/>
      <c r="W30" s="470"/>
      <c r="X30" s="470"/>
      <c r="Y30" s="470"/>
      <c r="Z30" s="471"/>
      <c r="AA30" s="460"/>
      <c r="AB30" s="461"/>
      <c r="AC30" s="461"/>
      <c r="AD30" s="462"/>
    </row>
    <row r="31" spans="1:30" ht="20.100000000000001" customHeight="1" x14ac:dyDescent="0.4">
      <c r="A31" s="723"/>
      <c r="B31" s="485" t="s">
        <v>94</v>
      </c>
      <c r="C31" s="486"/>
      <c r="D31" s="487"/>
      <c r="E31" s="485">
        <f>SAT!U16</f>
        <v>42.75</v>
      </c>
      <c r="F31" s="486"/>
      <c r="G31" s="487"/>
      <c r="H31" s="766" t="s">
        <v>95</v>
      </c>
      <c r="I31" s="767"/>
      <c r="J31" s="767"/>
      <c r="K31" s="768"/>
      <c r="L31" s="763">
        <f>SAT!T2</f>
        <v>5</v>
      </c>
      <c r="M31" s="764"/>
      <c r="N31" s="764"/>
      <c r="O31" s="764"/>
      <c r="P31" s="765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4">
      <c r="A32" s="724" t="s">
        <v>71</v>
      </c>
      <c r="B32" s="408" t="s">
        <v>57</v>
      </c>
      <c r="C32" s="409"/>
      <c r="D32" s="409"/>
      <c r="E32" s="409">
        <f>SUN!N31</f>
        <v>1</v>
      </c>
      <c r="F32" s="409"/>
      <c r="G32" s="409"/>
      <c r="H32" s="434">
        <f>SUN!S31</f>
        <v>75</v>
      </c>
      <c r="I32" s="434"/>
      <c r="J32" s="434"/>
      <c r="K32" s="434"/>
      <c r="L32" s="435">
        <f>SUN!N32</f>
        <v>7.2115384615384609E-2</v>
      </c>
      <c r="M32" s="435"/>
      <c r="N32" s="435"/>
      <c r="O32" s="435"/>
      <c r="P32" s="435"/>
      <c r="Q32" s="436">
        <f>SUM(E32:G35)</f>
        <v>10</v>
      </c>
      <c r="R32" s="436"/>
      <c r="S32" s="436"/>
      <c r="T32" s="436"/>
      <c r="U32" s="436"/>
      <c r="V32" s="407">
        <f>SUM(H32,H33,H35)</f>
        <v>1040</v>
      </c>
      <c r="W32" s="407"/>
      <c r="X32" s="407"/>
      <c r="Y32" s="407"/>
      <c r="Z32" s="407"/>
      <c r="AA32" s="426">
        <f>V32/Q32</f>
        <v>104</v>
      </c>
      <c r="AB32" s="427"/>
      <c r="AC32" s="427"/>
      <c r="AD32" s="427"/>
    </row>
    <row r="33" spans="1:30" ht="20.100000000000001" customHeight="1" x14ac:dyDescent="0.4">
      <c r="A33" s="725"/>
      <c r="B33" s="408" t="s">
        <v>58</v>
      </c>
      <c r="C33" s="409"/>
      <c r="D33" s="409"/>
      <c r="E33" s="409">
        <f>SUN!O31</f>
        <v>9</v>
      </c>
      <c r="F33" s="409"/>
      <c r="G33" s="409"/>
      <c r="H33" s="434">
        <f>SUN!S32</f>
        <v>965</v>
      </c>
      <c r="I33" s="434"/>
      <c r="J33" s="434"/>
      <c r="K33" s="434"/>
      <c r="L33" s="435">
        <f>SUN!O32</f>
        <v>0.92788461538461542</v>
      </c>
      <c r="M33" s="435"/>
      <c r="N33" s="435"/>
      <c r="O33" s="435"/>
      <c r="P33" s="435"/>
      <c r="Q33" s="436"/>
      <c r="R33" s="436"/>
      <c r="S33" s="436"/>
      <c r="T33" s="436"/>
      <c r="U33" s="436"/>
      <c r="V33" s="407"/>
      <c r="W33" s="407"/>
      <c r="X33" s="407"/>
      <c r="Y33" s="407"/>
      <c r="Z33" s="407"/>
      <c r="AA33" s="427"/>
      <c r="AB33" s="427"/>
      <c r="AC33" s="427"/>
      <c r="AD33" s="427"/>
    </row>
    <row r="34" spans="1:30" ht="20.100000000000001" customHeight="1" x14ac:dyDescent="0.4">
      <c r="A34" s="725"/>
      <c r="B34" s="408" t="s">
        <v>45</v>
      </c>
      <c r="C34" s="409"/>
      <c r="D34" s="409"/>
      <c r="E34" s="409">
        <f>SUN!P31</f>
        <v>0</v>
      </c>
      <c r="F34" s="409"/>
      <c r="G34" s="409"/>
      <c r="H34" s="434">
        <f>SUN!K31</f>
        <v>0</v>
      </c>
      <c r="I34" s="434"/>
      <c r="J34" s="434"/>
      <c r="K34" s="434"/>
      <c r="L34" s="435">
        <f>SUN!P32</f>
        <v>0</v>
      </c>
      <c r="M34" s="435"/>
      <c r="N34" s="435"/>
      <c r="O34" s="435"/>
      <c r="P34" s="435"/>
      <c r="Q34" s="436"/>
      <c r="R34" s="436"/>
      <c r="S34" s="436"/>
      <c r="T34" s="436"/>
      <c r="U34" s="436"/>
      <c r="V34" s="407"/>
      <c r="W34" s="407"/>
      <c r="X34" s="407"/>
      <c r="Y34" s="407"/>
      <c r="Z34" s="407"/>
      <c r="AA34" s="427"/>
      <c r="AB34" s="427"/>
      <c r="AC34" s="427"/>
      <c r="AD34" s="427"/>
    </row>
    <row r="35" spans="1:30" ht="20.100000000000001" customHeight="1" x14ac:dyDescent="0.4">
      <c r="A35" s="725"/>
      <c r="B35" s="408" t="s">
        <v>65</v>
      </c>
      <c r="C35" s="409"/>
      <c r="D35" s="409"/>
      <c r="E35" s="409">
        <f>SUN!Q31</f>
        <v>0</v>
      </c>
      <c r="F35" s="409"/>
      <c r="G35" s="409"/>
      <c r="H35" s="434">
        <f>SUN!J31</f>
        <v>0</v>
      </c>
      <c r="I35" s="434"/>
      <c r="J35" s="434"/>
      <c r="K35" s="434"/>
      <c r="L35" s="435">
        <f>SUN!Q32</f>
        <v>0</v>
      </c>
      <c r="M35" s="435"/>
      <c r="N35" s="435"/>
      <c r="O35" s="435"/>
      <c r="P35" s="435"/>
      <c r="Q35" s="436"/>
      <c r="R35" s="436"/>
      <c r="S35" s="436"/>
      <c r="T35" s="436"/>
      <c r="U35" s="436"/>
      <c r="V35" s="407"/>
      <c r="W35" s="407"/>
      <c r="X35" s="407"/>
      <c r="Y35" s="407"/>
      <c r="Z35" s="407"/>
      <c r="AA35" s="427"/>
      <c r="AB35" s="427"/>
      <c r="AC35" s="427"/>
      <c r="AD35" s="427"/>
    </row>
    <row r="36" spans="1:30" ht="20.100000000000001" customHeight="1" thickBot="1" x14ac:dyDescent="0.45">
      <c r="A36" s="726"/>
      <c r="B36" s="412" t="s">
        <v>94</v>
      </c>
      <c r="C36" s="413"/>
      <c r="D36" s="414"/>
      <c r="E36" s="412">
        <f>SUN!U16</f>
        <v>31.75</v>
      </c>
      <c r="F36" s="413"/>
      <c r="G36" s="414"/>
      <c r="H36" s="412" t="s">
        <v>95</v>
      </c>
      <c r="I36" s="413"/>
      <c r="J36" s="413"/>
      <c r="K36" s="414"/>
      <c r="L36" s="428">
        <f>SUN!T2</f>
        <v>5</v>
      </c>
      <c r="M36" s="429"/>
      <c r="N36" s="429"/>
      <c r="O36" s="429"/>
      <c r="P36" s="430"/>
      <c r="Q36" s="431"/>
      <c r="R36" s="432"/>
      <c r="S36" s="432"/>
      <c r="T36" s="432"/>
      <c r="U36" s="433"/>
      <c r="V36" s="415"/>
      <c r="W36" s="416"/>
      <c r="X36" s="416"/>
      <c r="Y36" s="416"/>
      <c r="Z36" s="417"/>
      <c r="AA36" s="418"/>
      <c r="AB36" s="419"/>
      <c r="AC36" s="419"/>
      <c r="AD36" s="420"/>
    </row>
    <row r="37" spans="1:30" ht="16.5" customHeight="1" x14ac:dyDescent="0.4">
      <c r="A37" s="398" t="s">
        <v>72</v>
      </c>
      <c r="B37" s="399"/>
      <c r="C37" s="399"/>
      <c r="D37" s="399"/>
      <c r="E37" s="399" t="s">
        <v>73</v>
      </c>
      <c r="F37" s="399"/>
      <c r="G37" s="399"/>
      <c r="H37" s="399"/>
      <c r="I37" s="399"/>
      <c r="J37" s="399"/>
      <c r="K37" s="399" t="s">
        <v>74</v>
      </c>
      <c r="L37" s="399"/>
      <c r="M37" s="399"/>
      <c r="N37" s="399"/>
      <c r="O37" s="399" t="s">
        <v>65</v>
      </c>
      <c r="P37" s="399"/>
      <c r="Q37" s="399"/>
      <c r="R37" s="399"/>
      <c r="S37" s="399"/>
      <c r="T37" s="399" t="s">
        <v>75</v>
      </c>
      <c r="U37" s="399"/>
      <c r="V37" s="399"/>
      <c r="W37" s="399"/>
      <c r="X37" s="399"/>
      <c r="Y37" s="399" t="s">
        <v>76</v>
      </c>
      <c r="Z37" s="399"/>
      <c r="AA37" s="399"/>
      <c r="AB37" s="399"/>
      <c r="AC37" s="399"/>
      <c r="AD37" s="410"/>
    </row>
    <row r="38" spans="1:30" ht="16.5" customHeight="1" x14ac:dyDescent="0.4">
      <c r="A38" s="400"/>
      <c r="B38" s="401"/>
      <c r="C38" s="401"/>
      <c r="D38" s="401"/>
      <c r="E38" s="401"/>
      <c r="F38" s="401"/>
      <c r="G38" s="401"/>
      <c r="H38" s="401"/>
      <c r="I38" s="401"/>
      <c r="J38" s="401"/>
      <c r="K38" s="401"/>
      <c r="L38" s="401"/>
      <c r="M38" s="401"/>
      <c r="N38" s="401"/>
      <c r="O38" s="401"/>
      <c r="P38" s="401"/>
      <c r="Q38" s="401"/>
      <c r="R38" s="401"/>
      <c r="S38" s="401"/>
      <c r="T38" s="401"/>
      <c r="U38" s="401"/>
      <c r="V38" s="401"/>
      <c r="W38" s="401"/>
      <c r="X38" s="401"/>
      <c r="Y38" s="401"/>
      <c r="Z38" s="401"/>
      <c r="AA38" s="401"/>
      <c r="AB38" s="401"/>
      <c r="AC38" s="401"/>
      <c r="AD38" s="411"/>
    </row>
    <row r="39" spans="1:30" ht="16.5" customHeight="1" x14ac:dyDescent="0.4">
      <c r="A39" s="402">
        <f>SUM(Q2:U35)</f>
        <v>120</v>
      </c>
      <c r="B39" s="403"/>
      <c r="C39" s="403"/>
      <c r="D39" s="403"/>
      <c r="E39" s="406">
        <f>SUM(V2:Z35)</f>
        <v>13690</v>
      </c>
      <c r="F39" s="403"/>
      <c r="G39" s="403"/>
      <c r="H39" s="403"/>
      <c r="I39" s="403"/>
      <c r="J39" s="403"/>
      <c r="K39" s="406">
        <f>E39/A39</f>
        <v>114.08333333333333</v>
      </c>
      <c r="L39" s="403"/>
      <c r="M39" s="403"/>
      <c r="N39" s="403"/>
      <c r="O39" s="403">
        <f>SUM(MON:SUN!Q31)</f>
        <v>8</v>
      </c>
      <c r="P39" s="403"/>
      <c r="Q39" s="403"/>
      <c r="R39" s="403"/>
      <c r="S39" s="403"/>
      <c r="T39" s="403">
        <f>SUM(MON:SUN!P31)</f>
        <v>14</v>
      </c>
      <c r="U39" s="403"/>
      <c r="V39" s="403"/>
      <c r="W39" s="403"/>
      <c r="X39" s="403"/>
      <c r="Y39" s="403">
        <f>SUM(MON:SUN!S19)</f>
        <v>5</v>
      </c>
      <c r="Z39" s="403"/>
      <c r="AA39" s="403"/>
      <c r="AB39" s="403"/>
      <c r="AC39" s="403"/>
      <c r="AD39" s="423"/>
    </row>
    <row r="40" spans="1:30" ht="16.5" customHeight="1" x14ac:dyDescent="0.4">
      <c r="A40" s="402"/>
      <c r="B40" s="403"/>
      <c r="C40" s="403"/>
      <c r="D40" s="403"/>
      <c r="E40" s="403"/>
      <c r="F40" s="403"/>
      <c r="G40" s="403"/>
      <c r="H40" s="403"/>
      <c r="I40" s="403"/>
      <c r="J40" s="403"/>
      <c r="K40" s="403"/>
      <c r="L40" s="403"/>
      <c r="M40" s="403"/>
      <c r="N40" s="403"/>
      <c r="O40" s="403"/>
      <c r="P40" s="403"/>
      <c r="Q40" s="403"/>
      <c r="R40" s="403"/>
      <c r="S40" s="403"/>
      <c r="T40" s="403"/>
      <c r="U40" s="403"/>
      <c r="V40" s="403"/>
      <c r="W40" s="403"/>
      <c r="X40" s="403"/>
      <c r="Y40" s="403"/>
      <c r="Z40" s="403"/>
      <c r="AA40" s="403"/>
      <c r="AB40" s="403"/>
      <c r="AC40" s="403"/>
      <c r="AD40" s="423"/>
    </row>
    <row r="41" spans="1:30" ht="16.5" customHeight="1" x14ac:dyDescent="0.4">
      <c r="A41" s="402"/>
      <c r="B41" s="403"/>
      <c r="C41" s="403"/>
      <c r="D41" s="403"/>
      <c r="E41" s="403"/>
      <c r="F41" s="403"/>
      <c r="G41" s="403"/>
      <c r="H41" s="403"/>
      <c r="I41" s="403"/>
      <c r="J41" s="403"/>
      <c r="K41" s="403"/>
      <c r="L41" s="403"/>
      <c r="M41" s="403"/>
      <c r="N41" s="403"/>
      <c r="O41" s="421">
        <f>SUM(MON:SUN!J31)</f>
        <v>660</v>
      </c>
      <c r="P41" s="421"/>
      <c r="Q41" s="421"/>
      <c r="R41" s="421"/>
      <c r="S41" s="421"/>
      <c r="T41" s="421">
        <f>SUM(MON:SUN!K31)</f>
        <v>829.09999999999991</v>
      </c>
      <c r="U41" s="421"/>
      <c r="V41" s="421"/>
      <c r="W41" s="421"/>
      <c r="X41" s="421"/>
      <c r="Y41" s="421">
        <f>SUM(MON:SUN!T19)</f>
        <v>2550</v>
      </c>
      <c r="Z41" s="421"/>
      <c r="AA41" s="421"/>
      <c r="AB41" s="421"/>
      <c r="AC41" s="421"/>
      <c r="AD41" s="424"/>
    </row>
    <row r="42" spans="1:30" ht="16.5" customHeight="1" thickBot="1" x14ac:dyDescent="0.45">
      <c r="A42" s="404"/>
      <c r="B42" s="405"/>
      <c r="C42" s="405"/>
      <c r="D42" s="405"/>
      <c r="E42" s="405"/>
      <c r="F42" s="405"/>
      <c r="G42" s="405"/>
      <c r="H42" s="405"/>
      <c r="I42" s="405"/>
      <c r="J42" s="405"/>
      <c r="K42" s="405"/>
      <c r="L42" s="405"/>
      <c r="M42" s="405"/>
      <c r="N42" s="405"/>
      <c r="O42" s="422"/>
      <c r="P42" s="422"/>
      <c r="Q42" s="422"/>
      <c r="R42" s="422"/>
      <c r="S42" s="422"/>
      <c r="T42" s="422"/>
      <c r="U42" s="422"/>
      <c r="V42" s="422"/>
      <c r="W42" s="422"/>
      <c r="X42" s="422"/>
      <c r="Y42" s="422"/>
      <c r="Z42" s="422"/>
      <c r="AA42" s="422"/>
      <c r="AB42" s="422"/>
      <c r="AC42" s="422"/>
      <c r="AD42" s="425"/>
    </row>
    <row r="43" spans="1:30" ht="17.399999999999999" customHeight="1" x14ac:dyDescent="0.4">
      <c r="A43" s="681" t="s">
        <v>84</v>
      </c>
      <c r="B43" s="682"/>
      <c r="C43" s="682"/>
      <c r="D43" s="682"/>
      <c r="E43" s="683"/>
      <c r="F43" s="681" t="s">
        <v>85</v>
      </c>
      <c r="G43" s="682"/>
      <c r="H43" s="682"/>
      <c r="I43" s="682"/>
      <c r="J43" s="683"/>
      <c r="K43" s="681" t="s">
        <v>86</v>
      </c>
      <c r="L43" s="682"/>
      <c r="M43" s="682"/>
      <c r="N43" s="682"/>
      <c r="O43" s="683"/>
      <c r="P43" s="681" t="s">
        <v>87</v>
      </c>
      <c r="Q43" s="682"/>
      <c r="R43" s="682"/>
      <c r="S43" s="682"/>
      <c r="T43" s="683"/>
      <c r="U43" s="681" t="s">
        <v>90</v>
      </c>
      <c r="V43" s="682"/>
      <c r="W43" s="682"/>
      <c r="X43" s="682"/>
      <c r="Y43" s="683"/>
      <c r="Z43" s="687" t="s">
        <v>95</v>
      </c>
      <c r="AA43" s="688"/>
      <c r="AB43" s="688"/>
      <c r="AC43" s="688"/>
      <c r="AD43" s="689"/>
    </row>
    <row r="44" spans="1:30" ht="17.399999999999999" customHeight="1" x14ac:dyDescent="0.4">
      <c r="A44" s="684"/>
      <c r="B44" s="685"/>
      <c r="C44" s="685"/>
      <c r="D44" s="685"/>
      <c r="E44" s="686"/>
      <c r="F44" s="684"/>
      <c r="G44" s="685"/>
      <c r="H44" s="685"/>
      <c r="I44" s="685"/>
      <c r="J44" s="686"/>
      <c r="K44" s="684"/>
      <c r="L44" s="685"/>
      <c r="M44" s="685"/>
      <c r="N44" s="685"/>
      <c r="O44" s="686"/>
      <c r="P44" s="684"/>
      <c r="Q44" s="685"/>
      <c r="R44" s="685"/>
      <c r="S44" s="685"/>
      <c r="T44" s="686"/>
      <c r="U44" s="684"/>
      <c r="V44" s="685"/>
      <c r="W44" s="685"/>
      <c r="X44" s="685"/>
      <c r="Y44" s="686"/>
      <c r="Z44" s="690"/>
      <c r="AA44" s="691"/>
      <c r="AB44" s="691"/>
      <c r="AC44" s="691"/>
      <c r="AD44" s="692"/>
    </row>
    <row r="45" spans="1:30" x14ac:dyDescent="0.4">
      <c r="A45" s="693">
        <f>SUM(H2,H7,H12,H17,H22,H27,H32)</f>
        <v>1375</v>
      </c>
      <c r="B45" s="694"/>
      <c r="C45" s="694"/>
      <c r="D45" s="694"/>
      <c r="E45" s="695"/>
      <c r="F45" s="693">
        <f>SUM(,H3,H8,H13,H18,H23,H28,H33)</f>
        <v>11655</v>
      </c>
      <c r="G45" s="694"/>
      <c r="H45" s="694"/>
      <c r="I45" s="694"/>
      <c r="J45" s="695"/>
      <c r="K45" s="693">
        <f>SUM(H5,H10,H15,H20,H25,H30,H35)</f>
        <v>660</v>
      </c>
      <c r="L45" s="694"/>
      <c r="M45" s="694"/>
      <c r="N45" s="694"/>
      <c r="O45" s="695"/>
      <c r="P45" s="693">
        <f>SUM(H4,H9,H14,H19,H24,H29,H34)</f>
        <v>829.09999999999991</v>
      </c>
      <c r="Q45" s="694"/>
      <c r="R45" s="694"/>
      <c r="S45" s="694"/>
      <c r="T45" s="695"/>
      <c r="U45" s="702">
        <f>SUM(E6,E11,E16,E21,E26,E31,E36)</f>
        <v>276.75</v>
      </c>
      <c r="V45" s="694"/>
      <c r="W45" s="694"/>
      <c r="X45" s="694"/>
      <c r="Y45" s="695"/>
      <c r="Z45" s="702">
        <f>SUM(L6,L11,L16,L21,L26,L31,L36)</f>
        <v>36</v>
      </c>
      <c r="AA45" s="694"/>
      <c r="AB45" s="694"/>
      <c r="AC45" s="694"/>
      <c r="AD45" s="703"/>
    </row>
    <row r="46" spans="1:30" x14ac:dyDescent="0.4">
      <c r="A46" s="696"/>
      <c r="B46" s="697"/>
      <c r="C46" s="697"/>
      <c r="D46" s="697"/>
      <c r="E46" s="698"/>
      <c r="F46" s="696"/>
      <c r="G46" s="697"/>
      <c r="H46" s="697"/>
      <c r="I46" s="697"/>
      <c r="J46" s="698"/>
      <c r="K46" s="696"/>
      <c r="L46" s="697"/>
      <c r="M46" s="697"/>
      <c r="N46" s="697"/>
      <c r="O46" s="698"/>
      <c r="P46" s="696"/>
      <c r="Q46" s="697"/>
      <c r="R46" s="697"/>
      <c r="S46" s="697"/>
      <c r="T46" s="698"/>
      <c r="U46" s="696"/>
      <c r="V46" s="697"/>
      <c r="W46" s="697"/>
      <c r="X46" s="697"/>
      <c r="Y46" s="698"/>
      <c r="Z46" s="696"/>
      <c r="AA46" s="697"/>
      <c r="AB46" s="697"/>
      <c r="AC46" s="697"/>
      <c r="AD46" s="704"/>
    </row>
    <row r="47" spans="1:30" x14ac:dyDescent="0.4">
      <c r="A47" s="696"/>
      <c r="B47" s="697"/>
      <c r="C47" s="697"/>
      <c r="D47" s="697"/>
      <c r="E47" s="698"/>
      <c r="F47" s="696"/>
      <c r="G47" s="697"/>
      <c r="H47" s="697"/>
      <c r="I47" s="697"/>
      <c r="J47" s="698"/>
      <c r="K47" s="696"/>
      <c r="L47" s="697"/>
      <c r="M47" s="697"/>
      <c r="N47" s="697"/>
      <c r="O47" s="698"/>
      <c r="P47" s="696"/>
      <c r="Q47" s="697"/>
      <c r="R47" s="697"/>
      <c r="S47" s="697"/>
      <c r="T47" s="698"/>
      <c r="U47" s="696"/>
      <c r="V47" s="697"/>
      <c r="W47" s="697"/>
      <c r="X47" s="697"/>
      <c r="Y47" s="698"/>
      <c r="Z47" s="696"/>
      <c r="AA47" s="697"/>
      <c r="AB47" s="697"/>
      <c r="AC47" s="697"/>
      <c r="AD47" s="704"/>
    </row>
    <row r="48" spans="1:30" ht="18" thickBot="1" x14ac:dyDescent="0.45">
      <c r="A48" s="699"/>
      <c r="B48" s="700"/>
      <c r="C48" s="700"/>
      <c r="D48" s="700"/>
      <c r="E48" s="701"/>
      <c r="F48" s="699"/>
      <c r="G48" s="700"/>
      <c r="H48" s="700"/>
      <c r="I48" s="700"/>
      <c r="J48" s="701"/>
      <c r="K48" s="699"/>
      <c r="L48" s="700"/>
      <c r="M48" s="700"/>
      <c r="N48" s="700"/>
      <c r="O48" s="701"/>
      <c r="P48" s="699"/>
      <c r="Q48" s="700"/>
      <c r="R48" s="700"/>
      <c r="S48" s="700"/>
      <c r="T48" s="701"/>
      <c r="U48" s="699"/>
      <c r="V48" s="700"/>
      <c r="W48" s="700"/>
      <c r="X48" s="700"/>
      <c r="Y48" s="701"/>
      <c r="Z48" s="699"/>
      <c r="AA48" s="700"/>
      <c r="AB48" s="700"/>
      <c r="AC48" s="700"/>
      <c r="AD48" s="705"/>
    </row>
    <row r="49" spans="1:30" ht="17.399999999999999" customHeight="1" x14ac:dyDescent="0.4">
      <c r="A49" s="663">
        <f>A45/E39</f>
        <v>0.10043827611395179</v>
      </c>
      <c r="B49" s="664"/>
      <c r="C49" s="664"/>
      <c r="D49" s="664"/>
      <c r="E49" s="665"/>
      <c r="F49" s="663">
        <f>F45/E39</f>
        <v>0.85135135135135132</v>
      </c>
      <c r="G49" s="664"/>
      <c r="H49" s="664"/>
      <c r="I49" s="664"/>
      <c r="J49" s="665"/>
      <c r="K49" s="663">
        <f>K45/E39</f>
        <v>4.8210372534696858E-2</v>
      </c>
      <c r="L49" s="664"/>
      <c r="M49" s="664"/>
      <c r="N49" s="664"/>
      <c r="O49" s="665"/>
      <c r="P49" s="663">
        <f>P45/E39</f>
        <v>6.0562454346238123E-2</v>
      </c>
      <c r="Q49" s="664"/>
      <c r="R49" s="664"/>
      <c r="S49" s="664"/>
      <c r="T49" s="665"/>
      <c r="U49" s="672">
        <f>U45/7</f>
        <v>39.535714285714285</v>
      </c>
      <c r="V49" s="673"/>
      <c r="W49" s="673"/>
      <c r="X49" s="673"/>
      <c r="Y49" s="674"/>
      <c r="Z49" s="672">
        <f>U45/Z45</f>
        <v>7.6875</v>
      </c>
      <c r="AA49" s="673"/>
      <c r="AB49" s="673"/>
      <c r="AC49" s="673"/>
      <c r="AD49" s="674"/>
    </row>
    <row r="50" spans="1:30" ht="17.399999999999999" customHeight="1" x14ac:dyDescent="0.4">
      <c r="A50" s="666"/>
      <c r="B50" s="667"/>
      <c r="C50" s="667"/>
      <c r="D50" s="667"/>
      <c r="E50" s="668"/>
      <c r="F50" s="666"/>
      <c r="G50" s="667"/>
      <c r="H50" s="667"/>
      <c r="I50" s="667"/>
      <c r="J50" s="668"/>
      <c r="K50" s="666"/>
      <c r="L50" s="667"/>
      <c r="M50" s="667"/>
      <c r="N50" s="667"/>
      <c r="O50" s="668"/>
      <c r="P50" s="666"/>
      <c r="Q50" s="667"/>
      <c r="R50" s="667"/>
      <c r="S50" s="667"/>
      <c r="T50" s="668"/>
      <c r="U50" s="675"/>
      <c r="V50" s="676"/>
      <c r="W50" s="676"/>
      <c r="X50" s="676"/>
      <c r="Y50" s="677"/>
      <c r="Z50" s="675"/>
      <c r="AA50" s="676"/>
      <c r="AB50" s="676"/>
      <c r="AC50" s="676"/>
      <c r="AD50" s="677"/>
    </row>
    <row r="51" spans="1:30" ht="17.399999999999999" customHeight="1" x14ac:dyDescent="0.4">
      <c r="A51" s="666"/>
      <c r="B51" s="667"/>
      <c r="C51" s="667"/>
      <c r="D51" s="667"/>
      <c r="E51" s="668"/>
      <c r="F51" s="666"/>
      <c r="G51" s="667"/>
      <c r="H51" s="667"/>
      <c r="I51" s="667"/>
      <c r="J51" s="668"/>
      <c r="K51" s="666"/>
      <c r="L51" s="667"/>
      <c r="M51" s="667"/>
      <c r="N51" s="667"/>
      <c r="O51" s="668"/>
      <c r="P51" s="666"/>
      <c r="Q51" s="667"/>
      <c r="R51" s="667"/>
      <c r="S51" s="667"/>
      <c r="T51" s="668"/>
      <c r="U51" s="675"/>
      <c r="V51" s="676"/>
      <c r="W51" s="676"/>
      <c r="X51" s="676"/>
      <c r="Y51" s="677"/>
      <c r="Z51" s="675"/>
      <c r="AA51" s="676"/>
      <c r="AB51" s="676"/>
      <c r="AC51" s="676"/>
      <c r="AD51" s="677"/>
    </row>
    <row r="52" spans="1:30" ht="18" customHeight="1" thickBot="1" x14ac:dyDescent="0.45">
      <c r="A52" s="669"/>
      <c r="B52" s="670"/>
      <c r="C52" s="670"/>
      <c r="D52" s="670"/>
      <c r="E52" s="671"/>
      <c r="F52" s="669"/>
      <c r="G52" s="670"/>
      <c r="H52" s="670"/>
      <c r="I52" s="670"/>
      <c r="J52" s="671"/>
      <c r="K52" s="669"/>
      <c r="L52" s="670"/>
      <c r="M52" s="670"/>
      <c r="N52" s="670"/>
      <c r="O52" s="671"/>
      <c r="P52" s="669"/>
      <c r="Q52" s="670"/>
      <c r="R52" s="670"/>
      <c r="S52" s="670"/>
      <c r="T52" s="671"/>
      <c r="U52" s="678"/>
      <c r="V52" s="679"/>
      <c r="W52" s="679"/>
      <c r="X52" s="679"/>
      <c r="Y52" s="680"/>
      <c r="Z52" s="678"/>
      <c r="AA52" s="679"/>
      <c r="AB52" s="679"/>
      <c r="AC52" s="679"/>
      <c r="AD52" s="680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32B7B896-63B3-4E64-8A54-363B24BF3897}"/>
</file>

<file path=customXml/itemProps2.xml><?xml version="1.0" encoding="utf-8"?>
<ds:datastoreItem xmlns:ds="http://schemas.openxmlformats.org/officeDocument/2006/customXml" ds:itemID="{1578FC1A-99A7-4145-AB8A-D8BF7BA686AC}"/>
</file>

<file path=customXml/itemProps3.xml><?xml version="1.0" encoding="utf-8"?>
<ds:datastoreItem xmlns:ds="http://schemas.openxmlformats.org/officeDocument/2006/customXml" ds:itemID="{E55B7341-FC7E-49AD-A800-EF4896DF7F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Xtream Care</cp:lastModifiedBy>
  <cp:lastPrinted>2022-05-23T00:40:57Z</cp:lastPrinted>
  <dcterms:created xsi:type="dcterms:W3CDTF">2011-11-24T03:16:40Z</dcterms:created>
  <dcterms:modified xsi:type="dcterms:W3CDTF">2022-05-23T01:40:03Z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