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"/>
    </mc:Choice>
  </mc:AlternateContent>
  <xr:revisionPtr revIDLastSave="0" documentId="13_ncr:1_{7595DFDA-DC36-4BEB-997A-D37C9D87EC03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V32" i="8"/>
  <c r="V27" i="8"/>
  <c r="V17" i="8"/>
  <c r="V12" i="8"/>
  <c r="V7" i="8"/>
  <c r="V2" i="8"/>
  <c r="Q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U16" i="2" s="1"/>
  <c r="K5" i="2"/>
  <c r="K30" i="2" s="1"/>
  <c r="K31" i="2" s="1"/>
  <c r="J5" i="2"/>
  <c r="J30" i="2" s="1"/>
  <c r="J31" i="2" s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I31" i="1"/>
  <c r="S32" i="1" s="1"/>
  <c r="H28" i="8" s="1"/>
  <c r="H31" i="1"/>
  <c r="M30" i="1"/>
  <c r="L30" i="1"/>
  <c r="I30" i="1"/>
  <c r="H30" i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U16" i="1" s="1"/>
  <c r="K5" i="1"/>
  <c r="K30" i="1" s="1"/>
  <c r="K31" i="1" s="1"/>
  <c r="J5" i="1"/>
  <c r="J30" i="1" s="1"/>
  <c r="J31" i="1" s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H31" i="3"/>
  <c r="M30" i="3"/>
  <c r="L30" i="3"/>
  <c r="I30" i="3"/>
  <c r="H30" i="3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U16" i="3" s="1"/>
  <c r="K5" i="3"/>
  <c r="K30" i="3" s="1"/>
  <c r="K31" i="3" s="1"/>
  <c r="J5" i="3"/>
  <c r="J30" i="3" s="1"/>
  <c r="J31" i="3" s="1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H31" i="4"/>
  <c r="M30" i="4"/>
  <c r="L30" i="4"/>
  <c r="I30" i="4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U16" i="4" s="1"/>
  <c r="K5" i="4"/>
  <c r="K30" i="4" s="1"/>
  <c r="J5" i="4"/>
  <c r="J30" i="4" s="1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I31" i="5"/>
  <c r="S32" i="5" s="1"/>
  <c r="H31" i="5"/>
  <c r="M30" i="5"/>
  <c r="L30" i="5"/>
  <c r="I30" i="5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U16" i="5" s="1"/>
  <c r="K5" i="5"/>
  <c r="K30" i="5" s="1"/>
  <c r="K31" i="5" s="1"/>
  <c r="J5" i="5"/>
  <c r="J30" i="5" s="1"/>
  <c r="J31" i="5" s="1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A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H32" i="6"/>
  <c r="Z31" i="6"/>
  <c r="Q31" i="6"/>
  <c r="P31" i="6"/>
  <c r="O31" i="6"/>
  <c r="N31" i="6"/>
  <c r="M31" i="6"/>
  <c r="L31" i="6"/>
  <c r="I31" i="6"/>
  <c r="S32" i="6" s="1"/>
  <c r="H8" i="8" s="1"/>
  <c r="H31" i="6"/>
  <c r="M30" i="6"/>
  <c r="L30" i="6"/>
  <c r="I30" i="6"/>
  <c r="H30" i="6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U16" i="6" s="1"/>
  <c r="K5" i="6"/>
  <c r="K30" i="6" s="1"/>
  <c r="J5" i="6"/>
  <c r="J30" i="6" s="1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AD25" i="2" l="1"/>
  <c r="AI25" i="2"/>
  <c r="S16" i="2"/>
  <c r="R16" i="2"/>
  <c r="Z33" i="2"/>
  <c r="O32" i="2"/>
  <c r="Z32" i="2"/>
  <c r="S31" i="2"/>
  <c r="C32" i="2"/>
  <c r="T31" i="2"/>
  <c r="P32" i="1"/>
  <c r="AD25" i="1"/>
  <c r="AI25" i="1"/>
  <c r="S16" i="1"/>
  <c r="R16" i="1"/>
  <c r="C32" i="1"/>
  <c r="O32" i="1"/>
  <c r="Z32" i="1"/>
  <c r="Z33" i="1" s="1"/>
  <c r="S31" i="1"/>
  <c r="T31" i="1"/>
  <c r="AD25" i="3"/>
  <c r="AI25" i="3"/>
  <c r="S16" i="3"/>
  <c r="R16" i="3"/>
  <c r="C32" i="3"/>
  <c r="O32" i="3"/>
  <c r="Z32" i="3"/>
  <c r="Z33" i="3" s="1"/>
  <c r="S31" i="3"/>
  <c r="T31" i="3"/>
  <c r="J31" i="4"/>
  <c r="K31" i="4"/>
  <c r="AD25" i="4"/>
  <c r="AI25" i="4"/>
  <c r="S16" i="4"/>
  <c r="R16" i="4"/>
  <c r="Z32" i="4"/>
  <c r="Z33" i="4" s="1"/>
  <c r="S31" i="4"/>
  <c r="C32" i="4"/>
  <c r="Y39" i="8"/>
  <c r="T31" i="4"/>
  <c r="AI25" i="5"/>
  <c r="AD25" i="5"/>
  <c r="Z33" i="5"/>
  <c r="S16" i="5"/>
  <c r="R16" i="5"/>
  <c r="C32" i="5"/>
  <c r="P32" i="5" s="1"/>
  <c r="S31" i="5"/>
  <c r="O32" i="5"/>
  <c r="Z32" i="5"/>
  <c r="T31" i="5"/>
  <c r="S16" i="6"/>
  <c r="R16" i="6"/>
  <c r="J31" i="6"/>
  <c r="K31" i="6"/>
  <c r="AD25" i="6"/>
  <c r="AI25" i="6"/>
  <c r="S31" i="6"/>
  <c r="H7" i="8" s="1"/>
  <c r="Z32" i="6"/>
  <c r="Z33" i="6" s="1"/>
  <c r="T31" i="6"/>
  <c r="H34" i="8"/>
  <c r="H35" i="8"/>
  <c r="H32" i="8"/>
  <c r="H27" i="8"/>
  <c r="H22" i="8"/>
  <c r="H13" i="8"/>
  <c r="H17" i="8"/>
  <c r="H12" i="8"/>
  <c r="L36" i="8"/>
  <c r="L31" i="8"/>
  <c r="L26" i="8"/>
  <c r="L21" i="8"/>
  <c r="L16" i="8"/>
  <c r="L11" i="8"/>
  <c r="L6" i="8"/>
  <c r="E36" i="8"/>
  <c r="E31" i="8"/>
  <c r="E2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U25" i="2" l="1"/>
  <c r="K32" i="2"/>
  <c r="T16" i="2"/>
  <c r="Q32" i="2"/>
  <c r="N32" i="2"/>
  <c r="P32" i="2"/>
  <c r="U25" i="1"/>
  <c r="K32" i="1"/>
  <c r="T16" i="1"/>
  <c r="N32" i="1"/>
  <c r="Q32" i="1"/>
  <c r="U25" i="3"/>
  <c r="T16" i="3"/>
  <c r="K32" i="3"/>
  <c r="P32" i="3"/>
  <c r="Q32" i="3"/>
  <c r="N32" i="3"/>
  <c r="U25" i="4"/>
  <c r="K32" i="4"/>
  <c r="T16" i="4"/>
  <c r="P32" i="4"/>
  <c r="O32" i="4"/>
  <c r="N32" i="4"/>
  <c r="Q32" i="4"/>
  <c r="U25" i="5"/>
  <c r="K32" i="5"/>
  <c r="T16" i="5"/>
  <c r="N32" i="5"/>
  <c r="Q32" i="5"/>
  <c r="P32" i="6"/>
  <c r="C32" i="6"/>
  <c r="Q32" i="6"/>
  <c r="K30" i="7"/>
  <c r="L10" i="8"/>
  <c r="Z45" i="8"/>
  <c r="E21" i="8"/>
  <c r="E16" i="8"/>
  <c r="H15" i="8"/>
  <c r="U16" i="7"/>
  <c r="E6" i="8" s="1"/>
  <c r="J62" i="7"/>
  <c r="K62" i="7"/>
  <c r="Q7" i="8"/>
  <c r="Q32" i="8"/>
  <c r="L35" i="8"/>
  <c r="L32" i="8"/>
  <c r="L33" i="8"/>
  <c r="Q22" i="8"/>
  <c r="Q17" i="8"/>
  <c r="Q12" i="8"/>
  <c r="H10" i="8"/>
  <c r="AI25" i="7"/>
  <c r="AD25" i="7"/>
  <c r="Z32" i="7"/>
  <c r="Z33" i="7" s="1"/>
  <c r="T31" i="7"/>
  <c r="U25" i="6" l="1"/>
  <c r="K32" i="6"/>
  <c r="T16" i="6"/>
  <c r="O32" i="6"/>
  <c r="L8" i="8" s="1"/>
  <c r="N32" i="6"/>
  <c r="L7" i="8" s="1"/>
  <c r="H19" i="8"/>
  <c r="H20" i="8"/>
  <c r="U45" i="8"/>
  <c r="Z49" i="8" s="1"/>
  <c r="R16" i="7"/>
  <c r="S16" i="7"/>
  <c r="J31" i="7"/>
  <c r="O41" i="8" s="1"/>
  <c r="K31" i="7"/>
  <c r="T41" i="8" s="1"/>
  <c r="L34" i="8"/>
  <c r="L23" i="8"/>
  <c r="H25" i="8"/>
  <c r="L25" i="8"/>
  <c r="H24" i="8"/>
  <c r="L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L30" i="8" l="1"/>
  <c r="L27" i="8"/>
  <c r="L29" i="8"/>
  <c r="E4" i="8" l="1"/>
  <c r="E5" i="8"/>
  <c r="E3" i="8" l="1"/>
  <c r="A39" i="8" l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<sst xmlns="http://schemas.openxmlformats.org/spreadsheetml/2006/main" count="1033" uniqueCount="98">
  <si>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</si>
  <si>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</si>
  <si>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</si>
  <si>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</si>
  <si>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</si>
  <si>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</si>
  <si>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</si>
  <si>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</si>
  <si>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</si>
  <si>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</si>
  <si>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</si>
  <si>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</si>
  <si>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</si>
  <si>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</si>
  <si>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</si>
  <si>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</si>
  <si>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</si>
  <si>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</si>
  <si>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</si>
  <si>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</si>
  <si>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</si>
  <si>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</si>
  <si>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</si>
  <si>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</si>
  <si>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</si>
  <si>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</si>
  <si>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</si>
  <si>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</si>
  <si>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</si>
  <si>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</si>
  <si>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</si>
  <si>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</si>
  <si>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</si>
  <si>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</si>
  <si>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</si>
  <si>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</si>
  <si>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</si>
  <si>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</si>
  <si>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</si>
  <si>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</si>
  <si>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</si>
  <si>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</si>
  <si>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</si>
  <si>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</si>
  <si>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</si>
  <si>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</si>
  <si>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</si>
  <si>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</si>
  <si>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</si>
  <si>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</si>
  <si>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</si>
  <si>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</si>
  <si>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</si>
  <si>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</si>
  <si>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</si>
  <si>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</si>
  <si>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</si>
  <si>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</si>
  <si>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</si>
  <si>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</si>
  <si>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</si>
  <si>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</si>
  <si>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</si>
  <si>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</si>
  <si>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</si>
  <si>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</si>
  <si>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</si>
  <si>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</si>
  <si>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</si>
  <si>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</si>
  <si>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</si>
  <si>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</si>
  <si>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</si>
  <si>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</si>
  <si>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</si>
  <si>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</si>
  <si>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</si>
  <si>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</si>
  <si>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</si>
  <si>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</si>
  <si>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</si>
  <si>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</si>
  <si>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</si>
  <si>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</si>
  <si>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</si>
  <si>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</si>
  <si>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</si>
  <si>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</si>
  <si>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</si>
  <si>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</si>
  <si>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</si>
  <si>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</si>
  <si>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</si>
  <si>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</si>
  <si>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</si>
  <si>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</si>
  <si>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</si>
  <si>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/ / 2022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</si>
</sst>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0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76" fontId="13" fillId="0" borderId="0" xfId="0" applyNumberFormat="1" applyFont="1" applyAlignment="1">
      <alignment horizontal="center" shrinkToFit="1"/>
    </xf>
    <xf numFmtId="26" fontId="13" fillId="0" borderId="0" xfId="0" applyNumberFormat="1" applyFont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opLeftCell="A4" zoomScale="110" zoomScaleNormal="110" zoomScaleSheetLayoutView="77" workbookViewId="0">
      <selection activeCell="A4"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disablePrompts="1"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opLeftCell="A10" zoomScaleNormal="100" zoomScaleSheetLayoutView="77" workbookViewId="0">
      <selection activeCell="A10"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disablePrompts="1"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sqref="A1:XFD104857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opLeftCell="A10" zoomScaleNormal="100" zoomScaleSheetLayoutView="77" workbookViewId="0">
      <selection activeCell="A10" sqref="A10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7.25" thickBot="1" x14ac:dyDescent="0.35">
      <c r="A2" s="295" t="s">
        <v>97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/>
      <c r="K2" s="297"/>
      <c r="L2" s="299" t="s">
        <v>96</v>
      </c>
      <c r="M2" s="300"/>
      <c r="N2" s="298"/>
      <c r="O2" s="296"/>
      <c r="P2" s="296"/>
      <c r="Q2" s="297"/>
      <c r="R2" s="299" t="s">
        <v>51</v>
      </c>
      <c r="S2" s="298"/>
      <c r="T2" s="287"/>
      <c r="U2" s="287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288" t="s">
        <v>8</v>
      </c>
      <c r="P4" s="288"/>
      <c r="Q4" s="288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/>
      <c r="C5" s="59"/>
      <c r="D5" s="190"/>
      <c r="E5" s="171"/>
      <c r="F5" s="160"/>
      <c r="G5" s="109"/>
      <c r="H5" s="82"/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/>
      <c r="O5" s="334"/>
      <c r="P5" s="335"/>
      <c r="Q5" s="336"/>
      <c r="R5" s="32"/>
      <c r="S5" s="30"/>
      <c r="T5" s="31"/>
      <c r="U5" s="83">
        <f t="shared" ref="U5:U15" si="0">(T5-S5)*24</f>
        <v>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/>
      <c r="C6" s="58"/>
      <c r="D6" s="190"/>
      <c r="E6" s="171"/>
      <c r="F6" s="161"/>
      <c r="G6" s="109"/>
      <c r="H6" s="82"/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/>
      <c r="O6" s="289"/>
      <c r="P6" s="290"/>
      <c r="Q6" s="291"/>
      <c r="R6" s="122"/>
      <c r="S6" s="30"/>
      <c r="T6" s="31"/>
      <c r="U6" s="83">
        <f t="shared" si="0"/>
        <v>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/>
      <c r="C7" s="58"/>
      <c r="D7" s="190"/>
      <c r="E7" s="171"/>
      <c r="F7" s="161"/>
      <c r="G7" s="109"/>
      <c r="H7" s="82"/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/>
      <c r="O7" s="262"/>
      <c r="P7" s="261"/>
      <c r="Q7" s="263"/>
      <c r="R7" s="124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/>
      <c r="C8" s="26"/>
      <c r="D8" s="190"/>
      <c r="E8" s="171"/>
      <c r="F8" s="161"/>
      <c r="G8" s="109"/>
      <c r="H8" s="82"/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/>
      <c r="O8" s="292"/>
      <c r="P8" s="293"/>
      <c r="Q8" s="294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/>
      <c r="C9" s="54"/>
      <c r="D9" s="191"/>
      <c r="E9" s="171"/>
      <c r="F9" s="162"/>
      <c r="G9" s="110"/>
      <c r="H9" s="82"/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/>
      <c r="O9" s="292"/>
      <c r="P9" s="293"/>
      <c r="Q9" s="294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/>
      <c r="C10" s="27"/>
      <c r="D10" s="192"/>
      <c r="E10" s="171"/>
      <c r="F10" s="163"/>
      <c r="G10" s="111"/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/>
      <c r="O10" s="284"/>
      <c r="P10" s="285"/>
      <c r="Q10" s="286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/>
      <c r="C11" s="17"/>
      <c r="D11" s="193"/>
      <c r="E11" s="171"/>
      <c r="F11" s="57"/>
      <c r="G11" s="112"/>
      <c r="H11" s="114"/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/>
      <c r="O11" s="262"/>
      <c r="P11" s="261"/>
      <c r="Q11" s="263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/>
      <c r="C12" s="55"/>
      <c r="D12" s="194"/>
      <c r="E12" s="171"/>
      <c r="F12" s="163"/>
      <c r="G12" s="110"/>
      <c r="H12" s="114"/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/>
      <c r="O12" s="262"/>
      <c r="P12" s="261"/>
      <c r="Q12" s="263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62"/>
      <c r="P13" s="261"/>
      <c r="Q13" s="263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62"/>
      <c r="P14" s="261"/>
      <c r="Q14" s="263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62"/>
      <c r="P15" s="261"/>
      <c r="Q15" s="263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62"/>
      <c r="P16" s="261"/>
      <c r="Q16" s="263"/>
      <c r="R16" s="73" t="e">
        <f>H32/U16</f>
        <v>#DIV/0!</v>
      </c>
      <c r="S16" s="74" t="e">
        <f>H32/(U16-U5)</f>
        <v>#DIV/0!</v>
      </c>
      <c r="T16" s="74" t="e">
        <f>C32/U16</f>
        <v>#DIV/0!</v>
      </c>
      <c r="U16" s="74">
        <f>SUM(U5:U15)</f>
        <v>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62"/>
      <c r="P17" s="261"/>
      <c r="Q17" s="263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62"/>
      <c r="P18" s="261"/>
      <c r="Q18" s="263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62"/>
      <c r="P19" s="261"/>
      <c r="Q19" s="261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30"/>
      <c r="P20" s="331"/>
      <c r="Q20" s="331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62"/>
      <c r="P21" s="261"/>
      <c r="Q21" s="261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62"/>
      <c r="P22" s="261"/>
      <c r="Q22" s="263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28"/>
      <c r="Y23" s="329"/>
      <c r="Z23" s="329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62"/>
      <c r="P24" s="261"/>
      <c r="Q24" s="263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62"/>
      <c r="P25" s="261"/>
      <c r="Q25" s="263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32">
        <f>((C32+(R26+S26+T26)*0.5))</f>
        <v>0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62"/>
      <c r="P26" s="261"/>
      <c r="Q26" s="263"/>
      <c r="R26" s="103">
        <f>R25*37.5</f>
        <v>0</v>
      </c>
      <c r="S26" s="93">
        <f>S25*41.5</f>
        <v>0</v>
      </c>
      <c r="T26" s="93">
        <f>T25*50</f>
        <v>0</v>
      </c>
      <c r="U26" s="333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62"/>
      <c r="P27" s="261"/>
      <c r="Q27" s="263"/>
      <c r="R27" s="325" t="s">
        <v>56</v>
      </c>
      <c r="S27" s="326"/>
      <c r="T27" s="326"/>
      <c r="U27" s="327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62"/>
      <c r="P28" s="261"/>
      <c r="Q28" s="263"/>
      <c r="R28" s="318"/>
      <c r="S28" s="319"/>
      <c r="T28" s="320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05"/>
      <c r="P29" s="306"/>
      <c r="Q29" s="307"/>
      <c r="R29" s="308"/>
      <c r="S29" s="309"/>
      <c r="T29" s="310"/>
      <c r="U29" s="140"/>
      <c r="X29" s="14">
        <v>3</v>
      </c>
      <c r="Z29" s="45"/>
      <c r="AE29" s="39"/>
    </row>
    <row r="30" spans="1:44" ht="16.5" customHeight="1" thickBot="1" x14ac:dyDescent="0.35">
      <c r="A30" s="311" t="s">
        <v>48</v>
      </c>
      <c r="B30" s="312"/>
      <c r="C30" s="312"/>
      <c r="D30" s="312"/>
      <c r="E30" s="313"/>
      <c r="F30" s="312"/>
      <c r="G30" s="312"/>
      <c r="H30" s="201">
        <f t="shared" ref="H30:M30" si="3">SUM(H5:H29)</f>
        <v>0</v>
      </c>
      <c r="I30" s="96">
        <f>SUM(I5:I29)</f>
        <v>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14"/>
      <c r="S30" s="314"/>
      <c r="T30" s="315"/>
      <c r="U30" s="141"/>
      <c r="X30" s="14">
        <v>4</v>
      </c>
      <c r="Z30" s="45"/>
      <c r="AD30" s="46"/>
    </row>
    <row r="31" spans="1:44" x14ac:dyDescent="0.3">
      <c r="A31" s="316" t="s">
        <v>16</v>
      </c>
      <c r="B31" s="317"/>
      <c r="C31" s="317"/>
      <c r="D31" s="317"/>
      <c r="E31" s="317"/>
      <c r="F31" s="317"/>
      <c r="G31" s="317"/>
      <c r="H31" s="202">
        <f t="shared" ref="H31:J31" si="4">H30+H62+H94</f>
        <v>0</v>
      </c>
      <c r="I31" s="94">
        <f t="shared" si="4"/>
        <v>0</v>
      </c>
      <c r="J31" s="94">
        <f t="shared" si="4"/>
        <v>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0</v>
      </c>
      <c r="O31" s="95">
        <f>COUNT(I5:I29,I37:I61,I69:I93)</f>
        <v>0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01">
        <f>H31+I31+L31+M31</f>
        <v>0</v>
      </c>
      <c r="U31" s="302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21" t="s">
        <v>55</v>
      </c>
      <c r="B32" s="322"/>
      <c r="C32" s="98">
        <f>H31+I31+J31+K31</f>
        <v>0</v>
      </c>
      <c r="D32" s="186"/>
      <c r="E32" s="98"/>
      <c r="F32" s="323" t="s">
        <v>53</v>
      </c>
      <c r="G32" s="323"/>
      <c r="H32" s="100">
        <f>COUNT(B5:B29,B37:B61,B69:B93)</f>
        <v>0</v>
      </c>
      <c r="I32" s="324" t="s">
        <v>54</v>
      </c>
      <c r="J32" s="324"/>
      <c r="K32" s="99" t="e">
        <f>C32/H32</f>
        <v>#DIV/0!</v>
      </c>
      <c r="L32" s="208"/>
      <c r="M32" s="208"/>
      <c r="N32" s="208" t="e">
        <f>H31/C32</f>
        <v>#DIV/0!</v>
      </c>
      <c r="O32" s="208" t="e">
        <f>I31/C32</f>
        <v>#DIV/0!</v>
      </c>
      <c r="P32" s="208" t="e">
        <f>K31/C32</f>
        <v>#DIV/0!</v>
      </c>
      <c r="Q32" s="101" t="e">
        <f>J31/C32</f>
        <v>#DIV/0!</v>
      </c>
      <c r="R32" s="90" t="s">
        <v>82</v>
      </c>
      <c r="S32" s="203">
        <f>I31+M31</f>
        <v>0</v>
      </c>
      <c r="T32" s="303"/>
      <c r="U32" s="304"/>
      <c r="V32" s="39"/>
      <c r="W32" s="39"/>
      <c r="X32" s="48" t="s">
        <v>27</v>
      </c>
      <c r="Y32" s="48"/>
      <c r="Z32" s="47">
        <f>I31</f>
        <v>0</v>
      </c>
    </row>
    <row r="33" spans="1:33" ht="17.25" thickBot="1" x14ac:dyDescent="0.35">
      <c r="A33" s="255" t="s">
        <v>24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96"/>
      <c r="U33" s="297"/>
      <c r="X33" s="49" t="s">
        <v>29</v>
      </c>
      <c r="Y33" s="49"/>
      <c r="Z33" s="50">
        <f>SUM(Z31:Z32)</f>
        <v>-2745</v>
      </c>
      <c r="AG33" s="35"/>
    </row>
    <row r="34" spans="1:33" ht="17.25" thickBot="1" x14ac:dyDescent="0.35">
      <c r="A34" s="295" t="str">
        <f>A2</f>
        <v>/ / 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>
        <f>J2</f>
        <v>0</v>
      </c>
      <c r="K34" s="297"/>
      <c r="L34" s="299" t="s">
        <v>50</v>
      </c>
      <c r="M34" s="300"/>
      <c r="N34" s="298"/>
      <c r="O34" s="296">
        <f>O2</f>
        <v>0</v>
      </c>
      <c r="P34" s="296"/>
      <c r="Q34" s="297"/>
      <c r="R34" s="299" t="s">
        <v>51</v>
      </c>
      <c r="S34" s="298"/>
      <c r="T34" s="287">
        <f>T2</f>
        <v>0</v>
      </c>
      <c r="U34" s="287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288" t="s">
        <v>8</v>
      </c>
      <c r="P36" s="288"/>
      <c r="Q36" s="288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62"/>
      <c r="P37" s="261"/>
      <c r="Q37" s="263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289"/>
      <c r="P38" s="290"/>
      <c r="Q38" s="29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62"/>
      <c r="P39" s="261"/>
      <c r="Q39" s="263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292"/>
      <c r="P40" s="293"/>
      <c r="Q40" s="294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292"/>
      <c r="P41" s="293"/>
      <c r="Q41" s="294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284"/>
      <c r="P42" s="285"/>
      <c r="Q42" s="286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62"/>
      <c r="P43" s="261"/>
      <c r="Q43" s="263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62"/>
      <c r="P44" s="261"/>
      <c r="Q44" s="263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62"/>
      <c r="P45" s="261"/>
      <c r="Q45" s="263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62"/>
      <c r="P46" s="261"/>
      <c r="Q46" s="263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62"/>
      <c r="P47" s="261"/>
      <c r="Q47" s="263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62"/>
      <c r="P48" s="261"/>
      <c r="Q48" s="263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62"/>
      <c r="P49" s="261"/>
      <c r="Q49" s="263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62"/>
      <c r="P50" s="261"/>
      <c r="Q50" s="263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62"/>
      <c r="P51" s="261"/>
      <c r="Q51" s="261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62"/>
      <c r="P52" s="261"/>
      <c r="Q52" s="261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283"/>
      <c r="P53" s="262"/>
      <c r="Q53" s="262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283"/>
      <c r="P54" s="262"/>
      <c r="Q54" s="262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283"/>
      <c r="P55" s="262"/>
      <c r="Q55" s="262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61"/>
      <c r="P56" s="261"/>
      <c r="Q56" s="261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62"/>
      <c r="P57" s="261"/>
      <c r="Q57" s="261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61"/>
      <c r="P58" s="261"/>
      <c r="Q58" s="261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61"/>
      <c r="P59" s="261"/>
      <c r="Q59" s="261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62"/>
      <c r="P60" s="261"/>
      <c r="Q60" s="263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64"/>
      <c r="P61" s="265"/>
      <c r="Q61" s="266"/>
      <c r="R61" s="72"/>
      <c r="S61" s="59"/>
      <c r="T61" s="59"/>
      <c r="U61" s="68"/>
    </row>
    <row r="62" spans="1:21" x14ac:dyDescent="0.3">
      <c r="A62" s="267" t="s">
        <v>48</v>
      </c>
      <c r="B62" s="268"/>
      <c r="C62" s="268"/>
      <c r="D62" s="268"/>
      <c r="E62" s="268"/>
      <c r="F62" s="268"/>
      <c r="G62" s="268"/>
      <c r="H62" s="268">
        <f t="shared" ref="H62:M62" si="8">SUM(H37:H61)</f>
        <v>0</v>
      </c>
      <c r="I62" s="274">
        <f t="shared" si="8"/>
        <v>0</v>
      </c>
      <c r="J62" s="274">
        <f>J61+J60+J59+J58+J57+J56+J55+J54+J53+J52+J51+J50+J49+J48+J47+J46+J45+J44+J43+J42+J41+J40+J39+J38+J37</f>
        <v>0</v>
      </c>
      <c r="K62" s="274">
        <f>K61+K60+K59+K58+K57+K56+K55+K54+K53+K52+K51+K50+K49+K48+K47+K46+K45+K44+K43+K42+K41+K40+K39+K38+K37</f>
        <v>0</v>
      </c>
      <c r="L62" s="277">
        <f t="shared" si="8"/>
        <v>0</v>
      </c>
      <c r="M62" s="280">
        <f t="shared" si="8"/>
        <v>0</v>
      </c>
      <c r="N62" s="249"/>
      <c r="O62" s="250"/>
      <c r="P62" s="250"/>
      <c r="Q62" s="251"/>
      <c r="R62" s="5"/>
      <c r="S62" s="6"/>
      <c r="T62" s="7"/>
      <c r="U62" s="8"/>
    </row>
    <row r="63" spans="1:21" ht="17.25" thickBot="1" x14ac:dyDescent="0.35">
      <c r="A63" s="270"/>
      <c r="B63" s="271"/>
      <c r="C63" s="271"/>
      <c r="D63" s="271"/>
      <c r="E63" s="271"/>
      <c r="F63" s="271"/>
      <c r="G63" s="271"/>
      <c r="H63" s="271"/>
      <c r="I63" s="275"/>
      <c r="J63" s="275"/>
      <c r="K63" s="275"/>
      <c r="L63" s="278"/>
      <c r="M63" s="281"/>
      <c r="N63" s="252"/>
      <c r="O63" s="253"/>
      <c r="P63" s="253"/>
      <c r="Q63" s="254"/>
      <c r="R63" s="1"/>
      <c r="S63" s="2"/>
      <c r="T63" s="3"/>
      <c r="U63" s="4"/>
    </row>
    <row r="64" spans="1:21" ht="17.25" thickBot="1" x14ac:dyDescent="0.35">
      <c r="A64" s="272"/>
      <c r="B64" s="273"/>
      <c r="C64" s="273"/>
      <c r="D64" s="273"/>
      <c r="E64" s="273"/>
      <c r="F64" s="273"/>
      <c r="G64" s="273"/>
      <c r="H64" s="273"/>
      <c r="I64" s="276"/>
      <c r="J64" s="276"/>
      <c r="K64" s="276"/>
      <c r="L64" s="279"/>
      <c r="M64" s="282"/>
      <c r="N64" s="255"/>
      <c r="O64" s="256"/>
      <c r="P64" s="256"/>
      <c r="Q64" s="257"/>
      <c r="R64" s="258" t="s">
        <v>17</v>
      </c>
      <c r="S64" s="259"/>
      <c r="T64" s="259"/>
      <c r="U64" s="260"/>
    </row>
    <row r="65" spans="1:21" ht="17.25" thickBot="1" x14ac:dyDescent="0.35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7.25" thickBot="1" x14ac:dyDescent="0.35">
      <c r="A66" s="295" t="str">
        <f>A34</f>
        <v>/ / 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>
        <f>J34</f>
        <v>0</v>
      </c>
      <c r="K66" s="297"/>
      <c r="L66" s="299" t="s">
        <v>50</v>
      </c>
      <c r="M66" s="300"/>
      <c r="N66" s="298"/>
      <c r="O66" s="296">
        <f>O34</f>
        <v>0</v>
      </c>
      <c r="P66" s="296"/>
      <c r="Q66" s="297"/>
      <c r="R66" s="299" t="s">
        <v>51</v>
      </c>
      <c r="S66" s="298"/>
      <c r="T66" s="287">
        <f>T34</f>
        <v>0</v>
      </c>
      <c r="U66" s="287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288" t="s">
        <v>8</v>
      </c>
      <c r="P68" s="288"/>
      <c r="Q68" s="288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62"/>
      <c r="P69" s="261"/>
      <c r="Q69" s="263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289"/>
      <c r="P70" s="290"/>
      <c r="Q70" s="291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62"/>
      <c r="P71" s="261"/>
      <c r="Q71" s="263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292"/>
      <c r="P72" s="293"/>
      <c r="Q72" s="294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292"/>
      <c r="P73" s="293"/>
      <c r="Q73" s="294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284"/>
      <c r="P74" s="285"/>
      <c r="Q74" s="286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62"/>
      <c r="P75" s="261"/>
      <c r="Q75" s="263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62"/>
      <c r="P76" s="261"/>
      <c r="Q76" s="263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62"/>
      <c r="P77" s="261"/>
      <c r="Q77" s="263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62"/>
      <c r="P78" s="261"/>
      <c r="Q78" s="263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62"/>
      <c r="P79" s="261"/>
      <c r="Q79" s="263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62"/>
      <c r="P80" s="261"/>
      <c r="Q80" s="263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62"/>
      <c r="P81" s="261"/>
      <c r="Q81" s="263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62"/>
      <c r="P82" s="261"/>
      <c r="Q82" s="263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62"/>
      <c r="P83" s="261"/>
      <c r="Q83" s="261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62"/>
      <c r="P84" s="261"/>
      <c r="Q84" s="261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283"/>
      <c r="P85" s="262"/>
      <c r="Q85" s="262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283"/>
      <c r="P86" s="262"/>
      <c r="Q86" s="262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283"/>
      <c r="P87" s="262"/>
      <c r="Q87" s="262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61"/>
      <c r="P88" s="261"/>
      <c r="Q88" s="261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62"/>
      <c r="P89" s="261"/>
      <c r="Q89" s="261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61"/>
      <c r="P90" s="261"/>
      <c r="Q90" s="261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61"/>
      <c r="P91" s="261"/>
      <c r="Q91" s="261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62"/>
      <c r="P92" s="261"/>
      <c r="Q92" s="263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64"/>
      <c r="P93" s="265"/>
      <c r="Q93" s="266"/>
      <c r="R93" s="72"/>
      <c r="S93" s="59"/>
      <c r="T93" s="59"/>
      <c r="U93" s="68"/>
    </row>
    <row r="94" spans="1:21" x14ac:dyDescent="0.3">
      <c r="A94" s="267" t="s">
        <v>48</v>
      </c>
      <c r="B94" s="268"/>
      <c r="C94" s="268"/>
      <c r="D94" s="268"/>
      <c r="E94" s="269"/>
      <c r="F94" s="268"/>
      <c r="G94" s="268"/>
      <c r="H94" s="268">
        <f t="shared" ref="H94:M94" si="12">SUM(H69:H93)</f>
        <v>0</v>
      </c>
      <c r="I94" s="274">
        <f t="shared" si="12"/>
        <v>0</v>
      </c>
      <c r="J94" s="274">
        <f>J93+J92+J91+J90+J89+J88+J87+J86+J85+J84+J83+J82+J81+J80+J79+J78+J77+J76+J75+J74+J73+J72+J71+J70+J69</f>
        <v>0</v>
      </c>
      <c r="K94" s="274">
        <f>K93+K92+K91+K90+K89+K88+K87+K86+K85+K84+K83+K82+K81+K80+K79+K78+K77+K76+K75+K74+K73+K72+K71+K70+K69</f>
        <v>0</v>
      </c>
      <c r="L94" s="277">
        <f t="shared" si="12"/>
        <v>0</v>
      </c>
      <c r="M94" s="280">
        <f t="shared" si="12"/>
        <v>0</v>
      </c>
      <c r="N94" s="249"/>
      <c r="O94" s="250"/>
      <c r="P94" s="250"/>
      <c r="Q94" s="251"/>
      <c r="R94" s="5"/>
      <c r="S94" s="6"/>
      <c r="T94" s="7"/>
      <c r="U94" s="8"/>
    </row>
    <row r="95" spans="1:21" ht="17.25" thickBot="1" x14ac:dyDescent="0.35">
      <c r="A95" s="270"/>
      <c r="B95" s="271"/>
      <c r="C95" s="271"/>
      <c r="D95" s="271"/>
      <c r="E95" s="271"/>
      <c r="F95" s="271"/>
      <c r="G95" s="271"/>
      <c r="H95" s="271"/>
      <c r="I95" s="275"/>
      <c r="J95" s="275"/>
      <c r="K95" s="275"/>
      <c r="L95" s="278"/>
      <c r="M95" s="281"/>
      <c r="N95" s="252"/>
      <c r="O95" s="253"/>
      <c r="P95" s="253"/>
      <c r="Q95" s="254"/>
      <c r="R95" s="1"/>
      <c r="S95" s="2"/>
      <c r="T95" s="3"/>
      <c r="U95" s="4"/>
    </row>
    <row r="96" spans="1:21" ht="17.25" thickBot="1" x14ac:dyDescent="0.35">
      <c r="A96" s="272"/>
      <c r="B96" s="273"/>
      <c r="C96" s="273"/>
      <c r="D96" s="273"/>
      <c r="E96" s="273"/>
      <c r="F96" s="273"/>
      <c r="G96" s="273"/>
      <c r="H96" s="273"/>
      <c r="I96" s="276"/>
      <c r="J96" s="276"/>
      <c r="K96" s="276"/>
      <c r="L96" s="279"/>
      <c r="M96" s="282"/>
      <c r="N96" s="255"/>
      <c r="O96" s="256"/>
      <c r="P96" s="256"/>
      <c r="Q96" s="257"/>
      <c r="R96" s="258" t="s">
        <v>52</v>
      </c>
      <c r="S96" s="259"/>
      <c r="T96" s="259"/>
      <c r="U96" s="260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18" workbookViewId="0">
      <selection activeCell="H24" sqref="H24:K24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565"/>
      <c r="B1" s="565"/>
      <c r="C1" s="565"/>
      <c r="D1" s="565"/>
      <c r="E1" s="564" t="s">
        <v>59</v>
      </c>
      <c r="F1" s="564"/>
      <c r="G1" s="564"/>
      <c r="H1" s="564" t="s">
        <v>60</v>
      </c>
      <c r="I1" s="564"/>
      <c r="J1" s="564"/>
      <c r="K1" s="564"/>
      <c r="L1" s="564" t="s">
        <v>61</v>
      </c>
      <c r="M1" s="564"/>
      <c r="N1" s="564"/>
      <c r="O1" s="564"/>
      <c r="P1" s="564"/>
      <c r="Q1" s="564" t="s">
        <v>62</v>
      </c>
      <c r="R1" s="564"/>
      <c r="S1" s="564"/>
      <c r="T1" s="564"/>
      <c r="U1" s="564"/>
      <c r="V1" s="564" t="s">
        <v>63</v>
      </c>
      <c r="W1" s="564"/>
      <c r="X1" s="564"/>
      <c r="Y1" s="564"/>
      <c r="Z1" s="564"/>
      <c r="AA1" s="564" t="s">
        <v>64</v>
      </c>
      <c r="AB1" s="564"/>
      <c r="AC1" s="564"/>
      <c r="AD1" s="564"/>
    </row>
    <row r="2" spans="1:30" ht="20.100000000000001" customHeight="1" x14ac:dyDescent="0.3">
      <c r="A2" s="645" t="s">
        <v>66</v>
      </c>
      <c r="B2" s="456" t="s">
        <v>57</v>
      </c>
      <c r="C2" s="456"/>
      <c r="D2" s="480"/>
      <c r="E2" s="480">
        <f>MON!N31</f>
        <v>0</v>
      </c>
      <c r="F2" s="480"/>
      <c r="G2" s="480"/>
      <c r="H2" s="449">
        <f>MON!S31</f>
        <v>0</v>
      </c>
      <c r="I2" s="449"/>
      <c r="J2" s="449"/>
      <c r="K2" s="449"/>
      <c r="L2" s="450" t="e">
        <f>MON!N32</f>
        <v>#DIV/0!</v>
      </c>
      <c r="M2" s="450"/>
      <c r="N2" s="450"/>
      <c r="O2" s="450"/>
      <c r="P2" s="450"/>
      <c r="Q2" s="510">
        <f>SUM(E2:G5)</f>
        <v>0</v>
      </c>
      <c r="R2" s="511"/>
      <c r="S2" s="511"/>
      <c r="T2" s="511"/>
      <c r="U2" s="512"/>
      <c r="V2" s="575">
        <f>SUM(H2,H3,H5)</f>
        <v>0</v>
      </c>
      <c r="W2" s="576"/>
      <c r="X2" s="576"/>
      <c r="Y2" s="576"/>
      <c r="Z2" s="577"/>
      <c r="AA2" s="584" t="e">
        <f>V2/Q2</f>
        <v>#DIV/0!</v>
      </c>
      <c r="AB2" s="585"/>
      <c r="AC2" s="585"/>
      <c r="AD2" s="586"/>
    </row>
    <row r="3" spans="1:30" ht="20.100000000000001" customHeight="1" x14ac:dyDescent="0.3">
      <c r="A3" s="646"/>
      <c r="B3" s="456" t="s">
        <v>58</v>
      </c>
      <c r="C3" s="456"/>
      <c r="D3" s="480"/>
      <c r="E3" s="480">
        <f>MON!O31</f>
        <v>0</v>
      </c>
      <c r="F3" s="480"/>
      <c r="G3" s="480"/>
      <c r="H3" s="449">
        <f>MON!S32</f>
        <v>0</v>
      </c>
      <c r="I3" s="449"/>
      <c r="J3" s="449"/>
      <c r="K3" s="449"/>
      <c r="L3" s="450" t="e">
        <f>MON!O32</f>
        <v>#DIV/0!</v>
      </c>
      <c r="M3" s="450"/>
      <c r="N3" s="450"/>
      <c r="O3" s="450"/>
      <c r="P3" s="450"/>
      <c r="Q3" s="513"/>
      <c r="R3" s="514"/>
      <c r="S3" s="514"/>
      <c r="T3" s="514"/>
      <c r="U3" s="515"/>
      <c r="V3" s="578"/>
      <c r="W3" s="579"/>
      <c r="X3" s="579"/>
      <c r="Y3" s="579"/>
      <c r="Z3" s="580"/>
      <c r="AA3" s="587"/>
      <c r="AB3" s="588"/>
      <c r="AC3" s="588"/>
      <c r="AD3" s="589"/>
    </row>
    <row r="4" spans="1:30" ht="20.100000000000001" customHeight="1" x14ac:dyDescent="0.3">
      <c r="A4" s="646"/>
      <c r="B4" s="456" t="s">
        <v>45</v>
      </c>
      <c r="C4" s="456"/>
      <c r="D4" s="480"/>
      <c r="E4" s="480">
        <f>MON!P31</f>
        <v>0</v>
      </c>
      <c r="F4" s="480"/>
      <c r="G4" s="480"/>
      <c r="H4" s="449">
        <f>MON!K31</f>
        <v>0</v>
      </c>
      <c r="I4" s="449"/>
      <c r="J4" s="449"/>
      <c r="K4" s="449"/>
      <c r="L4" s="450" t="e">
        <f>MON!P32</f>
        <v>#DIV/0!</v>
      </c>
      <c r="M4" s="450"/>
      <c r="N4" s="450"/>
      <c r="O4" s="450"/>
      <c r="P4" s="450"/>
      <c r="Q4" s="513"/>
      <c r="R4" s="514"/>
      <c r="S4" s="514"/>
      <c r="T4" s="514"/>
      <c r="U4" s="515"/>
      <c r="V4" s="578"/>
      <c r="W4" s="579"/>
      <c r="X4" s="579"/>
      <c r="Y4" s="579"/>
      <c r="Z4" s="580"/>
      <c r="AA4" s="587"/>
      <c r="AB4" s="588"/>
      <c r="AC4" s="588"/>
      <c r="AD4" s="589"/>
    </row>
    <row r="5" spans="1:30" ht="20.100000000000001" customHeight="1" x14ac:dyDescent="0.3">
      <c r="A5" s="646"/>
      <c r="B5" s="454" t="s">
        <v>65</v>
      </c>
      <c r="C5" s="455"/>
      <c r="D5" s="456"/>
      <c r="E5" s="454">
        <f>MON!Q31</f>
        <v>0</v>
      </c>
      <c r="F5" s="455"/>
      <c r="G5" s="456"/>
      <c r="H5" s="502">
        <f>MON!J31</f>
        <v>0</v>
      </c>
      <c r="I5" s="503"/>
      <c r="J5" s="503"/>
      <c r="K5" s="504"/>
      <c r="L5" s="505" t="e">
        <f>MON!Q32</f>
        <v>#DIV/0!</v>
      </c>
      <c r="M5" s="506"/>
      <c r="N5" s="506"/>
      <c r="O5" s="506"/>
      <c r="P5" s="507"/>
      <c r="Q5" s="516"/>
      <c r="R5" s="517"/>
      <c r="S5" s="517"/>
      <c r="T5" s="517"/>
      <c r="U5" s="518"/>
      <c r="V5" s="581"/>
      <c r="W5" s="582"/>
      <c r="X5" s="582"/>
      <c r="Y5" s="582"/>
      <c r="Z5" s="583"/>
      <c r="AA5" s="590"/>
      <c r="AB5" s="591"/>
      <c r="AC5" s="591"/>
      <c r="AD5" s="592"/>
    </row>
    <row r="6" spans="1:30" ht="20.100000000000001" customHeight="1" x14ac:dyDescent="0.3">
      <c r="A6" s="647"/>
      <c r="B6" s="454" t="s">
        <v>94</v>
      </c>
      <c r="C6" s="455"/>
      <c r="D6" s="456"/>
      <c r="E6" s="454">
        <f>MON!U16</f>
        <v>0</v>
      </c>
      <c r="F6" s="455"/>
      <c r="G6" s="456"/>
      <c r="H6" s="502" t="s">
        <v>95</v>
      </c>
      <c r="I6" s="503"/>
      <c r="J6" s="503"/>
      <c r="K6" s="504"/>
      <c r="L6" s="558">
        <f>MON!T2</f>
        <v>0</v>
      </c>
      <c r="M6" s="559"/>
      <c r="N6" s="559"/>
      <c r="O6" s="559"/>
      <c r="P6" s="560"/>
      <c r="Q6" s="561"/>
      <c r="R6" s="562"/>
      <c r="S6" s="562"/>
      <c r="T6" s="562"/>
      <c r="U6" s="563"/>
      <c r="V6" s="666"/>
      <c r="W6" s="667"/>
      <c r="X6" s="667"/>
      <c r="Y6" s="667"/>
      <c r="Z6" s="668"/>
      <c r="AA6" s="669"/>
      <c r="AB6" s="670"/>
      <c r="AC6" s="670"/>
      <c r="AD6" s="671"/>
    </row>
    <row r="7" spans="1:30" ht="20.100000000000001" customHeight="1" x14ac:dyDescent="0.3">
      <c r="A7" s="648" t="s">
        <v>67</v>
      </c>
      <c r="B7" s="472" t="s">
        <v>57</v>
      </c>
      <c r="C7" s="472"/>
      <c r="D7" s="473"/>
      <c r="E7" s="473">
        <f>TUE!N31</f>
        <v>0</v>
      </c>
      <c r="F7" s="473"/>
      <c r="G7" s="473"/>
      <c r="H7" s="451">
        <f>TUE!S31</f>
        <v>0</v>
      </c>
      <c r="I7" s="451"/>
      <c r="J7" s="451"/>
      <c r="K7" s="451"/>
      <c r="L7" s="464" t="e">
        <f>TUE!N32</f>
        <v>#DIV/0!</v>
      </c>
      <c r="M7" s="465"/>
      <c r="N7" s="465"/>
      <c r="O7" s="465"/>
      <c r="P7" s="466"/>
      <c r="Q7" s="540">
        <f>SUM(E7:G10)</f>
        <v>0</v>
      </c>
      <c r="R7" s="541"/>
      <c r="S7" s="541"/>
      <c r="T7" s="541"/>
      <c r="U7" s="542"/>
      <c r="V7" s="566">
        <f>SUM(H7,H8,H10)</f>
        <v>0</v>
      </c>
      <c r="W7" s="567"/>
      <c r="X7" s="567"/>
      <c r="Y7" s="567"/>
      <c r="Z7" s="568"/>
      <c r="AA7" s="593" t="e">
        <f>V7/Q7</f>
        <v>#DIV/0!</v>
      </c>
      <c r="AB7" s="594"/>
      <c r="AC7" s="594"/>
      <c r="AD7" s="595"/>
    </row>
    <row r="8" spans="1:30" ht="20.100000000000001" customHeight="1" x14ac:dyDescent="0.3">
      <c r="A8" s="649"/>
      <c r="B8" s="472" t="s">
        <v>58</v>
      </c>
      <c r="C8" s="472"/>
      <c r="D8" s="473"/>
      <c r="E8" s="473">
        <f>TUE!O31</f>
        <v>0</v>
      </c>
      <c r="F8" s="473"/>
      <c r="G8" s="473"/>
      <c r="H8" s="451">
        <f>TUE!S32</f>
        <v>0</v>
      </c>
      <c r="I8" s="451"/>
      <c r="J8" s="451"/>
      <c r="K8" s="451"/>
      <c r="L8" s="464" t="e">
        <f>TUE!O32</f>
        <v>#DIV/0!</v>
      </c>
      <c r="M8" s="465"/>
      <c r="N8" s="465"/>
      <c r="O8" s="465"/>
      <c r="P8" s="466"/>
      <c r="Q8" s="543"/>
      <c r="R8" s="544"/>
      <c r="S8" s="544"/>
      <c r="T8" s="544"/>
      <c r="U8" s="545"/>
      <c r="V8" s="569"/>
      <c r="W8" s="570"/>
      <c r="X8" s="570"/>
      <c r="Y8" s="570"/>
      <c r="Z8" s="571"/>
      <c r="AA8" s="596"/>
      <c r="AB8" s="597"/>
      <c r="AC8" s="597"/>
      <c r="AD8" s="598"/>
    </row>
    <row r="9" spans="1:30" ht="20.100000000000001" customHeight="1" x14ac:dyDescent="0.3">
      <c r="A9" s="649"/>
      <c r="B9" s="472" t="s">
        <v>45</v>
      </c>
      <c r="C9" s="472"/>
      <c r="D9" s="473"/>
      <c r="E9" s="473">
        <f>TUE!P31</f>
        <v>0</v>
      </c>
      <c r="F9" s="473"/>
      <c r="G9" s="473"/>
      <c r="H9" s="451">
        <f>TUE!K31</f>
        <v>0</v>
      </c>
      <c r="I9" s="451"/>
      <c r="J9" s="451"/>
      <c r="K9" s="451"/>
      <c r="L9" s="464" t="e">
        <f>TUE!P32</f>
        <v>#DIV/0!</v>
      </c>
      <c r="M9" s="465"/>
      <c r="N9" s="465"/>
      <c r="O9" s="465"/>
      <c r="P9" s="466"/>
      <c r="Q9" s="543"/>
      <c r="R9" s="544"/>
      <c r="S9" s="544"/>
      <c r="T9" s="544"/>
      <c r="U9" s="545"/>
      <c r="V9" s="569"/>
      <c r="W9" s="570"/>
      <c r="X9" s="570"/>
      <c r="Y9" s="570"/>
      <c r="Z9" s="571"/>
      <c r="AA9" s="596"/>
      <c r="AB9" s="597"/>
      <c r="AC9" s="597"/>
      <c r="AD9" s="598"/>
    </row>
    <row r="10" spans="1:30" ht="20.100000000000001" customHeight="1" x14ac:dyDescent="0.3">
      <c r="A10" s="649"/>
      <c r="B10" s="508" t="s">
        <v>65</v>
      </c>
      <c r="C10" s="509"/>
      <c r="D10" s="472"/>
      <c r="E10" s="508">
        <f>TUE!Q31</f>
        <v>0</v>
      </c>
      <c r="F10" s="509"/>
      <c r="G10" s="472"/>
      <c r="H10" s="481">
        <f>TUE!J31</f>
        <v>0</v>
      </c>
      <c r="I10" s="482"/>
      <c r="J10" s="482"/>
      <c r="K10" s="483"/>
      <c r="L10" s="464" t="e">
        <f>TUE!Q32</f>
        <v>#DIV/0!</v>
      </c>
      <c r="M10" s="465"/>
      <c r="N10" s="465"/>
      <c r="O10" s="465"/>
      <c r="P10" s="466"/>
      <c r="Q10" s="546"/>
      <c r="R10" s="547"/>
      <c r="S10" s="547"/>
      <c r="T10" s="547"/>
      <c r="U10" s="548"/>
      <c r="V10" s="572"/>
      <c r="W10" s="573"/>
      <c r="X10" s="573"/>
      <c r="Y10" s="573"/>
      <c r="Z10" s="574"/>
      <c r="AA10" s="599"/>
      <c r="AB10" s="600"/>
      <c r="AC10" s="600"/>
      <c r="AD10" s="601"/>
    </row>
    <row r="11" spans="1:30" ht="20.100000000000001" customHeight="1" x14ac:dyDescent="0.3">
      <c r="A11" s="650"/>
      <c r="B11" s="508" t="s">
        <v>94</v>
      </c>
      <c r="C11" s="509"/>
      <c r="D11" s="472"/>
      <c r="E11" s="508">
        <f>TUE!U16</f>
        <v>0</v>
      </c>
      <c r="F11" s="509"/>
      <c r="G11" s="472"/>
      <c r="H11" s="481" t="s">
        <v>95</v>
      </c>
      <c r="I11" s="482"/>
      <c r="J11" s="482"/>
      <c r="K11" s="483"/>
      <c r="L11" s="672">
        <f>TUE!T2</f>
        <v>0</v>
      </c>
      <c r="M11" s="673"/>
      <c r="N11" s="673"/>
      <c r="O11" s="673"/>
      <c r="P11" s="674"/>
      <c r="Q11" s="675"/>
      <c r="R11" s="676"/>
      <c r="S11" s="676"/>
      <c r="T11" s="676"/>
      <c r="U11" s="677"/>
      <c r="V11" s="678"/>
      <c r="W11" s="679"/>
      <c r="X11" s="679"/>
      <c r="Y11" s="679"/>
      <c r="Z11" s="680"/>
      <c r="AA11" s="681"/>
      <c r="AB11" s="682"/>
      <c r="AC11" s="682"/>
      <c r="AD11" s="683"/>
    </row>
    <row r="12" spans="1:30" ht="20.100000000000001" customHeight="1" x14ac:dyDescent="0.3">
      <c r="A12" s="651" t="s">
        <v>68</v>
      </c>
      <c r="B12" s="457" t="s">
        <v>57</v>
      </c>
      <c r="C12" s="457"/>
      <c r="D12" s="271"/>
      <c r="E12" s="271">
        <f>WED!N31</f>
        <v>0</v>
      </c>
      <c r="F12" s="271"/>
      <c r="G12" s="271"/>
      <c r="H12" s="458">
        <f>WED!S31</f>
        <v>0</v>
      </c>
      <c r="I12" s="459"/>
      <c r="J12" s="459"/>
      <c r="K12" s="460"/>
      <c r="L12" s="461" t="e">
        <f>WED!N32</f>
        <v>#DIV/0!</v>
      </c>
      <c r="M12" s="462"/>
      <c r="N12" s="462"/>
      <c r="O12" s="462"/>
      <c r="P12" s="463"/>
      <c r="Q12" s="519">
        <f>SUM(E12:G15)</f>
        <v>0</v>
      </c>
      <c r="R12" s="520"/>
      <c r="S12" s="520"/>
      <c r="T12" s="520"/>
      <c r="U12" s="521"/>
      <c r="V12" s="693">
        <f>SUM(H12,H13,H15)</f>
        <v>0</v>
      </c>
      <c r="W12" s="694"/>
      <c r="X12" s="694"/>
      <c r="Y12" s="694"/>
      <c r="Z12" s="695"/>
      <c r="AA12" s="684" t="e">
        <f>V12/Q12</f>
        <v>#DIV/0!</v>
      </c>
      <c r="AB12" s="685"/>
      <c r="AC12" s="685"/>
      <c r="AD12" s="686"/>
    </row>
    <row r="13" spans="1:30" ht="20.100000000000001" customHeight="1" x14ac:dyDescent="0.3">
      <c r="A13" s="652"/>
      <c r="B13" s="457" t="s">
        <v>58</v>
      </c>
      <c r="C13" s="457"/>
      <c r="D13" s="271"/>
      <c r="E13" s="271">
        <f>WED!O31</f>
        <v>0</v>
      </c>
      <c r="F13" s="271"/>
      <c r="G13" s="271"/>
      <c r="H13" s="458">
        <f>WED!S32</f>
        <v>0</v>
      </c>
      <c r="I13" s="459"/>
      <c r="J13" s="459"/>
      <c r="K13" s="460"/>
      <c r="L13" s="461" t="e">
        <f>WED!O32</f>
        <v>#DIV/0!</v>
      </c>
      <c r="M13" s="462"/>
      <c r="N13" s="462"/>
      <c r="O13" s="462"/>
      <c r="P13" s="463"/>
      <c r="Q13" s="522"/>
      <c r="R13" s="523"/>
      <c r="S13" s="523"/>
      <c r="T13" s="523"/>
      <c r="U13" s="524"/>
      <c r="V13" s="696"/>
      <c r="W13" s="697"/>
      <c r="X13" s="697"/>
      <c r="Y13" s="697"/>
      <c r="Z13" s="698"/>
      <c r="AA13" s="687"/>
      <c r="AB13" s="688"/>
      <c r="AC13" s="688"/>
      <c r="AD13" s="689"/>
    </row>
    <row r="14" spans="1:30" ht="20.100000000000001" customHeight="1" x14ac:dyDescent="0.3">
      <c r="A14" s="652"/>
      <c r="B14" s="457" t="s">
        <v>45</v>
      </c>
      <c r="C14" s="457"/>
      <c r="D14" s="271"/>
      <c r="E14" s="271">
        <f>WED!P31</f>
        <v>0</v>
      </c>
      <c r="F14" s="271"/>
      <c r="G14" s="271"/>
      <c r="H14" s="458">
        <f>WED!K31</f>
        <v>0</v>
      </c>
      <c r="I14" s="459"/>
      <c r="J14" s="459"/>
      <c r="K14" s="460"/>
      <c r="L14" s="461" t="e">
        <f>WED!P32</f>
        <v>#DIV/0!</v>
      </c>
      <c r="M14" s="462"/>
      <c r="N14" s="462"/>
      <c r="O14" s="462"/>
      <c r="P14" s="463"/>
      <c r="Q14" s="522"/>
      <c r="R14" s="523"/>
      <c r="S14" s="523"/>
      <c r="T14" s="523"/>
      <c r="U14" s="524"/>
      <c r="V14" s="696"/>
      <c r="W14" s="697"/>
      <c r="X14" s="697"/>
      <c r="Y14" s="697"/>
      <c r="Z14" s="698"/>
      <c r="AA14" s="687"/>
      <c r="AB14" s="688"/>
      <c r="AC14" s="688"/>
      <c r="AD14" s="689"/>
    </row>
    <row r="15" spans="1:30" ht="20.100000000000001" customHeight="1" x14ac:dyDescent="0.3">
      <c r="A15" s="652"/>
      <c r="B15" s="474" t="s">
        <v>65</v>
      </c>
      <c r="C15" s="475"/>
      <c r="D15" s="457"/>
      <c r="E15" s="474">
        <f>WED!Q31</f>
        <v>0</v>
      </c>
      <c r="F15" s="475"/>
      <c r="G15" s="457"/>
      <c r="H15" s="458">
        <f>WED!J31</f>
        <v>0</v>
      </c>
      <c r="I15" s="459"/>
      <c r="J15" s="459"/>
      <c r="K15" s="460"/>
      <c r="L15" s="461" t="e">
        <f>WED!Q32</f>
        <v>#DIV/0!</v>
      </c>
      <c r="M15" s="462"/>
      <c r="N15" s="462"/>
      <c r="O15" s="462"/>
      <c r="P15" s="463"/>
      <c r="Q15" s="525"/>
      <c r="R15" s="526"/>
      <c r="S15" s="526"/>
      <c r="T15" s="526"/>
      <c r="U15" s="527"/>
      <c r="V15" s="699"/>
      <c r="W15" s="700"/>
      <c r="X15" s="700"/>
      <c r="Y15" s="700"/>
      <c r="Z15" s="701"/>
      <c r="AA15" s="690"/>
      <c r="AB15" s="691"/>
      <c r="AC15" s="691"/>
      <c r="AD15" s="692"/>
    </row>
    <row r="16" spans="1:30" ht="20.100000000000001" customHeight="1" x14ac:dyDescent="0.3">
      <c r="A16" s="653"/>
      <c r="B16" s="474" t="s">
        <v>94</v>
      </c>
      <c r="C16" s="475"/>
      <c r="D16" s="457"/>
      <c r="E16" s="474">
        <f>WED!U16</f>
        <v>0</v>
      </c>
      <c r="F16" s="475"/>
      <c r="G16" s="457"/>
      <c r="H16" s="458" t="s">
        <v>95</v>
      </c>
      <c r="I16" s="459"/>
      <c r="J16" s="459"/>
      <c r="K16" s="460"/>
      <c r="L16" s="477">
        <f>WED!T2</f>
        <v>0</v>
      </c>
      <c r="M16" s="478"/>
      <c r="N16" s="478"/>
      <c r="O16" s="478"/>
      <c r="P16" s="479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654" t="s">
        <v>69</v>
      </c>
      <c r="B17" s="421" t="s">
        <v>57</v>
      </c>
      <c r="C17" s="421"/>
      <c r="D17" s="468"/>
      <c r="E17" s="468">
        <f>THU!N31</f>
        <v>0</v>
      </c>
      <c r="F17" s="468"/>
      <c r="G17" s="468"/>
      <c r="H17" s="476">
        <f>THU!S31</f>
        <v>0</v>
      </c>
      <c r="I17" s="476"/>
      <c r="J17" s="476"/>
      <c r="K17" s="476"/>
      <c r="L17" s="467" t="e">
        <f>THU!N32</f>
        <v>#DIV/0!</v>
      </c>
      <c r="M17" s="467"/>
      <c r="N17" s="467"/>
      <c r="O17" s="467"/>
      <c r="P17" s="467"/>
      <c r="Q17" s="549">
        <f>SUM(E17:G20)</f>
        <v>0</v>
      </c>
      <c r="R17" s="550"/>
      <c r="S17" s="550"/>
      <c r="T17" s="550"/>
      <c r="U17" s="551"/>
      <c r="V17" s="493">
        <f>SUM(H17,H18,H20)</f>
        <v>0</v>
      </c>
      <c r="W17" s="494"/>
      <c r="X17" s="494"/>
      <c r="Y17" s="494"/>
      <c r="Z17" s="495"/>
      <c r="AA17" s="484" t="e">
        <f>V17/Q17</f>
        <v>#DIV/0!</v>
      </c>
      <c r="AB17" s="485"/>
      <c r="AC17" s="485"/>
      <c r="AD17" s="486"/>
    </row>
    <row r="18" spans="1:30" ht="20.100000000000001" customHeight="1" x14ac:dyDescent="0.3">
      <c r="A18" s="655"/>
      <c r="B18" s="421" t="s">
        <v>58</v>
      </c>
      <c r="C18" s="421"/>
      <c r="D18" s="468"/>
      <c r="E18" s="468">
        <f>THU!O31</f>
        <v>0</v>
      </c>
      <c r="F18" s="468"/>
      <c r="G18" s="468"/>
      <c r="H18" s="476">
        <f>THU!S32</f>
        <v>0</v>
      </c>
      <c r="I18" s="476"/>
      <c r="J18" s="476"/>
      <c r="K18" s="476"/>
      <c r="L18" s="467" t="e">
        <f>THU!O32</f>
        <v>#DIV/0!</v>
      </c>
      <c r="M18" s="467"/>
      <c r="N18" s="467"/>
      <c r="O18" s="467"/>
      <c r="P18" s="467"/>
      <c r="Q18" s="552"/>
      <c r="R18" s="553"/>
      <c r="S18" s="553"/>
      <c r="T18" s="553"/>
      <c r="U18" s="554"/>
      <c r="V18" s="496"/>
      <c r="W18" s="497"/>
      <c r="X18" s="497"/>
      <c r="Y18" s="497"/>
      <c r="Z18" s="498"/>
      <c r="AA18" s="487"/>
      <c r="AB18" s="488"/>
      <c r="AC18" s="488"/>
      <c r="AD18" s="489"/>
    </row>
    <row r="19" spans="1:30" ht="20.100000000000001" customHeight="1" x14ac:dyDescent="0.3">
      <c r="A19" s="655"/>
      <c r="B19" s="421" t="s">
        <v>45</v>
      </c>
      <c r="C19" s="421"/>
      <c r="D19" s="468"/>
      <c r="E19" s="468">
        <f>THU!P31</f>
        <v>0</v>
      </c>
      <c r="F19" s="468"/>
      <c r="G19" s="468"/>
      <c r="H19" s="476">
        <f>THU!K31</f>
        <v>0</v>
      </c>
      <c r="I19" s="476"/>
      <c r="J19" s="476"/>
      <c r="K19" s="476"/>
      <c r="L19" s="467" t="e">
        <f>THU!P32</f>
        <v>#DIV/0!</v>
      </c>
      <c r="M19" s="467"/>
      <c r="N19" s="467"/>
      <c r="O19" s="467"/>
      <c r="P19" s="467"/>
      <c r="Q19" s="552"/>
      <c r="R19" s="553"/>
      <c r="S19" s="553"/>
      <c r="T19" s="553"/>
      <c r="U19" s="554"/>
      <c r="V19" s="496"/>
      <c r="W19" s="497"/>
      <c r="X19" s="497"/>
      <c r="Y19" s="497"/>
      <c r="Z19" s="498"/>
      <c r="AA19" s="487"/>
      <c r="AB19" s="488"/>
      <c r="AC19" s="488"/>
      <c r="AD19" s="489"/>
    </row>
    <row r="20" spans="1:30" ht="20.100000000000001" customHeight="1" x14ac:dyDescent="0.3">
      <c r="A20" s="655"/>
      <c r="B20" s="419" t="s">
        <v>65</v>
      </c>
      <c r="C20" s="420"/>
      <c r="D20" s="421"/>
      <c r="E20" s="419">
        <f>THU!Q31</f>
        <v>0</v>
      </c>
      <c r="F20" s="420"/>
      <c r="G20" s="421"/>
      <c r="H20" s="413">
        <f>THU!J31</f>
        <v>0</v>
      </c>
      <c r="I20" s="414"/>
      <c r="J20" s="414"/>
      <c r="K20" s="415"/>
      <c r="L20" s="469" t="e">
        <f>THU!Q32</f>
        <v>#DIV/0!</v>
      </c>
      <c r="M20" s="470"/>
      <c r="N20" s="470"/>
      <c r="O20" s="470"/>
      <c r="P20" s="471"/>
      <c r="Q20" s="555"/>
      <c r="R20" s="556"/>
      <c r="S20" s="556"/>
      <c r="T20" s="556"/>
      <c r="U20" s="557"/>
      <c r="V20" s="499"/>
      <c r="W20" s="500"/>
      <c r="X20" s="500"/>
      <c r="Y20" s="500"/>
      <c r="Z20" s="501"/>
      <c r="AA20" s="490"/>
      <c r="AB20" s="491"/>
      <c r="AC20" s="491"/>
      <c r="AD20" s="492"/>
    </row>
    <row r="21" spans="1:30" ht="20.100000000000001" customHeight="1" x14ac:dyDescent="0.3">
      <c r="A21" s="656"/>
      <c r="B21" s="419" t="s">
        <v>94</v>
      </c>
      <c r="C21" s="420"/>
      <c r="D21" s="421"/>
      <c r="E21" s="419">
        <f>THU!U16</f>
        <v>0</v>
      </c>
      <c r="F21" s="420"/>
      <c r="G21" s="421"/>
      <c r="H21" s="413" t="s">
        <v>95</v>
      </c>
      <c r="I21" s="414"/>
      <c r="J21" s="414"/>
      <c r="K21" s="415"/>
      <c r="L21" s="378">
        <f>THU!T2</f>
        <v>0</v>
      </c>
      <c r="M21" s="379"/>
      <c r="N21" s="379"/>
      <c r="O21" s="379"/>
      <c r="P21" s="380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657" t="s">
        <v>93</v>
      </c>
      <c r="B22" s="376" t="s">
        <v>57</v>
      </c>
      <c r="C22" s="376"/>
      <c r="D22" s="377"/>
      <c r="E22" s="377">
        <f>FRI!N31</f>
        <v>0</v>
      </c>
      <c r="F22" s="377"/>
      <c r="G22" s="377"/>
      <c r="H22" s="452">
        <f>FRI!S31</f>
        <v>0</v>
      </c>
      <c r="I22" s="452"/>
      <c r="J22" s="452"/>
      <c r="K22" s="452"/>
      <c r="L22" s="453" t="e">
        <f>FRI!N32</f>
        <v>#DIV/0!</v>
      </c>
      <c r="M22" s="453"/>
      <c r="N22" s="453"/>
      <c r="O22" s="453"/>
      <c r="P22" s="453"/>
      <c r="Q22" s="431">
        <f>SUM(E22:G25)</f>
        <v>0</v>
      </c>
      <c r="R22" s="432"/>
      <c r="S22" s="432"/>
      <c r="T22" s="432"/>
      <c r="U22" s="433"/>
      <c r="V22" s="440">
        <f>SUM(H22,H23,H25)</f>
        <v>0</v>
      </c>
      <c r="W22" s="441"/>
      <c r="X22" s="441"/>
      <c r="Y22" s="441"/>
      <c r="Z22" s="442"/>
      <c r="AA22" s="384" t="e">
        <f>V22/Q22</f>
        <v>#DIV/0!</v>
      </c>
      <c r="AB22" s="385"/>
      <c r="AC22" s="385"/>
      <c r="AD22" s="386"/>
    </row>
    <row r="23" spans="1:30" ht="20.100000000000001" customHeight="1" x14ac:dyDescent="0.3">
      <c r="A23" s="658"/>
      <c r="B23" s="376" t="s">
        <v>58</v>
      </c>
      <c r="C23" s="376"/>
      <c r="D23" s="377"/>
      <c r="E23" s="377">
        <f>FRI!O31</f>
        <v>0</v>
      </c>
      <c r="F23" s="377"/>
      <c r="G23" s="377"/>
      <c r="H23" s="452">
        <f>FRI!S32</f>
        <v>0</v>
      </c>
      <c r="I23" s="452"/>
      <c r="J23" s="452"/>
      <c r="K23" s="452"/>
      <c r="L23" s="453" t="e">
        <f>FRI!O32</f>
        <v>#DIV/0!</v>
      </c>
      <c r="M23" s="453"/>
      <c r="N23" s="453"/>
      <c r="O23" s="453"/>
      <c r="P23" s="453"/>
      <c r="Q23" s="434"/>
      <c r="R23" s="435"/>
      <c r="S23" s="435"/>
      <c r="T23" s="435"/>
      <c r="U23" s="436"/>
      <c r="V23" s="443"/>
      <c r="W23" s="444"/>
      <c r="X23" s="444"/>
      <c r="Y23" s="444"/>
      <c r="Z23" s="445"/>
      <c r="AA23" s="387"/>
      <c r="AB23" s="388"/>
      <c r="AC23" s="388"/>
      <c r="AD23" s="389"/>
    </row>
    <row r="24" spans="1:30" ht="20.100000000000001" customHeight="1" x14ac:dyDescent="0.3">
      <c r="A24" s="658"/>
      <c r="B24" s="376" t="s">
        <v>45</v>
      </c>
      <c r="C24" s="376"/>
      <c r="D24" s="377"/>
      <c r="E24" s="377">
        <f>FRI!P31</f>
        <v>0</v>
      </c>
      <c r="F24" s="377"/>
      <c r="G24" s="377"/>
      <c r="H24" s="452">
        <f>FRI!K31</f>
        <v>0</v>
      </c>
      <c r="I24" s="452"/>
      <c r="J24" s="452"/>
      <c r="K24" s="452"/>
      <c r="L24" s="453" t="e">
        <f>FRI!P32</f>
        <v>#DIV/0!</v>
      </c>
      <c r="M24" s="453"/>
      <c r="N24" s="453"/>
      <c r="O24" s="453"/>
      <c r="P24" s="453"/>
      <c r="Q24" s="434"/>
      <c r="R24" s="435"/>
      <c r="S24" s="435"/>
      <c r="T24" s="435"/>
      <c r="U24" s="436"/>
      <c r="V24" s="443"/>
      <c r="W24" s="444"/>
      <c r="X24" s="444"/>
      <c r="Y24" s="444"/>
      <c r="Z24" s="445"/>
      <c r="AA24" s="387"/>
      <c r="AB24" s="388"/>
      <c r="AC24" s="388"/>
      <c r="AD24" s="389"/>
    </row>
    <row r="25" spans="1:30" ht="20.100000000000001" customHeight="1" x14ac:dyDescent="0.3">
      <c r="A25" s="658"/>
      <c r="B25" s="422" t="s">
        <v>65</v>
      </c>
      <c r="C25" s="423"/>
      <c r="D25" s="376"/>
      <c r="E25" s="422">
        <f>FRI!Q31</f>
        <v>0</v>
      </c>
      <c r="F25" s="423"/>
      <c r="G25" s="376"/>
      <c r="H25" s="416">
        <f>FRI!J31</f>
        <v>0</v>
      </c>
      <c r="I25" s="417"/>
      <c r="J25" s="417"/>
      <c r="K25" s="418"/>
      <c r="L25" s="428" t="e">
        <f>FRI!Q32</f>
        <v>#DIV/0!</v>
      </c>
      <c r="M25" s="429"/>
      <c r="N25" s="429"/>
      <c r="O25" s="429"/>
      <c r="P25" s="430"/>
      <c r="Q25" s="437"/>
      <c r="R25" s="438"/>
      <c r="S25" s="438"/>
      <c r="T25" s="438"/>
      <c r="U25" s="439"/>
      <c r="V25" s="446"/>
      <c r="W25" s="447"/>
      <c r="X25" s="447"/>
      <c r="Y25" s="447"/>
      <c r="Z25" s="448"/>
      <c r="AA25" s="390"/>
      <c r="AB25" s="391"/>
      <c r="AC25" s="391"/>
      <c r="AD25" s="392"/>
    </row>
    <row r="26" spans="1:30" ht="20.100000000000001" customHeight="1" x14ac:dyDescent="0.3">
      <c r="A26" s="659"/>
      <c r="B26" s="422" t="s">
        <v>94</v>
      </c>
      <c r="C26" s="423"/>
      <c r="D26" s="376"/>
      <c r="E26" s="422">
        <f>FRI!U16</f>
        <v>0</v>
      </c>
      <c r="F26" s="423"/>
      <c r="G26" s="376"/>
      <c r="H26" s="416" t="s">
        <v>95</v>
      </c>
      <c r="I26" s="417"/>
      <c r="J26" s="417"/>
      <c r="K26" s="418"/>
      <c r="L26" s="381">
        <f>FRI!T2</f>
        <v>0</v>
      </c>
      <c r="M26" s="382"/>
      <c r="N26" s="382"/>
      <c r="O26" s="382"/>
      <c r="P26" s="383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660" t="s">
        <v>70</v>
      </c>
      <c r="B27" s="426" t="s">
        <v>57</v>
      </c>
      <c r="C27" s="426"/>
      <c r="D27" s="411"/>
      <c r="E27" s="411">
        <f>SAT!N31</f>
        <v>0</v>
      </c>
      <c r="F27" s="411"/>
      <c r="G27" s="411"/>
      <c r="H27" s="412">
        <f>SAT!S31</f>
        <v>0</v>
      </c>
      <c r="I27" s="412"/>
      <c r="J27" s="412"/>
      <c r="K27" s="412"/>
      <c r="L27" s="427" t="e">
        <f>SAT!N32</f>
        <v>#DIV/0!</v>
      </c>
      <c r="M27" s="427"/>
      <c r="N27" s="427"/>
      <c r="O27" s="427"/>
      <c r="P27" s="427"/>
      <c r="Q27" s="528">
        <f>SUM(E27:G30)</f>
        <v>0</v>
      </c>
      <c r="R27" s="529"/>
      <c r="S27" s="529"/>
      <c r="T27" s="529"/>
      <c r="U27" s="530"/>
      <c r="V27" s="402">
        <f>SUM(H27,H28,H30)</f>
        <v>0</v>
      </c>
      <c r="W27" s="403"/>
      <c r="X27" s="403"/>
      <c r="Y27" s="403"/>
      <c r="Z27" s="404"/>
      <c r="AA27" s="393" t="e">
        <f>V27/Q27</f>
        <v>#DIV/0!</v>
      </c>
      <c r="AB27" s="394"/>
      <c r="AC27" s="394"/>
      <c r="AD27" s="395"/>
    </row>
    <row r="28" spans="1:30" ht="20.100000000000001" customHeight="1" x14ac:dyDescent="0.3">
      <c r="A28" s="661"/>
      <c r="B28" s="426" t="s">
        <v>58</v>
      </c>
      <c r="C28" s="426"/>
      <c r="D28" s="411"/>
      <c r="E28" s="411">
        <f>SAT!O31</f>
        <v>0</v>
      </c>
      <c r="F28" s="411"/>
      <c r="G28" s="411"/>
      <c r="H28" s="412">
        <f>SAT!S32</f>
        <v>0</v>
      </c>
      <c r="I28" s="412"/>
      <c r="J28" s="412"/>
      <c r="K28" s="412"/>
      <c r="L28" s="427" t="e">
        <f>SAT!O32</f>
        <v>#DIV/0!</v>
      </c>
      <c r="M28" s="427"/>
      <c r="N28" s="427"/>
      <c r="O28" s="427"/>
      <c r="P28" s="427"/>
      <c r="Q28" s="531"/>
      <c r="R28" s="532"/>
      <c r="S28" s="532"/>
      <c r="T28" s="532"/>
      <c r="U28" s="533"/>
      <c r="V28" s="405"/>
      <c r="W28" s="406"/>
      <c r="X28" s="406"/>
      <c r="Y28" s="406"/>
      <c r="Z28" s="407"/>
      <c r="AA28" s="396"/>
      <c r="AB28" s="397"/>
      <c r="AC28" s="397"/>
      <c r="AD28" s="398"/>
    </row>
    <row r="29" spans="1:30" ht="20.100000000000001" customHeight="1" x14ac:dyDescent="0.3">
      <c r="A29" s="661"/>
      <c r="B29" s="426" t="s">
        <v>45</v>
      </c>
      <c r="C29" s="426"/>
      <c r="D29" s="411"/>
      <c r="E29" s="411">
        <f>SAT!P31</f>
        <v>0</v>
      </c>
      <c r="F29" s="411"/>
      <c r="G29" s="411"/>
      <c r="H29" s="412">
        <f>SAT!K31</f>
        <v>0</v>
      </c>
      <c r="I29" s="412"/>
      <c r="J29" s="412"/>
      <c r="K29" s="412"/>
      <c r="L29" s="427" t="e">
        <f>SAT!P32</f>
        <v>#DIV/0!</v>
      </c>
      <c r="M29" s="427"/>
      <c r="N29" s="427"/>
      <c r="O29" s="427"/>
      <c r="P29" s="427"/>
      <c r="Q29" s="531"/>
      <c r="R29" s="532"/>
      <c r="S29" s="532"/>
      <c r="T29" s="532"/>
      <c r="U29" s="533"/>
      <c r="V29" s="405"/>
      <c r="W29" s="406"/>
      <c r="X29" s="406"/>
      <c r="Y29" s="406"/>
      <c r="Z29" s="407"/>
      <c r="AA29" s="396"/>
      <c r="AB29" s="397"/>
      <c r="AC29" s="397"/>
      <c r="AD29" s="398"/>
    </row>
    <row r="30" spans="1:30" ht="20.100000000000001" customHeight="1" x14ac:dyDescent="0.3">
      <c r="A30" s="661"/>
      <c r="B30" s="424" t="s">
        <v>65</v>
      </c>
      <c r="C30" s="425"/>
      <c r="D30" s="426"/>
      <c r="E30" s="424">
        <f>SAT!Q31</f>
        <v>0</v>
      </c>
      <c r="F30" s="425"/>
      <c r="G30" s="426"/>
      <c r="H30" s="705">
        <f>SAT!J31</f>
        <v>0</v>
      </c>
      <c r="I30" s="706"/>
      <c r="J30" s="706"/>
      <c r="K30" s="707"/>
      <c r="L30" s="537" t="e">
        <f>SAT!Q32</f>
        <v>#DIV/0!</v>
      </c>
      <c r="M30" s="538"/>
      <c r="N30" s="538"/>
      <c r="O30" s="538"/>
      <c r="P30" s="539"/>
      <c r="Q30" s="534"/>
      <c r="R30" s="535"/>
      <c r="S30" s="535"/>
      <c r="T30" s="535"/>
      <c r="U30" s="536"/>
      <c r="V30" s="408"/>
      <c r="W30" s="409"/>
      <c r="X30" s="409"/>
      <c r="Y30" s="409"/>
      <c r="Z30" s="410"/>
      <c r="AA30" s="399"/>
      <c r="AB30" s="400"/>
      <c r="AC30" s="400"/>
      <c r="AD30" s="401"/>
    </row>
    <row r="31" spans="1:30" ht="20.100000000000001" customHeight="1" x14ac:dyDescent="0.3">
      <c r="A31" s="662"/>
      <c r="B31" s="424" t="s">
        <v>94</v>
      </c>
      <c r="C31" s="425"/>
      <c r="D31" s="426"/>
      <c r="E31" s="424">
        <f>SAT!U16</f>
        <v>0</v>
      </c>
      <c r="F31" s="425"/>
      <c r="G31" s="426"/>
      <c r="H31" s="705" t="s">
        <v>95</v>
      </c>
      <c r="I31" s="706"/>
      <c r="J31" s="706"/>
      <c r="K31" s="707"/>
      <c r="L31" s="702">
        <f>SAT!T2</f>
        <v>0</v>
      </c>
      <c r="M31" s="703"/>
      <c r="N31" s="703"/>
      <c r="O31" s="703"/>
      <c r="P31" s="704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663" t="s">
        <v>71</v>
      </c>
      <c r="B32" s="347" t="s">
        <v>57</v>
      </c>
      <c r="C32" s="348"/>
      <c r="D32" s="348"/>
      <c r="E32" s="348">
        <f>SUN!N31</f>
        <v>0</v>
      </c>
      <c r="F32" s="348"/>
      <c r="G32" s="348"/>
      <c r="H32" s="373">
        <f>SUN!S31</f>
        <v>0</v>
      </c>
      <c r="I32" s="373"/>
      <c r="J32" s="373"/>
      <c r="K32" s="373"/>
      <c r="L32" s="374" t="e">
        <f>SUN!N32</f>
        <v>#DIV/0!</v>
      </c>
      <c r="M32" s="374"/>
      <c r="N32" s="374"/>
      <c r="O32" s="374"/>
      <c r="P32" s="374"/>
      <c r="Q32" s="375">
        <f>SUM(E32:G35)</f>
        <v>0</v>
      </c>
      <c r="R32" s="375"/>
      <c r="S32" s="375"/>
      <c r="T32" s="375"/>
      <c r="U32" s="375"/>
      <c r="V32" s="346">
        <f>SUM(H32,H33,H35)</f>
        <v>0</v>
      </c>
      <c r="W32" s="346"/>
      <c r="X32" s="346"/>
      <c r="Y32" s="346"/>
      <c r="Z32" s="346"/>
      <c r="AA32" s="365" t="e">
        <f>V32/Q32</f>
        <v>#DIV/0!</v>
      </c>
      <c r="AB32" s="366"/>
      <c r="AC32" s="366"/>
      <c r="AD32" s="366"/>
    </row>
    <row r="33" spans="1:30" ht="20.100000000000001" customHeight="1" x14ac:dyDescent="0.3">
      <c r="A33" s="664"/>
      <c r="B33" s="347" t="s">
        <v>58</v>
      </c>
      <c r="C33" s="348"/>
      <c r="D33" s="348"/>
      <c r="E33" s="348">
        <f>SUN!O31</f>
        <v>0</v>
      </c>
      <c r="F33" s="348"/>
      <c r="G33" s="348"/>
      <c r="H33" s="373">
        <f>SUN!S32</f>
        <v>0</v>
      </c>
      <c r="I33" s="373"/>
      <c r="J33" s="373"/>
      <c r="K33" s="373"/>
      <c r="L33" s="374" t="e">
        <f>SUN!O32</f>
        <v>#DIV/0!</v>
      </c>
      <c r="M33" s="374"/>
      <c r="N33" s="374"/>
      <c r="O33" s="374"/>
      <c r="P33" s="374"/>
      <c r="Q33" s="375"/>
      <c r="R33" s="375"/>
      <c r="S33" s="375"/>
      <c r="T33" s="375"/>
      <c r="U33" s="375"/>
      <c r="V33" s="346"/>
      <c r="W33" s="346"/>
      <c r="X33" s="346"/>
      <c r="Y33" s="346"/>
      <c r="Z33" s="346"/>
      <c r="AA33" s="366"/>
      <c r="AB33" s="366"/>
      <c r="AC33" s="366"/>
      <c r="AD33" s="366"/>
    </row>
    <row r="34" spans="1:30" ht="20.100000000000001" customHeight="1" x14ac:dyDescent="0.3">
      <c r="A34" s="664"/>
      <c r="B34" s="347" t="s">
        <v>45</v>
      </c>
      <c r="C34" s="348"/>
      <c r="D34" s="348"/>
      <c r="E34" s="348">
        <f>SUN!P31</f>
        <v>0</v>
      </c>
      <c r="F34" s="348"/>
      <c r="G34" s="348"/>
      <c r="H34" s="373">
        <f>SUN!K31</f>
        <v>0</v>
      </c>
      <c r="I34" s="373"/>
      <c r="J34" s="373"/>
      <c r="K34" s="373"/>
      <c r="L34" s="374" t="e">
        <f>SUN!P32</f>
        <v>#DIV/0!</v>
      </c>
      <c r="M34" s="374"/>
      <c r="N34" s="374"/>
      <c r="O34" s="374"/>
      <c r="P34" s="374"/>
      <c r="Q34" s="375"/>
      <c r="R34" s="375"/>
      <c r="S34" s="375"/>
      <c r="T34" s="375"/>
      <c r="U34" s="375"/>
      <c r="V34" s="346"/>
      <c r="W34" s="346"/>
      <c r="X34" s="346"/>
      <c r="Y34" s="346"/>
      <c r="Z34" s="346"/>
      <c r="AA34" s="366"/>
      <c r="AB34" s="366"/>
      <c r="AC34" s="366"/>
      <c r="AD34" s="366"/>
    </row>
    <row r="35" spans="1:30" ht="20.100000000000001" customHeight="1" x14ac:dyDescent="0.3">
      <c r="A35" s="664"/>
      <c r="B35" s="347" t="s">
        <v>65</v>
      </c>
      <c r="C35" s="348"/>
      <c r="D35" s="348"/>
      <c r="E35" s="348">
        <f>SUN!Q31</f>
        <v>0</v>
      </c>
      <c r="F35" s="348"/>
      <c r="G35" s="348"/>
      <c r="H35" s="373">
        <f>SUN!J31</f>
        <v>0</v>
      </c>
      <c r="I35" s="373"/>
      <c r="J35" s="373"/>
      <c r="K35" s="373"/>
      <c r="L35" s="374" t="e">
        <f>SUN!Q32</f>
        <v>#DIV/0!</v>
      </c>
      <c r="M35" s="374"/>
      <c r="N35" s="374"/>
      <c r="O35" s="374"/>
      <c r="P35" s="374"/>
      <c r="Q35" s="375"/>
      <c r="R35" s="375"/>
      <c r="S35" s="375"/>
      <c r="T35" s="375"/>
      <c r="U35" s="375"/>
      <c r="V35" s="346"/>
      <c r="W35" s="346"/>
      <c r="X35" s="346"/>
      <c r="Y35" s="346"/>
      <c r="Z35" s="346"/>
      <c r="AA35" s="366"/>
      <c r="AB35" s="366"/>
      <c r="AC35" s="366"/>
      <c r="AD35" s="366"/>
    </row>
    <row r="36" spans="1:30" ht="20.100000000000001" customHeight="1" thickBot="1" x14ac:dyDescent="0.35">
      <c r="A36" s="665"/>
      <c r="B36" s="351" t="s">
        <v>94</v>
      </c>
      <c r="C36" s="352"/>
      <c r="D36" s="353"/>
      <c r="E36" s="351">
        <f>SUN!U16</f>
        <v>0</v>
      </c>
      <c r="F36" s="352"/>
      <c r="G36" s="353"/>
      <c r="H36" s="351" t="s">
        <v>95</v>
      </c>
      <c r="I36" s="352"/>
      <c r="J36" s="352"/>
      <c r="K36" s="353"/>
      <c r="L36" s="367">
        <f>SUN!T2</f>
        <v>0</v>
      </c>
      <c r="M36" s="368"/>
      <c r="N36" s="368"/>
      <c r="O36" s="368"/>
      <c r="P36" s="369"/>
      <c r="Q36" s="370"/>
      <c r="R36" s="371"/>
      <c r="S36" s="371"/>
      <c r="T36" s="371"/>
      <c r="U36" s="372"/>
      <c r="V36" s="354"/>
      <c r="W36" s="355"/>
      <c r="X36" s="355"/>
      <c r="Y36" s="355"/>
      <c r="Z36" s="356"/>
      <c r="AA36" s="357"/>
      <c r="AB36" s="358"/>
      <c r="AC36" s="358"/>
      <c r="AD36" s="359"/>
    </row>
    <row r="37" spans="1:30" ht="16.5" customHeight="1" x14ac:dyDescent="0.3">
      <c r="A37" s="337" t="s">
        <v>72</v>
      </c>
      <c r="B37" s="338"/>
      <c r="C37" s="338"/>
      <c r="D37" s="338"/>
      <c r="E37" s="338" t="s">
        <v>73</v>
      </c>
      <c r="F37" s="338"/>
      <c r="G37" s="338"/>
      <c r="H37" s="338"/>
      <c r="I37" s="338"/>
      <c r="J37" s="338"/>
      <c r="K37" s="338" t="s">
        <v>74</v>
      </c>
      <c r="L37" s="338"/>
      <c r="M37" s="338"/>
      <c r="N37" s="338"/>
      <c r="O37" s="338" t="s">
        <v>65</v>
      </c>
      <c r="P37" s="338"/>
      <c r="Q37" s="338"/>
      <c r="R37" s="338"/>
      <c r="S37" s="338"/>
      <c r="T37" s="338" t="s">
        <v>75</v>
      </c>
      <c r="U37" s="338"/>
      <c r="V37" s="338"/>
      <c r="W37" s="338"/>
      <c r="X37" s="338"/>
      <c r="Y37" s="338" t="s">
        <v>76</v>
      </c>
      <c r="Z37" s="338"/>
      <c r="AA37" s="338"/>
      <c r="AB37" s="338"/>
      <c r="AC37" s="338"/>
      <c r="AD37" s="349"/>
    </row>
    <row r="38" spans="1:30" ht="16.5" customHeight="1" x14ac:dyDescent="0.3">
      <c r="A38" s="339"/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50"/>
    </row>
    <row r="39" spans="1:30" ht="16.5" customHeight="1" x14ac:dyDescent="0.3">
      <c r="A39" s="341">
        <f>SUM(Q2:U35)</f>
        <v>0</v>
      </c>
      <c r="B39" s="342"/>
      <c r="C39" s="342"/>
      <c r="D39" s="342"/>
      <c r="E39" s="345">
        <f>SUM(V2:Z35)</f>
        <v>0</v>
      </c>
      <c r="F39" s="342"/>
      <c r="G39" s="342"/>
      <c r="H39" s="342"/>
      <c r="I39" s="342"/>
      <c r="J39" s="342"/>
      <c r="K39" s="345" t="e">
        <f>E39/A39</f>
        <v>#DIV/0!</v>
      </c>
      <c r="L39" s="342"/>
      <c r="M39" s="342"/>
      <c r="N39" s="342"/>
      <c r="O39" s="342">
        <f>SUM(MON:SUN!Q31)</f>
        <v>0</v>
      </c>
      <c r="P39" s="342"/>
      <c r="Q39" s="342"/>
      <c r="R39" s="342"/>
      <c r="S39" s="342"/>
      <c r="T39" s="342">
        <f>SUM(MON:SUN!P31)</f>
        <v>0</v>
      </c>
      <c r="U39" s="342"/>
      <c r="V39" s="342"/>
      <c r="W39" s="342"/>
      <c r="X39" s="342"/>
      <c r="Y39" s="342">
        <f>SUM(MON:SUN!S19)</f>
        <v>0</v>
      </c>
      <c r="Z39" s="342"/>
      <c r="AA39" s="342"/>
      <c r="AB39" s="342"/>
      <c r="AC39" s="342"/>
      <c r="AD39" s="362"/>
    </row>
    <row r="40" spans="1:30" ht="16.5" customHeight="1" x14ac:dyDescent="0.3">
      <c r="A40" s="341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  <c r="AA40" s="342"/>
      <c r="AB40" s="342"/>
      <c r="AC40" s="342"/>
      <c r="AD40" s="362"/>
    </row>
    <row r="41" spans="1:30" ht="16.5" customHeight="1" x14ac:dyDescent="0.3">
      <c r="A41" s="341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60">
        <f>SUM(MON:SUN!J31)</f>
        <v>0</v>
      </c>
      <c r="P41" s="360"/>
      <c r="Q41" s="360"/>
      <c r="R41" s="360"/>
      <c r="S41" s="360"/>
      <c r="T41" s="360">
        <f>SUM(MON:SUN!K31)</f>
        <v>0</v>
      </c>
      <c r="U41" s="360"/>
      <c r="V41" s="360"/>
      <c r="W41" s="360"/>
      <c r="X41" s="360"/>
      <c r="Y41" s="360">
        <f>SUM(MON:SUN!T19)</f>
        <v>0</v>
      </c>
      <c r="Z41" s="360"/>
      <c r="AA41" s="360"/>
      <c r="AB41" s="360"/>
      <c r="AC41" s="360"/>
      <c r="AD41" s="363"/>
    </row>
    <row r="42" spans="1:30" ht="16.5" customHeight="1" thickBot="1" x14ac:dyDescent="0.35">
      <c r="A42" s="343"/>
      <c r="B42" s="344"/>
      <c r="C42" s="344"/>
      <c r="D42" s="344"/>
      <c r="E42" s="344"/>
      <c r="F42" s="344"/>
      <c r="G42" s="344"/>
      <c r="H42" s="344"/>
      <c r="I42" s="344"/>
      <c r="J42" s="344"/>
      <c r="K42" s="344"/>
      <c r="L42" s="344"/>
      <c r="M42" s="344"/>
      <c r="N42" s="344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4"/>
    </row>
    <row r="43" spans="1:30" ht="17.45" customHeight="1" x14ac:dyDescent="0.3">
      <c r="A43" s="620" t="s">
        <v>84</v>
      </c>
      <c r="B43" s="621"/>
      <c r="C43" s="621"/>
      <c r="D43" s="621"/>
      <c r="E43" s="622"/>
      <c r="F43" s="620" t="s">
        <v>85</v>
      </c>
      <c r="G43" s="621"/>
      <c r="H43" s="621"/>
      <c r="I43" s="621"/>
      <c r="J43" s="622"/>
      <c r="K43" s="620" t="s">
        <v>86</v>
      </c>
      <c r="L43" s="621"/>
      <c r="M43" s="621"/>
      <c r="N43" s="621"/>
      <c r="O43" s="622"/>
      <c r="P43" s="620" t="s">
        <v>87</v>
      </c>
      <c r="Q43" s="621"/>
      <c r="R43" s="621"/>
      <c r="S43" s="621"/>
      <c r="T43" s="622"/>
      <c r="U43" s="620" t="s">
        <v>90</v>
      </c>
      <c r="V43" s="621"/>
      <c r="W43" s="621"/>
      <c r="X43" s="621"/>
      <c r="Y43" s="622"/>
      <c r="Z43" s="626" t="s">
        <v>95</v>
      </c>
      <c r="AA43" s="627"/>
      <c r="AB43" s="627"/>
      <c r="AC43" s="627"/>
      <c r="AD43" s="628"/>
    </row>
    <row r="44" spans="1:30" ht="17.45" customHeight="1" x14ac:dyDescent="0.3">
      <c r="A44" s="623"/>
      <c r="B44" s="624"/>
      <c r="C44" s="624"/>
      <c r="D44" s="624"/>
      <c r="E44" s="625"/>
      <c r="F44" s="623"/>
      <c r="G44" s="624"/>
      <c r="H44" s="624"/>
      <c r="I44" s="624"/>
      <c r="J44" s="625"/>
      <c r="K44" s="623"/>
      <c r="L44" s="624"/>
      <c r="M44" s="624"/>
      <c r="N44" s="624"/>
      <c r="O44" s="625"/>
      <c r="P44" s="623"/>
      <c r="Q44" s="624"/>
      <c r="R44" s="624"/>
      <c r="S44" s="624"/>
      <c r="T44" s="625"/>
      <c r="U44" s="623"/>
      <c r="V44" s="624"/>
      <c r="W44" s="624"/>
      <c r="X44" s="624"/>
      <c r="Y44" s="625"/>
      <c r="Z44" s="629"/>
      <c r="AA44" s="630"/>
      <c r="AB44" s="630"/>
      <c r="AC44" s="630"/>
      <c r="AD44" s="631"/>
    </row>
    <row r="45" spans="1:30" x14ac:dyDescent="0.3">
      <c r="A45" s="632">
        <f>SUM(H2,H7,H12,H17,H22,H27,H32)</f>
        <v>0</v>
      </c>
      <c r="B45" s="633"/>
      <c r="C45" s="633"/>
      <c r="D45" s="633"/>
      <c r="E45" s="634"/>
      <c r="F45" s="632">
        <f>SUM(,H3,H8,H13,H18,H23,H28,H33)</f>
        <v>0</v>
      </c>
      <c r="G45" s="633"/>
      <c r="H45" s="633"/>
      <c r="I45" s="633"/>
      <c r="J45" s="634"/>
      <c r="K45" s="632">
        <f>SUM(H5,H10,H15,H20,H25,H30,H35)</f>
        <v>0</v>
      </c>
      <c r="L45" s="633"/>
      <c r="M45" s="633"/>
      <c r="N45" s="633"/>
      <c r="O45" s="634"/>
      <c r="P45" s="632">
        <f>SUM(H4,H9,H14,H19,H24,H29,H34)</f>
        <v>0</v>
      </c>
      <c r="Q45" s="633"/>
      <c r="R45" s="633"/>
      <c r="S45" s="633"/>
      <c r="T45" s="634"/>
      <c r="U45" s="641">
        <f>SUM(E6,E11,E16,E21,E26,E31,E36)</f>
        <v>0</v>
      </c>
      <c r="V45" s="633"/>
      <c r="W45" s="633"/>
      <c r="X45" s="633"/>
      <c r="Y45" s="634"/>
      <c r="Z45" s="641">
        <f>SUM(L6,L11,L16,L21,L26,L31,L36)</f>
        <v>0</v>
      </c>
      <c r="AA45" s="633"/>
      <c r="AB45" s="633"/>
      <c r="AC45" s="633"/>
      <c r="AD45" s="642"/>
    </row>
    <row r="46" spans="1:30" x14ac:dyDescent="0.3">
      <c r="A46" s="635"/>
      <c r="B46" s="636"/>
      <c r="C46" s="636"/>
      <c r="D46" s="636"/>
      <c r="E46" s="637"/>
      <c r="F46" s="635"/>
      <c r="G46" s="636"/>
      <c r="H46" s="636"/>
      <c r="I46" s="636"/>
      <c r="J46" s="637"/>
      <c r="K46" s="635"/>
      <c r="L46" s="636"/>
      <c r="M46" s="636"/>
      <c r="N46" s="636"/>
      <c r="O46" s="637"/>
      <c r="P46" s="635"/>
      <c r="Q46" s="636"/>
      <c r="R46" s="636"/>
      <c r="S46" s="636"/>
      <c r="T46" s="637"/>
      <c r="U46" s="635"/>
      <c r="V46" s="636"/>
      <c r="W46" s="636"/>
      <c r="X46" s="636"/>
      <c r="Y46" s="637"/>
      <c r="Z46" s="635"/>
      <c r="AA46" s="636"/>
      <c r="AB46" s="636"/>
      <c r="AC46" s="636"/>
      <c r="AD46" s="643"/>
    </row>
    <row r="47" spans="1:30" x14ac:dyDescent="0.3">
      <c r="A47" s="635"/>
      <c r="B47" s="636"/>
      <c r="C47" s="636"/>
      <c r="D47" s="636"/>
      <c r="E47" s="637"/>
      <c r="F47" s="635"/>
      <c r="G47" s="636"/>
      <c r="H47" s="636"/>
      <c r="I47" s="636"/>
      <c r="J47" s="637"/>
      <c r="K47" s="635"/>
      <c r="L47" s="636"/>
      <c r="M47" s="636"/>
      <c r="N47" s="636"/>
      <c r="O47" s="637"/>
      <c r="P47" s="635"/>
      <c r="Q47" s="636"/>
      <c r="R47" s="636"/>
      <c r="S47" s="636"/>
      <c r="T47" s="637"/>
      <c r="U47" s="635"/>
      <c r="V47" s="636"/>
      <c r="W47" s="636"/>
      <c r="X47" s="636"/>
      <c r="Y47" s="637"/>
      <c r="Z47" s="635"/>
      <c r="AA47" s="636"/>
      <c r="AB47" s="636"/>
      <c r="AC47" s="636"/>
      <c r="AD47" s="643"/>
    </row>
    <row r="48" spans="1:30" ht="17.25" thickBot="1" x14ac:dyDescent="0.35">
      <c r="A48" s="638"/>
      <c r="B48" s="639"/>
      <c r="C48" s="639"/>
      <c r="D48" s="639"/>
      <c r="E48" s="640"/>
      <c r="F48" s="638"/>
      <c r="G48" s="639"/>
      <c r="H48" s="639"/>
      <c r="I48" s="639"/>
      <c r="J48" s="640"/>
      <c r="K48" s="638"/>
      <c r="L48" s="639"/>
      <c r="M48" s="639"/>
      <c r="N48" s="639"/>
      <c r="O48" s="640"/>
      <c r="P48" s="638"/>
      <c r="Q48" s="639"/>
      <c r="R48" s="639"/>
      <c r="S48" s="639"/>
      <c r="T48" s="640"/>
      <c r="U48" s="638"/>
      <c r="V48" s="639"/>
      <c r="W48" s="639"/>
      <c r="X48" s="639"/>
      <c r="Y48" s="640"/>
      <c r="Z48" s="638"/>
      <c r="AA48" s="639"/>
      <c r="AB48" s="639"/>
      <c r="AC48" s="639"/>
      <c r="AD48" s="644"/>
    </row>
    <row r="49" spans="1:30" ht="17.45" customHeight="1" x14ac:dyDescent="0.3">
      <c r="A49" s="602" t="e">
        <f>A45/E39</f>
        <v>#DIV/0!</v>
      </c>
      <c r="B49" s="603"/>
      <c r="C49" s="603"/>
      <c r="D49" s="603"/>
      <c r="E49" s="604"/>
      <c r="F49" s="602" t="e">
        <f>F45/E39</f>
        <v>#DIV/0!</v>
      </c>
      <c r="G49" s="603"/>
      <c r="H49" s="603"/>
      <c r="I49" s="603"/>
      <c r="J49" s="604"/>
      <c r="K49" s="602" t="e">
        <f>K45/E39</f>
        <v>#DIV/0!</v>
      </c>
      <c r="L49" s="603"/>
      <c r="M49" s="603"/>
      <c r="N49" s="603"/>
      <c r="O49" s="604"/>
      <c r="P49" s="602" t="e">
        <f>P45/E39</f>
        <v>#DIV/0!</v>
      </c>
      <c r="Q49" s="603"/>
      <c r="R49" s="603"/>
      <c r="S49" s="603"/>
      <c r="T49" s="604"/>
      <c r="U49" s="611">
        <f>U45/7</f>
        <v>0</v>
      </c>
      <c r="V49" s="612"/>
      <c r="W49" s="612"/>
      <c r="X49" s="612"/>
      <c r="Y49" s="613"/>
      <c r="Z49" s="611" t="e">
        <f>U45/Z45</f>
        <v>#DIV/0!</v>
      </c>
      <c r="AA49" s="612"/>
      <c r="AB49" s="612"/>
      <c r="AC49" s="612"/>
      <c r="AD49" s="613"/>
    </row>
    <row r="50" spans="1:30" ht="17.45" customHeight="1" x14ac:dyDescent="0.3">
      <c r="A50" s="605"/>
      <c r="B50" s="606"/>
      <c r="C50" s="606"/>
      <c r="D50" s="606"/>
      <c r="E50" s="607"/>
      <c r="F50" s="605"/>
      <c r="G50" s="606"/>
      <c r="H50" s="606"/>
      <c r="I50" s="606"/>
      <c r="J50" s="607"/>
      <c r="K50" s="605"/>
      <c r="L50" s="606"/>
      <c r="M50" s="606"/>
      <c r="N50" s="606"/>
      <c r="O50" s="607"/>
      <c r="P50" s="605"/>
      <c r="Q50" s="606"/>
      <c r="R50" s="606"/>
      <c r="S50" s="606"/>
      <c r="T50" s="607"/>
      <c r="U50" s="614"/>
      <c r="V50" s="615"/>
      <c r="W50" s="615"/>
      <c r="X50" s="615"/>
      <c r="Y50" s="616"/>
      <c r="Z50" s="614"/>
      <c r="AA50" s="615"/>
      <c r="AB50" s="615"/>
      <c r="AC50" s="615"/>
      <c r="AD50" s="616"/>
    </row>
    <row r="51" spans="1:30" ht="17.45" customHeight="1" x14ac:dyDescent="0.3">
      <c r="A51" s="605"/>
      <c r="B51" s="606"/>
      <c r="C51" s="606"/>
      <c r="D51" s="606"/>
      <c r="E51" s="607"/>
      <c r="F51" s="605"/>
      <c r="G51" s="606"/>
      <c r="H51" s="606"/>
      <c r="I51" s="606"/>
      <c r="J51" s="607"/>
      <c r="K51" s="605"/>
      <c r="L51" s="606"/>
      <c r="M51" s="606"/>
      <c r="N51" s="606"/>
      <c r="O51" s="607"/>
      <c r="P51" s="605"/>
      <c r="Q51" s="606"/>
      <c r="R51" s="606"/>
      <c r="S51" s="606"/>
      <c r="T51" s="607"/>
      <c r="U51" s="614"/>
      <c r="V51" s="615"/>
      <c r="W51" s="615"/>
      <c r="X51" s="615"/>
      <c r="Y51" s="616"/>
      <c r="Z51" s="614"/>
      <c r="AA51" s="615"/>
      <c r="AB51" s="615"/>
      <c r="AC51" s="615"/>
      <c r="AD51" s="616"/>
    </row>
    <row r="52" spans="1:30" ht="18" customHeight="1" thickBot="1" x14ac:dyDescent="0.35">
      <c r="A52" s="608"/>
      <c r="B52" s="609"/>
      <c r="C52" s="609"/>
      <c r="D52" s="609"/>
      <c r="E52" s="610"/>
      <c r="F52" s="608"/>
      <c r="G52" s="609"/>
      <c r="H52" s="609"/>
      <c r="I52" s="609"/>
      <c r="J52" s="610"/>
      <c r="K52" s="608"/>
      <c r="L52" s="609"/>
      <c r="M52" s="609"/>
      <c r="N52" s="609"/>
      <c r="O52" s="610"/>
      <c r="P52" s="608"/>
      <c r="Q52" s="609"/>
      <c r="R52" s="609"/>
      <c r="S52" s="609"/>
      <c r="T52" s="610"/>
      <c r="U52" s="617"/>
      <c r="V52" s="618"/>
      <c r="W52" s="618"/>
      <c r="X52" s="618"/>
      <c r="Y52" s="619"/>
      <c r="Z52" s="617"/>
      <c r="AA52" s="618"/>
      <c r="AB52" s="618"/>
      <c r="AC52" s="618"/>
      <c r="AD52" s="619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2CE6BE05-1654-4A85-A6AC-991F95773825}"/>
</file>

<file path=customXml/itemProps2.xml><?xml version="1.0" encoding="utf-8"?>
<ds:datastoreItem xmlns:ds="http://schemas.openxmlformats.org/officeDocument/2006/customXml" ds:itemID="{B0C7FAF4-AD39-43A0-A9F2-14DE24FB08B8}"/>
</file>

<file path=customXml/itemProps3.xml><?xml version="1.0" encoding="utf-8"?>
<ds:datastoreItem xmlns:ds="http://schemas.openxmlformats.org/officeDocument/2006/customXml" ds:itemID="{C35E786B-82A6-4848-BD6E-A93D96895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2022-12-24T04:52:35Z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