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059654B3-0D5E-4E3A-9D4E-9B7B099CAF17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8" l="1"/>
  <c r="V27" i="8"/>
  <c r="V22" i="8"/>
  <c r="V17" i="8"/>
  <c r="V12" i="8"/>
  <c r="V7" i="8"/>
  <c r="V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J62" i="2" s="1"/>
  <c r="K59" i="2"/>
  <c r="J59" i="2"/>
  <c r="K58" i="2"/>
  <c r="J58" i="2"/>
  <c r="K57" i="2"/>
  <c r="K62" i="2" s="1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Z32" i="2" s="1"/>
  <c r="H30" i="2"/>
  <c r="H31" i="2" s="1"/>
  <c r="K29" i="2"/>
  <c r="J29" i="2"/>
  <c r="K28" i="2"/>
  <c r="J28" i="2"/>
  <c r="K27" i="2"/>
  <c r="J27" i="2"/>
  <c r="K26" i="2"/>
  <c r="J26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P22" i="2"/>
  <c r="AF25" i="2" s="1"/>
  <c r="AG22" i="2"/>
  <c r="AH25" i="2" s="1"/>
  <c r="AF22" i="2"/>
  <c r="AG25" i="2" s="1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J62" i="1" s="1"/>
  <c r="K60" i="1"/>
  <c r="J60" i="1"/>
  <c r="K59" i="1"/>
  <c r="J59" i="1"/>
  <c r="K58" i="1"/>
  <c r="J58" i="1"/>
  <c r="K57" i="1"/>
  <c r="K62" i="1" s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Z32" i="1" s="1"/>
  <c r="Z33" i="1" s="1"/>
  <c r="H30" i="1"/>
  <c r="H31" i="1" s="1"/>
  <c r="K29" i="1"/>
  <c r="J29" i="1"/>
  <c r="K28" i="1"/>
  <c r="J28" i="1"/>
  <c r="K27" i="1"/>
  <c r="J27" i="1"/>
  <c r="K26" i="1"/>
  <c r="J26" i="1"/>
  <c r="AF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G22" i="1"/>
  <c r="AH25" i="1" s="1"/>
  <c r="AF22" i="1"/>
  <c r="AG25" i="1" s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J62" i="3" s="1"/>
  <c r="K60" i="3"/>
  <c r="J60" i="3"/>
  <c r="K59" i="3"/>
  <c r="K62" i="3" s="1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H31" i="3" s="1"/>
  <c r="K29" i="3"/>
  <c r="J29" i="3"/>
  <c r="K28" i="3"/>
  <c r="J28" i="3"/>
  <c r="K27" i="3"/>
  <c r="J27" i="3"/>
  <c r="K26" i="3"/>
  <c r="J26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P22" i="3"/>
  <c r="AF25" i="3" s="1"/>
  <c r="AG22" i="3"/>
  <c r="AH25" i="3" s="1"/>
  <c r="AF22" i="3"/>
  <c r="AG25" i="3" s="1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J62" i="4" s="1"/>
  <c r="K60" i="4"/>
  <c r="J60" i="4"/>
  <c r="K59" i="4"/>
  <c r="J59" i="4"/>
  <c r="K58" i="4"/>
  <c r="J58" i="4"/>
  <c r="K57" i="4"/>
  <c r="K62" i="4" s="1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H31" i="4"/>
  <c r="M30" i="4"/>
  <c r="M31" i="4" s="1"/>
  <c r="L30" i="4"/>
  <c r="L31" i="4" s="1"/>
  <c r="I30" i="4"/>
  <c r="I31" i="4" s="1"/>
  <c r="Z32" i="4" s="1"/>
  <c r="H30" i="4"/>
  <c r="K29" i="4"/>
  <c r="J29" i="4"/>
  <c r="K28" i="4"/>
  <c r="J28" i="4"/>
  <c r="K27" i="4"/>
  <c r="J27" i="4"/>
  <c r="K26" i="4"/>
  <c r="J26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H25" i="4" s="1"/>
  <c r="AF22" i="4"/>
  <c r="AG25" i="4" s="1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J62" i="5" s="1"/>
  <c r="K60" i="5"/>
  <c r="J60" i="5"/>
  <c r="K59" i="5"/>
  <c r="K62" i="5" s="1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I31" i="5"/>
  <c r="Z32" i="5" s="1"/>
  <c r="Z33" i="5" s="1"/>
  <c r="M30" i="5"/>
  <c r="M31" i="5" s="1"/>
  <c r="L30" i="5"/>
  <c r="L31" i="5" s="1"/>
  <c r="I30" i="5"/>
  <c r="H30" i="5"/>
  <c r="H31" i="5" s="1"/>
  <c r="K29" i="5"/>
  <c r="J29" i="5"/>
  <c r="K28" i="5"/>
  <c r="J28" i="5"/>
  <c r="K27" i="5"/>
  <c r="J27" i="5"/>
  <c r="K26" i="5"/>
  <c r="J26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H25" i="5" s="1"/>
  <c r="AF22" i="5"/>
  <c r="AG25" i="5" s="1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J93" i="6"/>
  <c r="J94" i="6" s="1"/>
  <c r="K92" i="6"/>
  <c r="K94" i="6" s="1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T66" i="6"/>
  <c r="M62" i="6"/>
  <c r="L62" i="6"/>
  <c r="I62" i="6"/>
  <c r="H62" i="6"/>
  <c r="K61" i="6"/>
  <c r="J61" i="6"/>
  <c r="J62" i="6" s="1"/>
  <c r="K60" i="6"/>
  <c r="J60" i="6"/>
  <c r="K59" i="6"/>
  <c r="K62" i="6" s="1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0" i="6"/>
  <c r="M31" i="6" s="1"/>
  <c r="L30" i="6"/>
  <c r="L31" i="6" s="1"/>
  <c r="I30" i="6"/>
  <c r="I31" i="6" s="1"/>
  <c r="Z32" i="6" s="1"/>
  <c r="Z33" i="6" s="1"/>
  <c r="H30" i="6"/>
  <c r="H31" i="6" s="1"/>
  <c r="K29" i="6"/>
  <c r="J29" i="6"/>
  <c r="K28" i="6"/>
  <c r="J28" i="6"/>
  <c r="K27" i="6"/>
  <c r="J27" i="6"/>
  <c r="K26" i="6"/>
  <c r="J26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P22" i="6"/>
  <c r="AF25" i="6" s="1"/>
  <c r="AG22" i="6"/>
  <c r="AH25" i="6" s="1"/>
  <c r="AF22" i="6"/>
  <c r="AG25" i="6" s="1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M94" i="7"/>
  <c r="L94" i="7"/>
  <c r="I94" i="7"/>
  <c r="H94" i="7"/>
  <c r="K93" i="7"/>
  <c r="K94" i="7" s="1"/>
  <c r="J94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J62" i="7"/>
  <c r="K59" i="7"/>
  <c r="K58" i="7"/>
  <c r="K57" i="7"/>
  <c r="K62" i="7" s="1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I31" i="7"/>
  <c r="Z32" i="7" s="1"/>
  <c r="Z33" i="7" s="1"/>
  <c r="M30" i="7"/>
  <c r="M31" i="7" s="1"/>
  <c r="L30" i="7"/>
  <c r="L31" i="7" s="1"/>
  <c r="I30" i="7"/>
  <c r="H30" i="7"/>
  <c r="H31" i="7" s="1"/>
  <c r="K29" i="7"/>
  <c r="K28" i="7"/>
  <c r="K27" i="7"/>
  <c r="K26" i="7"/>
  <c r="T25" i="7"/>
  <c r="T26" i="7" s="1"/>
  <c r="S25" i="7"/>
  <c r="S26" i="7" s="1"/>
  <c r="R25" i="7"/>
  <c r="R26" i="7" s="1"/>
  <c r="K25" i="7"/>
  <c r="K24" i="7"/>
  <c r="K23" i="7"/>
  <c r="AR22" i="7"/>
  <c r="AQ22" i="7"/>
  <c r="AP22" i="7"/>
  <c r="AF25" i="7" s="1"/>
  <c r="AG22" i="7"/>
  <c r="AH25" i="7" s="1"/>
  <c r="AF22" i="7"/>
  <c r="AG25" i="7" s="1"/>
  <c r="AE22" i="7"/>
  <c r="AE25" i="7" s="1"/>
  <c r="K22" i="7"/>
  <c r="K21" i="7"/>
  <c r="K20" i="7"/>
  <c r="T19" i="7"/>
  <c r="S19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H23" i="8"/>
  <c r="U16" i="2" l="1"/>
  <c r="S16" i="2" s="1"/>
  <c r="K30" i="2"/>
  <c r="K31" i="2" s="1"/>
  <c r="H34" i="8" s="1"/>
  <c r="J30" i="2"/>
  <c r="J31" i="2" s="1"/>
  <c r="U16" i="1"/>
  <c r="E31" i="8" s="1"/>
  <c r="K30" i="1"/>
  <c r="K31" i="1" s="1"/>
  <c r="J30" i="1"/>
  <c r="J31" i="1" s="1"/>
  <c r="I31" i="3"/>
  <c r="T31" i="3" s="1"/>
  <c r="J30" i="3"/>
  <c r="J31" i="3" s="1"/>
  <c r="K30" i="3"/>
  <c r="K31" i="3" s="1"/>
  <c r="U16" i="3"/>
  <c r="S16" i="3" s="1"/>
  <c r="K30" i="4"/>
  <c r="K31" i="4" s="1"/>
  <c r="Z33" i="4"/>
  <c r="J30" i="4"/>
  <c r="J31" i="4" s="1"/>
  <c r="U16" i="4"/>
  <c r="S16" i="4" s="1"/>
  <c r="K30" i="5"/>
  <c r="K31" i="5" s="1"/>
  <c r="J30" i="5"/>
  <c r="J31" i="5" s="1"/>
  <c r="C32" i="5" s="1"/>
  <c r="N32" i="5" s="1"/>
  <c r="U16" i="5"/>
  <c r="S16" i="5" s="1"/>
  <c r="J30" i="6"/>
  <c r="J31" i="6" s="1"/>
  <c r="K30" i="6"/>
  <c r="K31" i="6" s="1"/>
  <c r="U16" i="6"/>
  <c r="S16" i="6" s="1"/>
  <c r="U16" i="7"/>
  <c r="R16" i="7" s="1"/>
  <c r="K30" i="7"/>
  <c r="K31" i="7" s="1"/>
  <c r="J30" i="7"/>
  <c r="J31" i="7" s="1"/>
  <c r="AI25" i="2"/>
  <c r="AD25" i="2"/>
  <c r="Z33" i="2"/>
  <c r="S31" i="2"/>
  <c r="T31" i="2"/>
  <c r="S32" i="2"/>
  <c r="H33" i="8" s="1"/>
  <c r="AI25" i="1"/>
  <c r="AD25" i="1"/>
  <c r="S16" i="1"/>
  <c r="R16" i="1"/>
  <c r="S31" i="1"/>
  <c r="H27" i="8" s="1"/>
  <c r="T31" i="1"/>
  <c r="S32" i="1"/>
  <c r="H28" i="8" s="1"/>
  <c r="AI25" i="3"/>
  <c r="AD25" i="3"/>
  <c r="Z32" i="3"/>
  <c r="Z33" i="3" s="1"/>
  <c r="S31" i="3"/>
  <c r="H22" i="8" s="1"/>
  <c r="AI25" i="4"/>
  <c r="AD25" i="4"/>
  <c r="S31" i="4"/>
  <c r="H17" i="8" s="1"/>
  <c r="T31" i="4"/>
  <c r="S32" i="4"/>
  <c r="H18" i="8" s="1"/>
  <c r="AI25" i="5"/>
  <c r="AD25" i="5"/>
  <c r="S31" i="5"/>
  <c r="H12" i="8" s="1"/>
  <c r="T31" i="5"/>
  <c r="S32" i="5"/>
  <c r="AI25" i="6"/>
  <c r="AD25" i="6"/>
  <c r="S31" i="6"/>
  <c r="H7" i="8" s="1"/>
  <c r="T31" i="6"/>
  <c r="S32" i="6"/>
  <c r="AI25" i="7"/>
  <c r="AD25" i="7"/>
  <c r="S16" i="7"/>
  <c r="S31" i="7"/>
  <c r="T31" i="7"/>
  <c r="S32" i="7"/>
  <c r="H8" i="8"/>
  <c r="Y39" i="8"/>
  <c r="H32" i="8"/>
  <c r="L36" i="8"/>
  <c r="L31" i="8"/>
  <c r="L26" i="8"/>
  <c r="L21" i="8"/>
  <c r="L16" i="8"/>
  <c r="L11" i="8"/>
  <c r="L6" i="8"/>
  <c r="E3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2" i="8"/>
  <c r="E34" i="8"/>
  <c r="E33" i="8"/>
  <c r="E32" i="8"/>
  <c r="E24" i="8"/>
  <c r="E23" i="8"/>
  <c r="E22" i="8"/>
  <c r="E9" i="8"/>
  <c r="E8" i="8"/>
  <c r="E7" i="8"/>
  <c r="R16" i="2" l="1"/>
  <c r="C32" i="2"/>
  <c r="N32" i="2" s="1"/>
  <c r="L32" i="8" s="1"/>
  <c r="H35" i="8"/>
  <c r="C32" i="1"/>
  <c r="N32" i="1" s="1"/>
  <c r="O32" i="1"/>
  <c r="S32" i="3"/>
  <c r="C32" i="3"/>
  <c r="O32" i="3" s="1"/>
  <c r="R16" i="3"/>
  <c r="E26" i="8"/>
  <c r="R16" i="4"/>
  <c r="C32" i="4"/>
  <c r="N32" i="4" s="1"/>
  <c r="R16" i="5"/>
  <c r="C32" i="6"/>
  <c r="Q32" i="6" s="1"/>
  <c r="R16" i="6"/>
  <c r="C32" i="7"/>
  <c r="N32" i="7" s="1"/>
  <c r="U25" i="3"/>
  <c r="U25" i="5"/>
  <c r="K32" i="5"/>
  <c r="T16" i="5"/>
  <c r="P32" i="5"/>
  <c r="O32" i="5"/>
  <c r="Q32" i="5"/>
  <c r="H13" i="8"/>
  <c r="E11" i="8"/>
  <c r="H3" i="8"/>
  <c r="Z45" i="8"/>
  <c r="E21" i="8"/>
  <c r="E16" i="8"/>
  <c r="H15" i="8"/>
  <c r="E6" i="8"/>
  <c r="Q7" i="8"/>
  <c r="Q32" i="8"/>
  <c r="Q22" i="8"/>
  <c r="Q17" i="8"/>
  <c r="Q12" i="8"/>
  <c r="H10" i="8"/>
  <c r="P32" i="2" l="1"/>
  <c r="L34" i="8" s="1"/>
  <c r="O32" i="2"/>
  <c r="L33" i="8" s="1"/>
  <c r="T16" i="2"/>
  <c r="U25" i="2"/>
  <c r="Q32" i="2"/>
  <c r="L35" i="8" s="1"/>
  <c r="K32" i="2"/>
  <c r="P32" i="1"/>
  <c r="T16" i="1"/>
  <c r="K32" i="1"/>
  <c r="Q32" i="1"/>
  <c r="U25" i="1"/>
  <c r="P32" i="3"/>
  <c r="N32" i="3"/>
  <c r="L22" i="8" s="1"/>
  <c r="K32" i="3"/>
  <c r="Q32" i="3"/>
  <c r="L25" i="8" s="1"/>
  <c r="T16" i="3"/>
  <c r="Q32" i="4"/>
  <c r="P32" i="4"/>
  <c r="K32" i="4"/>
  <c r="U25" i="4"/>
  <c r="T16" i="4"/>
  <c r="O32" i="4"/>
  <c r="N32" i="6"/>
  <c r="L7" i="8" s="1"/>
  <c r="K32" i="6"/>
  <c r="T16" i="6"/>
  <c r="P32" i="6"/>
  <c r="L9" i="8" s="1"/>
  <c r="O32" i="6"/>
  <c r="L8" i="8" s="1"/>
  <c r="U25" i="6"/>
  <c r="P32" i="7"/>
  <c r="T16" i="7"/>
  <c r="K32" i="7"/>
  <c r="Q32" i="7"/>
  <c r="O32" i="7"/>
  <c r="U25" i="7"/>
  <c r="L23" i="8"/>
  <c r="L24" i="8"/>
  <c r="L10" i="8"/>
  <c r="H19" i="8"/>
  <c r="H20" i="8"/>
  <c r="U45" i="8"/>
  <c r="Z49" i="8" s="1"/>
  <c r="O41" i="8"/>
  <c r="T41" i="8"/>
  <c r="H25" i="8"/>
  <c r="H24" i="8"/>
  <c r="H14" i="8"/>
  <c r="H9" i="8"/>
  <c r="E30" i="8"/>
  <c r="E29" i="8"/>
  <c r="E28" i="8"/>
  <c r="E27" i="8"/>
  <c r="U49" i="8" l="1"/>
  <c r="L18" i="8"/>
  <c r="L15" i="8"/>
  <c r="L14" i="8"/>
  <c r="L12" i="8"/>
  <c r="L13" i="8"/>
  <c r="Q27" i="8"/>
  <c r="H29" i="8"/>
  <c r="L19" i="8" l="1"/>
  <c r="L20" i="8"/>
  <c r="L17" i="8"/>
  <c r="L28" i="8"/>
  <c r="H30" i="8"/>
  <c r="L30" i="8" l="1"/>
  <c r="L27" i="8"/>
  <c r="L29" i="8"/>
  <c r="E4" i="8" l="1"/>
  <c r="E5" i="8"/>
  <c r="E3" i="8" l="1"/>
  <c r="Q2" i="8" l="1"/>
  <c r="A39" i="8" s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<sst xmlns="http://schemas.openxmlformats.org/spreadsheetml/2006/main" count="1583" uniqueCount="345">
  <si>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</si>
  <si>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</si>
  <si>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</si>
  <si>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</si>
  <si>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</si>
  <si>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</si>
  <si>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</si>
  <si>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</si>
  <si>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</si>
  <si>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</si>
  <si>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</si>
  <si>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</si>
  <si>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</si>
  <si>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</si>
  <si>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</si>
  <si>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</si>
  <si>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</si>
  <si>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</si>
  <si>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</si>
  <si>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</si>
  <si>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</si>
  <si>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</si>
  <si>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</si>
  <si>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</si>
  <si>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</si>
  <si>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</si>
  <si>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</si>
  <si>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</si>
  <si>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</si>
  <si>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</si>
  <si>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</si>
  <si>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</si>
  <si>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</si>
  <si>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</si>
  <si>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</si>
  <si>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</si>
  <si>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</si>
  <si>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</si>
  <si>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</si>
  <si>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</si>
  <si>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</si>
  <si>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</si>
  <si>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</si>
  <si>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</si>
  <si>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</si>
  <si>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</si>
  <si>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</si>
  <si>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</si>
  <si>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</si>
  <si>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</si>
  <si>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</si>
  <si>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</si>
  <si>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</si>
  <si>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</si>
  <si>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</si>
  <si>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</si>
  <si>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</si>
  <si>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</si>
  <si>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</si>
  <si>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</si>
  <si>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</si>
  <si>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</si>
  <si>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</si>
  <si>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</si>
  <si>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</si>
  <si>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</si>
  <si>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</si>
  <si>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</si>
  <si>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</si>
  <si>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</si>
  <si>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</si>
  <si>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</si>
  <si>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</si>
  <si>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</si>
  <si>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</si>
  <si>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</si>
  <si>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</si>
  <si>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</si>
  <si>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</si>
  <si>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</si>
  <si>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</si>
  <si>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</si>
  <si>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</si>
  <si>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</si>
  <si>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</si>
  <si>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</si>
  <si>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</si>
  <si>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</si>
  <si>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</si>
  <si>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STAFF HRS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</si>
  <si>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</si>
  <si>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</si>
  <si>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</si>
  <si>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</si>
  <si>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Size</t>
  </si>
  <si>
    <t>S</t>
  </si>
  <si>
    <t>M</t>
  </si>
  <si>
    <t>L</t>
  </si>
  <si>
    <t>CDS89H</t>
    <phoneticPr fontId="5" type="noConversion"/>
  </si>
  <si>
    <t>0447514926</t>
    <phoneticPr fontId="5" type="noConversion"/>
  </si>
  <si>
    <t>10-01-2022</t>
    <phoneticPr fontId="5" type="noConversion"/>
  </si>
  <si>
    <t>11-01-2022</t>
    <phoneticPr fontId="5" type="noConversion"/>
  </si>
  <si>
    <t>12-01-2022</t>
    <phoneticPr fontId="5" type="noConversion"/>
  </si>
  <si>
    <t>13-01-2022</t>
    <phoneticPr fontId="5" type="noConversion"/>
  </si>
  <si>
    <t>14-01-2022</t>
    <phoneticPr fontId="5" type="noConversion"/>
  </si>
  <si>
    <t>15-01-2022</t>
    <phoneticPr fontId="5" type="noConversion"/>
  </si>
  <si>
    <t>16-01-2022</t>
    <phoneticPr fontId="5" type="noConversion"/>
  </si>
  <si>
    <t>LGM111</t>
    <phoneticPr fontId="5" type="noConversion"/>
  </si>
  <si>
    <t>0418691153</t>
    <phoneticPr fontId="5" type="noConversion"/>
  </si>
  <si>
    <t>D</t>
    <phoneticPr fontId="5" type="noConversion"/>
  </si>
  <si>
    <t>EJR28S</t>
    <phoneticPr fontId="5" type="noConversion"/>
  </si>
  <si>
    <t>0405401688</t>
    <phoneticPr fontId="5" type="noConversion"/>
  </si>
  <si>
    <t>X</t>
    <phoneticPr fontId="5" type="noConversion"/>
  </si>
  <si>
    <t>EMZ20C</t>
    <phoneticPr fontId="5" type="noConversion"/>
  </si>
  <si>
    <t>0433047734</t>
    <phoneticPr fontId="5" type="noConversion"/>
  </si>
  <si>
    <t>S</t>
    <phoneticPr fontId="5" type="noConversion"/>
  </si>
  <si>
    <t>JDO93</t>
    <phoneticPr fontId="5" type="noConversion"/>
  </si>
  <si>
    <t>0418442256</t>
    <phoneticPr fontId="5" type="noConversion"/>
  </si>
  <si>
    <t>L</t>
    <phoneticPr fontId="5" type="noConversion"/>
  </si>
  <si>
    <t>EGR51J</t>
    <phoneticPr fontId="5" type="noConversion"/>
  </si>
  <si>
    <t>0405000798</t>
    <phoneticPr fontId="5" type="noConversion"/>
  </si>
  <si>
    <t>H</t>
    <phoneticPr fontId="5" type="noConversion"/>
  </si>
  <si>
    <t>EJW81K</t>
    <phoneticPr fontId="5" type="noConversion"/>
  </si>
  <si>
    <t>0404060130</t>
    <phoneticPr fontId="5" type="noConversion"/>
  </si>
  <si>
    <t>CYF84P</t>
    <phoneticPr fontId="5" type="noConversion"/>
  </si>
  <si>
    <t>0414968393</t>
    <phoneticPr fontId="5" type="noConversion"/>
  </si>
  <si>
    <t>X/ST</t>
    <phoneticPr fontId="5" type="noConversion"/>
  </si>
  <si>
    <t>BJ2655</t>
    <phoneticPr fontId="5" type="noConversion"/>
  </si>
  <si>
    <t>0411287471</t>
    <phoneticPr fontId="5" type="noConversion"/>
  </si>
  <si>
    <t>DPH25M</t>
    <phoneticPr fontId="5" type="noConversion"/>
  </si>
  <si>
    <t>0450918383</t>
    <phoneticPr fontId="5" type="noConversion"/>
  </si>
  <si>
    <t>PCL</t>
    <phoneticPr fontId="5" type="noConversion"/>
  </si>
  <si>
    <t>21027(2/6)</t>
    <phoneticPr fontId="5" type="noConversion"/>
  </si>
  <si>
    <t>DPU71K</t>
    <phoneticPr fontId="5" type="noConversion"/>
  </si>
  <si>
    <t>0414363986</t>
    <phoneticPr fontId="5" type="noConversion"/>
  </si>
  <si>
    <t>GV3</t>
    <phoneticPr fontId="5" type="noConversion"/>
  </si>
  <si>
    <t>202879(3/6)</t>
    <phoneticPr fontId="5" type="noConversion"/>
  </si>
  <si>
    <t>EOD57B</t>
    <phoneticPr fontId="5" type="noConversion"/>
  </si>
  <si>
    <t>0409990176</t>
    <phoneticPr fontId="5" type="noConversion"/>
  </si>
  <si>
    <t>EGK76E</t>
    <phoneticPr fontId="5" type="noConversion"/>
  </si>
  <si>
    <t>0410659189</t>
    <phoneticPr fontId="5" type="noConversion"/>
  </si>
  <si>
    <t>M</t>
    <phoneticPr fontId="5" type="noConversion"/>
  </si>
  <si>
    <t>JOHN</t>
    <phoneticPr fontId="5" type="noConversion"/>
  </si>
  <si>
    <t>HENDRA</t>
    <phoneticPr fontId="5" type="noConversion"/>
  </si>
  <si>
    <t>KUROSH</t>
    <phoneticPr fontId="5" type="noConversion"/>
  </si>
  <si>
    <t>REEVA</t>
    <phoneticPr fontId="5" type="noConversion"/>
  </si>
  <si>
    <t>DYLAN</t>
    <phoneticPr fontId="5" type="noConversion"/>
  </si>
  <si>
    <t>CLOUDY</t>
    <phoneticPr fontId="5" type="noConversion"/>
  </si>
  <si>
    <t>ANTHONY</t>
    <phoneticPr fontId="5" type="noConversion"/>
  </si>
  <si>
    <t>202989(6/6) NEXT TIME BUY</t>
    <phoneticPr fontId="5" type="noConversion"/>
  </si>
  <si>
    <t>TANGXC</t>
    <phoneticPr fontId="5" type="noConversion"/>
  </si>
  <si>
    <t>0439010608</t>
    <phoneticPr fontId="5" type="noConversion"/>
  </si>
  <si>
    <t>DNY88H</t>
    <phoneticPr fontId="5" type="noConversion"/>
  </si>
  <si>
    <t>0403298104</t>
    <phoneticPr fontId="5" type="noConversion"/>
  </si>
  <si>
    <t>21034(3/6)</t>
    <phoneticPr fontId="5" type="noConversion"/>
  </si>
  <si>
    <t>YB31P</t>
    <phoneticPr fontId="5" type="noConversion"/>
  </si>
  <si>
    <t>0431095156</t>
    <phoneticPr fontId="5" type="noConversion"/>
  </si>
  <si>
    <t>MM1001</t>
    <phoneticPr fontId="5" type="noConversion"/>
  </si>
  <si>
    <t>0412334717</t>
    <phoneticPr fontId="5" type="noConversion"/>
  </si>
  <si>
    <t>NXS35Y</t>
    <phoneticPr fontId="5" type="noConversion"/>
  </si>
  <si>
    <t>0419105897</t>
    <phoneticPr fontId="5" type="noConversion"/>
  </si>
  <si>
    <t>DCZ27F</t>
    <phoneticPr fontId="5" type="noConversion"/>
  </si>
  <si>
    <t>0410548581</t>
    <phoneticPr fontId="5" type="noConversion"/>
  </si>
  <si>
    <t>EJC63E</t>
    <phoneticPr fontId="5" type="noConversion"/>
  </si>
  <si>
    <t>21027(3/6)</t>
    <phoneticPr fontId="5" type="noConversion"/>
  </si>
  <si>
    <t>ARC88H</t>
    <phoneticPr fontId="5" type="noConversion"/>
  </si>
  <si>
    <t>0410062241</t>
    <phoneticPr fontId="5" type="noConversion"/>
  </si>
  <si>
    <t>202111083(D)</t>
    <phoneticPr fontId="5" type="noConversion"/>
  </si>
  <si>
    <t>DFD55F</t>
    <phoneticPr fontId="5" type="noConversion"/>
  </si>
  <si>
    <t>0481566896</t>
    <phoneticPr fontId="5" type="noConversion"/>
  </si>
  <si>
    <t>JUNIOR</t>
    <phoneticPr fontId="5" type="noConversion"/>
  </si>
  <si>
    <t>NBR48D</t>
    <phoneticPr fontId="5" type="noConversion"/>
  </si>
  <si>
    <t>04072134067</t>
    <phoneticPr fontId="5" type="noConversion"/>
  </si>
  <si>
    <t>DDM95L</t>
    <phoneticPr fontId="5" type="noConversion"/>
  </si>
  <si>
    <t>0404681361</t>
    <phoneticPr fontId="5" type="noConversion"/>
  </si>
  <si>
    <t>EJJ34H</t>
    <phoneticPr fontId="5" type="noConversion"/>
  </si>
  <si>
    <t>0412699286</t>
    <phoneticPr fontId="5" type="noConversion"/>
  </si>
  <si>
    <t>DWL85D</t>
    <phoneticPr fontId="5" type="noConversion"/>
  </si>
  <si>
    <t>0404987935</t>
    <phoneticPr fontId="5" type="noConversion"/>
  </si>
  <si>
    <t>DNS6512</t>
    <phoneticPr fontId="5" type="noConversion"/>
  </si>
  <si>
    <t>0433827551</t>
    <phoneticPr fontId="5" type="noConversion"/>
  </si>
  <si>
    <t>CJX64Y</t>
    <phoneticPr fontId="5" type="noConversion"/>
  </si>
  <si>
    <t>0401716970</t>
    <phoneticPr fontId="5" type="noConversion"/>
  </si>
  <si>
    <t>DQS90F</t>
    <phoneticPr fontId="5" type="noConversion"/>
  </si>
  <si>
    <t>0419261785</t>
    <phoneticPr fontId="5" type="noConversion"/>
  </si>
  <si>
    <t>PCS</t>
    <phoneticPr fontId="5" type="noConversion"/>
  </si>
  <si>
    <t>ABA40W</t>
    <phoneticPr fontId="5" type="noConversion"/>
  </si>
  <si>
    <t>0412581558</t>
    <phoneticPr fontId="5" type="noConversion"/>
  </si>
  <si>
    <t>ENQ71B</t>
    <phoneticPr fontId="5" type="noConversion"/>
  </si>
  <si>
    <t>0433329201</t>
    <phoneticPr fontId="5" type="noConversion"/>
  </si>
  <si>
    <t>EKV60Z</t>
    <phoneticPr fontId="5" type="noConversion"/>
  </si>
  <si>
    <t>0409446616</t>
    <phoneticPr fontId="5" type="noConversion"/>
  </si>
  <si>
    <t>21052(6/6) NEXT TIME BUY</t>
    <phoneticPr fontId="5" type="noConversion"/>
  </si>
  <si>
    <t>21033(6/6) NEXT TIME BUY</t>
    <phoneticPr fontId="5" type="noConversion"/>
  </si>
  <si>
    <t>DGG64K</t>
    <phoneticPr fontId="5" type="noConversion"/>
  </si>
  <si>
    <t>0402213906</t>
    <phoneticPr fontId="5" type="noConversion"/>
  </si>
  <si>
    <t>CJD23U</t>
    <phoneticPr fontId="5" type="noConversion"/>
  </si>
  <si>
    <t>0423286696</t>
    <phoneticPr fontId="5" type="noConversion"/>
  </si>
  <si>
    <t>202111086-202112028(H)</t>
    <phoneticPr fontId="5" type="noConversion"/>
  </si>
  <si>
    <t>CHNDER</t>
    <phoneticPr fontId="5" type="noConversion"/>
  </si>
  <si>
    <t>CHARLI</t>
    <phoneticPr fontId="5" type="noConversion"/>
  </si>
  <si>
    <t>SHOWER</t>
    <phoneticPr fontId="5" type="noConversion"/>
  </si>
  <si>
    <t>NLDO2X</t>
    <phoneticPr fontId="5" type="noConversion"/>
  </si>
  <si>
    <t>0418427185</t>
    <phoneticPr fontId="5" type="noConversion"/>
  </si>
  <si>
    <t>0450920526</t>
    <phoneticPr fontId="5" type="noConversion"/>
  </si>
  <si>
    <t>DNP97C</t>
    <phoneticPr fontId="5" type="noConversion"/>
  </si>
  <si>
    <t>0438224662</t>
    <phoneticPr fontId="5" type="noConversion"/>
  </si>
  <si>
    <t>YCX58X</t>
    <phoneticPr fontId="5" type="noConversion"/>
  </si>
  <si>
    <t>040380322</t>
    <phoneticPr fontId="5" type="noConversion"/>
  </si>
  <si>
    <t>168OMG</t>
    <phoneticPr fontId="5" type="noConversion"/>
  </si>
  <si>
    <t>0408752956</t>
    <phoneticPr fontId="5" type="noConversion"/>
  </si>
  <si>
    <t>21007(6/6) MOVING HOUSE</t>
    <phoneticPr fontId="5" type="noConversion"/>
  </si>
  <si>
    <t>NIC357</t>
    <phoneticPr fontId="5" type="noConversion"/>
  </si>
  <si>
    <t>DZV61V</t>
    <phoneticPr fontId="5" type="noConversion"/>
  </si>
  <si>
    <t>0403411464</t>
    <phoneticPr fontId="5" type="noConversion"/>
  </si>
  <si>
    <t>GW8880</t>
    <phoneticPr fontId="5" type="noConversion"/>
  </si>
  <si>
    <t>0423393658</t>
    <phoneticPr fontId="5" type="noConversion"/>
  </si>
  <si>
    <t>DLX97K</t>
    <phoneticPr fontId="5" type="noConversion"/>
  </si>
  <si>
    <t>0422918224</t>
    <phoneticPr fontId="5" type="noConversion"/>
  </si>
  <si>
    <t>IN</t>
    <phoneticPr fontId="5" type="noConversion"/>
  </si>
  <si>
    <t>PLK777</t>
    <phoneticPr fontId="5" type="noConversion"/>
  </si>
  <si>
    <t>0414649522</t>
    <phoneticPr fontId="5" type="noConversion"/>
  </si>
  <si>
    <t>21040(6/6) NEXT TIME BUY</t>
    <phoneticPr fontId="5" type="noConversion"/>
  </si>
  <si>
    <t>EAW86N</t>
    <phoneticPr fontId="5" type="noConversion"/>
  </si>
  <si>
    <t>0408974670</t>
    <phoneticPr fontId="5" type="noConversion"/>
  </si>
  <si>
    <t>CAE61R</t>
    <phoneticPr fontId="5" type="noConversion"/>
  </si>
  <si>
    <t>0411554543</t>
    <phoneticPr fontId="5" type="noConversion"/>
  </si>
  <si>
    <t>NXU83V</t>
    <phoneticPr fontId="5" type="noConversion"/>
  </si>
  <si>
    <t>04489001101</t>
    <phoneticPr fontId="5" type="noConversion"/>
  </si>
  <si>
    <t>202862(5/6)</t>
    <phoneticPr fontId="5" type="noConversion"/>
  </si>
  <si>
    <t>EDT80H</t>
    <phoneticPr fontId="5" type="noConversion"/>
  </si>
  <si>
    <t>0415802858</t>
    <phoneticPr fontId="5" type="noConversion"/>
  </si>
  <si>
    <t>D/ST</t>
    <phoneticPr fontId="5" type="noConversion"/>
  </si>
  <si>
    <t>CHARLIE</t>
    <phoneticPr fontId="5" type="noConversion"/>
  </si>
  <si>
    <t>CHANDER</t>
    <phoneticPr fontId="5" type="noConversion"/>
  </si>
  <si>
    <t>CXP77M</t>
    <phoneticPr fontId="5" type="noConversion"/>
  </si>
  <si>
    <t>0426906825</t>
    <phoneticPr fontId="5" type="noConversion"/>
  </si>
  <si>
    <t>BOOKING</t>
    <phoneticPr fontId="5" type="noConversion"/>
  </si>
  <si>
    <t>EO473Y</t>
    <phoneticPr fontId="5" type="noConversion"/>
  </si>
  <si>
    <t>0411571888</t>
    <phoneticPr fontId="5" type="noConversion"/>
  </si>
  <si>
    <t>SUNNY</t>
    <phoneticPr fontId="5" type="noConversion"/>
  </si>
  <si>
    <t>YKB60A</t>
    <phoneticPr fontId="5" type="noConversion"/>
  </si>
  <si>
    <t>0450603985</t>
    <phoneticPr fontId="5" type="noConversion"/>
  </si>
  <si>
    <t>DLS95M</t>
    <phoneticPr fontId="5" type="noConversion"/>
  </si>
  <si>
    <t>0404801722</t>
    <phoneticPr fontId="5" type="noConversion"/>
  </si>
  <si>
    <t>MACAN8</t>
    <phoneticPr fontId="5" type="noConversion"/>
  </si>
  <si>
    <t>0423108880</t>
    <phoneticPr fontId="5" type="noConversion"/>
  </si>
  <si>
    <t>CA39PY</t>
    <phoneticPr fontId="5" type="noConversion"/>
  </si>
  <si>
    <t>0405779802</t>
    <phoneticPr fontId="5" type="noConversion"/>
  </si>
  <si>
    <t>202111057(D)</t>
    <phoneticPr fontId="5" type="noConversion"/>
  </si>
  <si>
    <t>202111066(D)</t>
    <phoneticPr fontId="5" type="noConversion"/>
  </si>
  <si>
    <t>EOR74W</t>
    <phoneticPr fontId="5" type="noConversion"/>
  </si>
  <si>
    <t>0433811426</t>
    <phoneticPr fontId="5" type="noConversion"/>
  </si>
  <si>
    <t>DNF61V</t>
    <phoneticPr fontId="5" type="noConversion"/>
  </si>
  <si>
    <t>0410437111</t>
    <phoneticPr fontId="5" type="noConversion"/>
  </si>
  <si>
    <t>CWM77Q</t>
    <phoneticPr fontId="5" type="noConversion"/>
  </si>
  <si>
    <t>0416348077</t>
    <phoneticPr fontId="5" type="noConversion"/>
  </si>
  <si>
    <t>CTT06M</t>
    <phoneticPr fontId="5" type="noConversion"/>
  </si>
  <si>
    <t>0408804880</t>
    <phoneticPr fontId="5" type="noConversion"/>
  </si>
  <si>
    <t>EBH61W</t>
    <phoneticPr fontId="5" type="noConversion"/>
  </si>
  <si>
    <t>0458777312</t>
    <phoneticPr fontId="5" type="noConversion"/>
  </si>
  <si>
    <t>F/D</t>
    <phoneticPr fontId="5" type="noConversion"/>
  </si>
  <si>
    <t>EQA68E</t>
    <phoneticPr fontId="5" type="noConversion"/>
  </si>
  <si>
    <t>0499524126</t>
    <phoneticPr fontId="5" type="noConversion"/>
  </si>
  <si>
    <t>RM656</t>
    <phoneticPr fontId="5" type="noConversion"/>
  </si>
  <si>
    <t>04145428617</t>
    <phoneticPr fontId="5" type="noConversion"/>
  </si>
  <si>
    <t>DJV75S</t>
    <phoneticPr fontId="5" type="noConversion"/>
  </si>
  <si>
    <t>0414642777</t>
    <phoneticPr fontId="5" type="noConversion"/>
  </si>
  <si>
    <t>TAX</t>
    <phoneticPr fontId="5" type="noConversion"/>
  </si>
  <si>
    <t>MUM410</t>
    <phoneticPr fontId="5" type="noConversion"/>
  </si>
  <si>
    <t>0413268855</t>
    <phoneticPr fontId="5" type="noConversion"/>
  </si>
  <si>
    <t>202110033-34(D)</t>
    <phoneticPr fontId="5" type="noConversion"/>
  </si>
  <si>
    <t>FMC21F</t>
    <phoneticPr fontId="5" type="noConversion"/>
  </si>
  <si>
    <t>0421960780</t>
    <phoneticPr fontId="5" type="noConversion"/>
  </si>
  <si>
    <t>NINA88</t>
    <phoneticPr fontId="5" type="noConversion"/>
  </si>
  <si>
    <t>0416447765</t>
    <phoneticPr fontId="5" type="noConversion"/>
  </si>
  <si>
    <t>BH964</t>
    <phoneticPr fontId="5" type="noConversion"/>
  </si>
  <si>
    <t>0413278891</t>
    <phoneticPr fontId="5" type="noConversion"/>
  </si>
  <si>
    <t>DGE48H</t>
    <phoneticPr fontId="5" type="noConversion"/>
  </si>
  <si>
    <t>0412666893</t>
    <phoneticPr fontId="5" type="noConversion"/>
  </si>
  <si>
    <t>CEC64E</t>
    <phoneticPr fontId="5" type="noConversion"/>
  </si>
  <si>
    <t>0434166888</t>
    <phoneticPr fontId="5" type="noConversion"/>
  </si>
  <si>
    <t>DSM87T</t>
    <phoneticPr fontId="5" type="noConversion"/>
  </si>
  <si>
    <t>0411352252</t>
    <phoneticPr fontId="5" type="noConversion"/>
  </si>
  <si>
    <t>EMC04T</t>
    <phoneticPr fontId="5" type="noConversion"/>
  </si>
  <si>
    <t>0478793750</t>
    <phoneticPr fontId="5" type="noConversion"/>
  </si>
  <si>
    <t>DTQ83L</t>
    <phoneticPr fontId="5" type="noConversion"/>
  </si>
  <si>
    <t>0412675305</t>
    <phoneticPr fontId="5" type="noConversion"/>
  </si>
  <si>
    <t>EDJ58Q</t>
    <phoneticPr fontId="5" type="noConversion"/>
  </si>
  <si>
    <t>0402626652</t>
    <phoneticPr fontId="5" type="noConversion"/>
  </si>
  <si>
    <t>DYH43Z</t>
    <phoneticPr fontId="5" type="noConversion"/>
  </si>
  <si>
    <t>0411043393</t>
    <phoneticPr fontId="5" type="noConversion"/>
  </si>
  <si>
    <t>CNG97K</t>
    <phoneticPr fontId="5" type="noConversion"/>
  </si>
  <si>
    <t>0404827947</t>
    <phoneticPr fontId="5" type="noConversion"/>
  </si>
  <si>
    <t>202112069-70(H)</t>
    <phoneticPr fontId="5" type="noConversion"/>
  </si>
  <si>
    <t>EMC80C</t>
    <phoneticPr fontId="5" type="noConversion"/>
  </si>
  <si>
    <t>04020134630</t>
    <phoneticPr fontId="5" type="noConversion"/>
  </si>
  <si>
    <t>202850(5/6)</t>
    <phoneticPr fontId="5" type="noConversion"/>
  </si>
  <si>
    <t>EEE12N</t>
    <phoneticPr fontId="5" type="noConversion"/>
  </si>
  <si>
    <t>0457040243</t>
    <phoneticPr fontId="5" type="noConversion"/>
  </si>
  <si>
    <t>CLOONY</t>
    <phoneticPr fontId="5" type="noConversion"/>
  </si>
  <si>
    <t>0432818161</t>
    <phoneticPr fontId="5" type="noConversion"/>
  </si>
  <si>
    <t>CYI20Y</t>
    <phoneticPr fontId="5" type="noConversion"/>
  </si>
  <si>
    <t>04167128118</t>
    <phoneticPr fontId="5" type="noConversion"/>
  </si>
  <si>
    <t>98CHUD</t>
    <phoneticPr fontId="5" type="noConversion"/>
  </si>
  <si>
    <t>0403555027</t>
    <phoneticPr fontId="5" type="noConversion"/>
  </si>
  <si>
    <t>ECH71M</t>
    <phoneticPr fontId="5" type="noConversion"/>
  </si>
  <si>
    <t>0414062940</t>
    <phoneticPr fontId="5" type="noConversion"/>
  </si>
  <si>
    <t>YDX79Q</t>
    <phoneticPr fontId="5" type="noConversion"/>
  </si>
  <si>
    <t>0412255345</t>
    <phoneticPr fontId="5" type="noConversion"/>
  </si>
  <si>
    <t>ERE30A</t>
    <phoneticPr fontId="5" type="noConversion"/>
  </si>
  <si>
    <t>0418291488</t>
    <phoneticPr fontId="5" type="noConversion"/>
  </si>
  <si>
    <t>THU BOOKING</t>
    <phoneticPr fontId="5" type="noConversion"/>
  </si>
  <si>
    <t>BGL07G</t>
    <phoneticPr fontId="5" type="noConversion"/>
  </si>
  <si>
    <t>0407218976</t>
    <phoneticPr fontId="5" type="noConversion"/>
  </si>
  <si>
    <t>W/O</t>
    <phoneticPr fontId="5" type="noConversion"/>
  </si>
  <si>
    <t>DFW71F</t>
    <phoneticPr fontId="5" type="noConversion"/>
  </si>
  <si>
    <t>0417467589</t>
    <phoneticPr fontId="5" type="noConversion"/>
  </si>
  <si>
    <t>EHJ89Z</t>
    <phoneticPr fontId="5" type="noConversion"/>
  </si>
  <si>
    <t>0418288123</t>
    <phoneticPr fontId="5" type="noConversion"/>
  </si>
  <si>
    <t>202110132(D)</t>
    <phoneticPr fontId="5" type="noConversion"/>
  </si>
  <si>
    <t>MS174</t>
    <phoneticPr fontId="5" type="noConversion"/>
  </si>
  <si>
    <t>0419482973</t>
    <phoneticPr fontId="5" type="noConversion"/>
  </si>
  <si>
    <t>EPW65B</t>
    <phoneticPr fontId="5" type="noConversion"/>
  </si>
  <si>
    <t>0432565750</t>
    <phoneticPr fontId="5" type="noConversion"/>
  </si>
  <si>
    <t>EGC03Q</t>
    <phoneticPr fontId="5" type="noConversion"/>
  </si>
  <si>
    <t>0403351455</t>
    <phoneticPr fontId="5" type="noConversion"/>
  </si>
  <si>
    <t>202789(6/6) NEXT TIME</t>
    <phoneticPr fontId="5" type="noConversion"/>
  </si>
  <si>
    <t>NCE76E</t>
    <phoneticPr fontId="5" type="noConversion"/>
  </si>
  <si>
    <t>0414796249</t>
    <phoneticPr fontId="5" type="noConversion"/>
  </si>
  <si>
    <t>CJJ79Y</t>
    <phoneticPr fontId="5" type="noConversion"/>
  </si>
  <si>
    <t>0424181562</t>
    <phoneticPr fontId="5" type="noConversion"/>
  </si>
  <si>
    <t>EOL09V</t>
    <phoneticPr fontId="5" type="noConversion"/>
  </si>
  <si>
    <t>0410586575</t>
    <phoneticPr fontId="5" type="noConversion"/>
  </si>
  <si>
    <t>CMY44N</t>
    <phoneticPr fontId="5" type="noConversion"/>
  </si>
  <si>
    <t>0451865579</t>
    <phoneticPr fontId="5" type="noConversion"/>
  </si>
  <si>
    <t>NBK33S</t>
    <phoneticPr fontId="5" type="noConversion"/>
  </si>
  <si>
    <t>0403100333</t>
    <phoneticPr fontId="5" type="noConversion"/>
  </si>
  <si>
    <t>YDD168</t>
    <phoneticPr fontId="5" type="noConversion"/>
  </si>
  <si>
    <t>0449656897</t>
    <phoneticPr fontId="5" type="noConversion"/>
  </si>
  <si>
    <t>JUN</t>
    <phoneticPr fontId="5" type="noConversion"/>
  </si>
  <si>
    <t>DTL60W</t>
    <phoneticPr fontId="5" type="noConversion"/>
  </si>
  <si>
    <t>0407850967</t>
    <phoneticPr fontId="5" type="noConversion"/>
  </si>
  <si>
    <t>ALX11Z</t>
    <phoneticPr fontId="5" type="noConversion"/>
  </si>
  <si>
    <t>0466392733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</si>
</sst>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</cellStyleXfs>
  <cellXfs count="761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0" fillId="0" borderId="11" xfId="0" applyBorder="1" applyAlignment="1">
      <alignment shrinkToFit="1"/>
    </xf>
    <xf numFmtId="0" fontId="0" fillId="0" borderId="12" xfId="0" applyBorder="1" applyAlignment="1">
      <alignment shrinkToFit="1"/>
    </xf>
    <xf numFmtId="0" fontId="0" fillId="0" borderId="4" xfId="0" applyBorder="1" applyAlignment="1">
      <alignment shrinkToFit="1"/>
    </xf>
    <xf numFmtId="0" fontId="0" fillId="0" borderId="3" xfId="0" applyBorder="1" applyAlignment="1">
      <alignment shrinkToFit="1"/>
    </xf>
    <xf numFmtId="0" fontId="0" fillId="0" borderId="4" xfId="0" applyBorder="1"/>
    <xf numFmtId="49" fontId="26" fillId="0" borderId="6" xfId="0" applyNumberFormat="1" applyFont="1" applyBorder="1" applyAlignment="1">
      <alignment horizontal="left"/>
    </xf>
    <xf numFmtId="49" fontId="18" fillId="13" borderId="8" xfId="0" applyNumberFormat="1" applyFont="1" applyFill="1" applyBorder="1" applyAlignment="1">
      <alignment horizontal="center" shrinkToFit="1"/>
    </xf>
    <xf numFmtId="0" fontId="18" fillId="13" borderId="34" xfId="0" applyFont="1" applyFill="1" applyBorder="1" applyAlignment="1">
      <alignment horizontal="center" shrinkToFit="1"/>
    </xf>
    <xf numFmtId="0" fontId="18" fillId="13" borderId="63" xfId="0" applyFont="1" applyFill="1" applyBorder="1" applyAlignment="1">
      <alignment horizontal="center" shrinkToFit="1"/>
    </xf>
    <xf numFmtId="49" fontId="30" fillId="0" borderId="6" xfId="0" applyNumberFormat="1" applyFont="1" applyBorder="1"/>
    <xf numFmtId="0" fontId="18" fillId="13" borderId="48" xfId="0" applyFont="1" applyFill="1" applyBorder="1" applyAlignment="1">
      <alignment horizontal="center" shrinkToFit="1"/>
    </xf>
    <xf numFmtId="49" fontId="0" fillId="0" borderId="6" xfId="0" applyNumberFormat="1" applyBorder="1"/>
    <xf numFmtId="178" fontId="3" fillId="6" borderId="3" xfId="0" applyNumberFormat="1" applyFont="1" applyFill="1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18" fillId="13" borderId="8" xfId="0" applyFont="1" applyFill="1" applyBorder="1" applyAlignment="1">
      <alignment horizontal="center" vertical="center" shrinkToFit="1"/>
    </xf>
    <xf numFmtId="176" fontId="6" fillId="6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25" fillId="14" borderId="1" xfId="4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1" xfId="4" applyBorder="1" applyAlignment="1">
      <alignment horizontal="center" vertical="center" shrinkToFit="1"/>
    </xf>
    <xf numFmtId="0" fontId="25" fillId="14" borderId="26" xfId="4" applyBorder="1" applyAlignment="1">
      <alignment horizontal="left"/>
    </xf>
    <xf numFmtId="178" fontId="25" fillId="14" borderId="1" xfId="4" applyNumberFormat="1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178" fontId="2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0" fontId="31" fillId="15" borderId="1" xfId="5" applyBorder="1" applyAlignment="1">
      <alignment horizontal="center" shrinkToFit="1"/>
    </xf>
    <xf numFmtId="0" fontId="31" fillId="15" borderId="1" xfId="5" applyBorder="1" applyAlignment="1">
      <alignment shrinkToFit="1"/>
    </xf>
    <xf numFmtId="49" fontId="31" fillId="15" borderId="2" xfId="5" applyNumberFormat="1" applyBorder="1" applyAlignment="1">
      <alignment shrinkToFit="1"/>
    </xf>
    <xf numFmtId="0" fontId="31" fillId="15" borderId="26" xfId="5" applyBorder="1" applyAlignment="1">
      <alignment horizontal="left" shrinkToFit="1"/>
    </xf>
    <xf numFmtId="0" fontId="31" fillId="15" borderId="1" xfId="5" applyBorder="1" applyAlignment="1">
      <alignment horizontal="center" vertical="center" shrinkToFit="1"/>
    </xf>
    <xf numFmtId="178" fontId="31" fillId="15" borderId="1" xfId="5" applyNumberFormat="1" applyBorder="1" applyAlignment="1">
      <alignment horizontal="center" shrinkToFit="1"/>
    </xf>
    <xf numFmtId="178" fontId="31" fillId="15" borderId="4" xfId="5" applyNumberFormat="1" applyBorder="1" applyAlignment="1">
      <alignment horizontal="center" shrinkToFit="1"/>
    </xf>
    <xf numFmtId="178" fontId="31" fillId="15" borderId="6" xfId="5" applyNumberFormat="1" applyBorder="1" applyAlignment="1">
      <alignment horizontal="center" shrinkToFit="1"/>
    </xf>
    <xf numFmtId="0" fontId="31" fillId="15" borderId="1" xfId="5" applyBorder="1" applyAlignment="1">
      <alignment horizontal="left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31" fillId="15" borderId="2" xfId="5" applyBorder="1" applyAlignment="1">
      <alignment horizontal="center" shrinkToFit="1"/>
    </xf>
    <xf numFmtId="0" fontId="31" fillId="15" borderId="29" xfId="5" applyBorder="1" applyAlignment="1">
      <alignment horizontal="center" shrinkToFit="1"/>
    </xf>
    <xf numFmtId="0" fontId="31" fillId="15" borderId="17" xfId="5" applyBorder="1" applyAlignment="1">
      <alignment horizont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2" xfId="0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2" xfId="0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2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2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2" xfId="0" applyFont="1" applyFill="1" applyBorder="1" applyAlignment="1">
      <alignment horizontal="center" vertical="center" shrinkToFit="1"/>
    </xf>
    <xf numFmtId="178" fontId="22" fillId="12" borderId="1" xfId="0" applyNumberFormat="1" applyFont="1" applyFill="1" applyBorder="1" applyAlignment="1">
      <alignment horizontal="center" vertical="center" shrinkToFit="1"/>
    </xf>
    <xf numFmtId="180" fontId="6" fillId="12" borderId="5" xfId="0" applyNumberFormat="1" applyFont="1" applyFill="1" applyBorder="1" applyAlignment="1">
      <alignment horizontal="center" vertical="center" shrinkToFit="1"/>
    </xf>
    <xf numFmtId="180" fontId="6" fillId="12" borderId="56" xfId="0" applyNumberFormat="1" applyFont="1" applyFill="1" applyBorder="1" applyAlignment="1">
      <alignment horizontal="center" vertical="center" shrinkToFit="1"/>
    </xf>
    <xf numFmtId="180" fontId="6" fillId="12" borderId="62" xfId="0" applyNumberFormat="1" applyFont="1" applyFill="1" applyBorder="1" applyAlignment="1">
      <alignment horizontal="center" vertical="center" shrinkToFit="1"/>
    </xf>
  </cellXfs>
  <cellStyles count="6">
    <cellStyle name="나쁨" xfId="5" builtinId="27"/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9" sqref="R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100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147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4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49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4783</v>
      </c>
      <c r="C5" s="257" t="s">
        <v>107</v>
      </c>
      <c r="D5" s="258" t="s">
        <v>108</v>
      </c>
      <c r="E5" s="255" t="s">
        <v>95</v>
      </c>
      <c r="F5" s="169">
        <v>1015</v>
      </c>
      <c r="G5" s="118" t="s">
        <v>109</v>
      </c>
      <c r="H5" s="91">
        <v>55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142</v>
      </c>
      <c r="O5" s="305"/>
      <c r="P5" s="306"/>
      <c r="Q5" s="307"/>
      <c r="R5" s="33" t="s">
        <v>142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4784</v>
      </c>
      <c r="C6" s="67" t="s">
        <v>110</v>
      </c>
      <c r="D6" s="195" t="s">
        <v>111</v>
      </c>
      <c r="E6" s="127" t="s">
        <v>97</v>
      </c>
      <c r="F6" s="170">
        <v>1025</v>
      </c>
      <c r="G6" s="118" t="s">
        <v>112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142</v>
      </c>
      <c r="O6" s="308"/>
      <c r="P6" s="309"/>
      <c r="Q6" s="310"/>
      <c r="R6" s="132" t="s">
        <v>143</v>
      </c>
      <c r="S6" s="31">
        <v>0.33333333333333331</v>
      </c>
      <c r="T6" s="32">
        <v>0.71875</v>
      </c>
      <c r="U6" s="92">
        <f t="shared" si="0"/>
        <v>9.25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4785</v>
      </c>
      <c r="C7" s="67" t="s">
        <v>113</v>
      </c>
      <c r="D7" s="195" t="s">
        <v>114</v>
      </c>
      <c r="E7" s="127" t="s">
        <v>115</v>
      </c>
      <c r="F7" s="170">
        <v>1055</v>
      </c>
      <c r="G7" s="118" t="s">
        <v>109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142</v>
      </c>
      <c r="O7" s="311"/>
      <c r="P7" s="312"/>
      <c r="Q7" s="313"/>
      <c r="R7" s="134" t="s">
        <v>144</v>
      </c>
      <c r="S7" s="31">
        <v>0.41666666666666669</v>
      </c>
      <c r="T7" s="32">
        <v>0.71875</v>
      </c>
      <c r="U7" s="92">
        <f t="shared" si="0"/>
        <v>7.25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4786</v>
      </c>
      <c r="C8" s="27" t="s">
        <v>116</v>
      </c>
      <c r="D8" s="195" t="s">
        <v>117</v>
      </c>
      <c r="E8" s="127" t="s">
        <v>118</v>
      </c>
      <c r="F8" s="170">
        <v>1130</v>
      </c>
      <c r="G8" s="118" t="s">
        <v>109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142</v>
      </c>
      <c r="O8" s="314"/>
      <c r="P8" s="315"/>
      <c r="Q8" s="316"/>
      <c r="R8" s="26" t="s">
        <v>145</v>
      </c>
      <c r="S8" s="31">
        <v>0.4375</v>
      </c>
      <c r="T8" s="32">
        <v>0.625</v>
      </c>
      <c r="U8" s="92">
        <f t="shared" si="0"/>
        <v>4.5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4787</v>
      </c>
      <c r="C9" s="63" t="s">
        <v>119</v>
      </c>
      <c r="D9" s="196" t="s">
        <v>120</v>
      </c>
      <c r="E9" s="127" t="s">
        <v>118</v>
      </c>
      <c r="F9" s="171">
        <v>1140</v>
      </c>
      <c r="G9" s="119" t="s">
        <v>121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142</v>
      </c>
      <c r="O9" s="314"/>
      <c r="P9" s="315"/>
      <c r="Q9" s="316"/>
      <c r="R9" s="26" t="s">
        <v>146</v>
      </c>
      <c r="S9" s="31">
        <v>0.60416666666666663</v>
      </c>
      <c r="T9" s="32">
        <v>0.625</v>
      </c>
      <c r="U9" s="92">
        <f t="shared" si="0"/>
        <v>0.50000000000000089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4788</v>
      </c>
      <c r="C10" s="28" t="s">
        <v>122</v>
      </c>
      <c r="D10" s="197" t="s">
        <v>123</v>
      </c>
      <c r="E10" s="127" t="s">
        <v>118</v>
      </c>
      <c r="F10" s="172">
        <v>1230</v>
      </c>
      <c r="G10" s="120" t="s">
        <v>112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142</v>
      </c>
      <c r="O10" s="301"/>
      <c r="P10" s="302"/>
      <c r="Q10" s="30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4789</v>
      </c>
      <c r="C11" s="18" t="s">
        <v>124</v>
      </c>
      <c r="D11" s="198" t="s">
        <v>125</v>
      </c>
      <c r="E11" s="127" t="s">
        <v>115</v>
      </c>
      <c r="F11" s="66">
        <v>1330</v>
      </c>
      <c r="G11" s="121" t="s">
        <v>126</v>
      </c>
      <c r="H11" s="123"/>
      <c r="I11" s="124">
        <v>220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142</v>
      </c>
      <c r="O11" s="311"/>
      <c r="P11" s="312"/>
      <c r="Q11" s="31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4790</v>
      </c>
      <c r="C12" s="64" t="s">
        <v>127</v>
      </c>
      <c r="D12" s="199" t="s">
        <v>128</v>
      </c>
      <c r="E12" s="127" t="s">
        <v>115</v>
      </c>
      <c r="F12" s="172">
        <v>1420</v>
      </c>
      <c r="G12" s="119" t="s">
        <v>112</v>
      </c>
      <c r="H12" s="123">
        <v>100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142</v>
      </c>
      <c r="O12" s="311"/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4791</v>
      </c>
      <c r="C13" s="64" t="s">
        <v>129</v>
      </c>
      <c r="D13" s="199" t="s">
        <v>130</v>
      </c>
      <c r="E13" s="127" t="s">
        <v>118</v>
      </c>
      <c r="F13" s="172">
        <v>1420</v>
      </c>
      <c r="G13" s="119" t="s">
        <v>131</v>
      </c>
      <c r="H13" s="168"/>
      <c r="I13" s="167"/>
      <c r="J13" s="130" t="str">
        <f t="shared" si="1"/>
        <v>0</v>
      </c>
      <c r="K13" s="130" t="str">
        <f t="shared" si="2"/>
        <v>58.3</v>
      </c>
      <c r="L13" s="131"/>
      <c r="M13" s="131"/>
      <c r="N13" s="134" t="s">
        <v>142</v>
      </c>
      <c r="O13" s="311" t="s">
        <v>132</v>
      </c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4792</v>
      </c>
      <c r="C14" s="65" t="s">
        <v>133</v>
      </c>
      <c r="D14" s="200" t="s">
        <v>134</v>
      </c>
      <c r="E14" s="127" t="s">
        <v>118</v>
      </c>
      <c r="F14" s="173">
        <v>1450</v>
      </c>
      <c r="G14" s="122" t="s">
        <v>135</v>
      </c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142</v>
      </c>
      <c r="O14" s="311" t="s">
        <v>136</v>
      </c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4793</v>
      </c>
      <c r="C15" s="65" t="s">
        <v>137</v>
      </c>
      <c r="D15" s="200" t="s">
        <v>138</v>
      </c>
      <c r="E15" s="127" t="s">
        <v>118</v>
      </c>
      <c r="F15" s="173">
        <v>1500</v>
      </c>
      <c r="G15" s="122" t="s">
        <v>112</v>
      </c>
      <c r="H15" s="123"/>
      <c r="I15" s="124">
        <v>120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142</v>
      </c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4794</v>
      </c>
      <c r="C16" s="65" t="s">
        <v>139</v>
      </c>
      <c r="D16" s="200" t="s">
        <v>140</v>
      </c>
      <c r="E16" s="127" t="s">
        <v>141</v>
      </c>
      <c r="F16" s="173">
        <v>1540</v>
      </c>
      <c r="G16" s="122" t="s">
        <v>109</v>
      </c>
      <c r="H16" s="123"/>
      <c r="I16" s="124">
        <v>60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142</v>
      </c>
      <c r="O16" s="311"/>
      <c r="P16" s="312"/>
      <c r="Q16" s="313"/>
      <c r="R16" s="82">
        <f>H32/U16</f>
        <v>0.3902439024390244</v>
      </c>
      <c r="S16" s="83">
        <f>H32/(U16-U5)</f>
        <v>0.55813953488372092</v>
      </c>
      <c r="T16" s="83">
        <f>C32/U16</f>
        <v>35.229268292682924</v>
      </c>
      <c r="U16" s="83">
        <f>SUM(U5:U15)</f>
        <v>30.75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127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1"/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127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1"/>
      <c r="P18" s="312"/>
      <c r="Q18" s="31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127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127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127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127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2"/>
      <c r="Q22" s="31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127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127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127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1">
        <f>((C32+(R26+S26+T26)*0.5))</f>
        <v>1108.3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127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50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127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53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54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210</v>
      </c>
      <c r="I30" s="105">
        <f>SUM(I5:I29)</f>
        <v>815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210</v>
      </c>
      <c r="I31" s="103">
        <f t="shared" si="4"/>
        <v>815</v>
      </c>
      <c r="J31" s="103">
        <f t="shared" si="4"/>
        <v>0</v>
      </c>
      <c r="K31" s="103">
        <f>K30+K62+K94</f>
        <v>58.3</v>
      </c>
      <c r="L31" s="97">
        <f>L30+L62+L94</f>
        <v>0</v>
      </c>
      <c r="M31" s="97">
        <f>M30+M62+M94</f>
        <v>0</v>
      </c>
      <c r="N31" s="251">
        <f>COUNT(H5:H29,H37:H61,H69:H93)</f>
        <v>3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210</v>
      </c>
      <c r="T31" s="335">
        <f>H31+I31+L31+M31</f>
        <v>1025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1083.3</v>
      </c>
      <c r="D32" s="192"/>
      <c r="E32" s="107"/>
      <c r="F32" s="328" t="s">
        <v>53</v>
      </c>
      <c r="G32" s="328"/>
      <c r="H32" s="109">
        <f>COUNT(B5:B29,B37:B61,B69:B93)</f>
        <v>12</v>
      </c>
      <c r="I32" s="329" t="s">
        <v>54</v>
      </c>
      <c r="J32" s="329"/>
      <c r="K32" s="108">
        <f>C32/H32</f>
        <v>90.274999999999991</v>
      </c>
      <c r="L32" s="252"/>
      <c r="M32" s="252"/>
      <c r="N32" s="252">
        <f>H31/C32</f>
        <v>0.1938521185267239</v>
      </c>
      <c r="O32" s="252">
        <f>I31/C32</f>
        <v>0.75233084094895231</v>
      </c>
      <c r="P32" s="252">
        <f>K31/C32</f>
        <v>5.3817040524323824E-2</v>
      </c>
      <c r="Q32" s="110">
        <f>J31/C32</f>
        <v>0</v>
      </c>
      <c r="R32" s="99" t="s">
        <v>82</v>
      </c>
      <c r="S32" s="247">
        <f>I31+M31</f>
        <v>815</v>
      </c>
      <c r="T32" s="337"/>
      <c r="U32" s="338"/>
      <c r="V32" s="55"/>
      <c r="W32" s="55"/>
      <c r="X32" s="56" t="s">
        <v>27</v>
      </c>
      <c r="Y32" s="56"/>
      <c r="Z32" s="54">
        <f>I31</f>
        <v>815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-1930</v>
      </c>
      <c r="AE33" s="37"/>
      <c r="AF33" s="37"/>
      <c r="AG33" s="59"/>
      <c r="AH33" s="37"/>
    </row>
    <row r="34" spans="1:34" ht="18" thickBot="1">
      <c r="A34" s="294" t="str">
        <f>A2</f>
        <v>10-01-2022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CLOUDY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4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49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5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127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127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127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127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127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127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12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12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12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12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12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12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12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12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12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12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12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12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12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12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12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12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12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12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10-01-2022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CLOUDY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4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49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5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12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12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12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12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12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12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12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12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12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12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12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12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12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12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12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12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12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12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12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12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12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12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12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56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5" type="noConversion"/>
  <dataValidations count="2">
    <dataValidation type="list" allowBlank="1" showInputMessage="1" showErrorMessage="1" sqref="X7" xr:uid="{6D4B4139-2BB7-4BA4-AA63-4374F0F68D6B}">
      <formula1>$W$5:$W$7</formula1>
    </dataValidation>
    <dataValidation type="list" allowBlank="1" showInputMessage="1" showErrorMessage="1" sqref="W5:W8 E5:E29 E37:E61 E69:E93" xr:uid="{143AC879-D040-45D1-95D0-26980E766AE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7" sqref="R7:S8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101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147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5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67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4795</v>
      </c>
      <c r="C5" s="257" t="s">
        <v>150</v>
      </c>
      <c r="D5" s="258" t="s">
        <v>151</v>
      </c>
      <c r="E5" s="269" t="s">
        <v>97</v>
      </c>
      <c r="F5" s="169">
        <v>820</v>
      </c>
      <c r="G5" s="118" t="s">
        <v>135</v>
      </c>
      <c r="H5" s="91"/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142</v>
      </c>
      <c r="O5" s="305" t="s">
        <v>149</v>
      </c>
      <c r="P5" s="306"/>
      <c r="Q5" s="307"/>
      <c r="R5" s="33" t="s">
        <v>142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4796</v>
      </c>
      <c r="C6" s="67" t="s">
        <v>152</v>
      </c>
      <c r="D6" s="195" t="s">
        <v>153</v>
      </c>
      <c r="E6" s="270" t="s">
        <v>118</v>
      </c>
      <c r="F6" s="170">
        <v>920</v>
      </c>
      <c r="G6" s="118" t="s">
        <v>131</v>
      </c>
      <c r="H6" s="91">
        <v>30</v>
      </c>
      <c r="I6" s="124"/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58.3</v>
      </c>
      <c r="L6" s="131"/>
      <c r="M6" s="131"/>
      <c r="N6" s="134" t="s">
        <v>142</v>
      </c>
      <c r="O6" s="308" t="s">
        <v>154</v>
      </c>
      <c r="P6" s="309"/>
      <c r="Q6" s="310"/>
      <c r="R6" s="132" t="s">
        <v>143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4797</v>
      </c>
      <c r="C7" s="67" t="s">
        <v>155</v>
      </c>
      <c r="D7" s="195" t="s">
        <v>156</v>
      </c>
      <c r="E7" s="270" t="s">
        <v>95</v>
      </c>
      <c r="F7" s="170">
        <v>1010</v>
      </c>
      <c r="G7" s="118" t="s">
        <v>112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142</v>
      </c>
      <c r="O7" s="311"/>
      <c r="P7" s="312"/>
      <c r="Q7" s="313"/>
      <c r="R7" s="134" t="s">
        <v>144</v>
      </c>
      <c r="S7" s="31">
        <v>0.41666666666666669</v>
      </c>
      <c r="T7" s="32">
        <v>0.625</v>
      </c>
      <c r="U7" s="92">
        <f t="shared" si="0"/>
        <v>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4798</v>
      </c>
      <c r="C8" s="27" t="s">
        <v>157</v>
      </c>
      <c r="D8" s="195" t="s">
        <v>158</v>
      </c>
      <c r="E8" s="270" t="s">
        <v>118</v>
      </c>
      <c r="F8" s="170">
        <v>1015</v>
      </c>
      <c r="G8" s="118" t="s">
        <v>112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142</v>
      </c>
      <c r="O8" s="314"/>
      <c r="P8" s="315"/>
      <c r="Q8" s="316"/>
      <c r="R8" s="26" t="s">
        <v>148</v>
      </c>
      <c r="S8" s="31">
        <v>0.41666666666666669</v>
      </c>
      <c r="T8" s="32">
        <v>0.625</v>
      </c>
      <c r="U8" s="92">
        <f t="shared" si="0"/>
        <v>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4799</v>
      </c>
      <c r="C9" s="63" t="s">
        <v>159</v>
      </c>
      <c r="D9" s="196" t="s">
        <v>160</v>
      </c>
      <c r="E9" s="270" t="s">
        <v>118</v>
      </c>
      <c r="F9" s="171">
        <v>1107</v>
      </c>
      <c r="G9" s="119" t="s">
        <v>112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142</v>
      </c>
      <c r="O9" s="314"/>
      <c r="P9" s="315"/>
      <c r="Q9" s="316"/>
      <c r="R9" s="26" t="s">
        <v>146</v>
      </c>
      <c r="S9" s="31">
        <v>0.42708333333333331</v>
      </c>
      <c r="T9" s="32">
        <v>0.58333333333333337</v>
      </c>
      <c r="U9" s="92">
        <f t="shared" si="0"/>
        <v>3.7500000000000013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4800</v>
      </c>
      <c r="C10" s="28" t="s">
        <v>161</v>
      </c>
      <c r="D10" s="197" t="s">
        <v>162</v>
      </c>
      <c r="E10" s="270" t="s">
        <v>115</v>
      </c>
      <c r="F10" s="172">
        <v>1200</v>
      </c>
      <c r="G10" s="120" t="s">
        <v>121</v>
      </c>
      <c r="H10" s="123"/>
      <c r="I10" s="125">
        <v>120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142</v>
      </c>
      <c r="O10" s="301"/>
      <c r="P10" s="302"/>
      <c r="Q10" s="30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4901</v>
      </c>
      <c r="C11" s="18" t="s">
        <v>165</v>
      </c>
      <c r="D11" s="198" t="s">
        <v>166</v>
      </c>
      <c r="E11" s="270" t="s">
        <v>115</v>
      </c>
      <c r="F11" s="66">
        <v>1250</v>
      </c>
      <c r="G11" s="121" t="s">
        <v>44</v>
      </c>
      <c r="H11" s="123">
        <v>5</v>
      </c>
      <c r="I11" s="124"/>
      <c r="J11" s="130" t="str">
        <f t="shared" si="1"/>
        <v>50</v>
      </c>
      <c r="K11" s="130" t="str">
        <f t="shared" si="2"/>
        <v>0</v>
      </c>
      <c r="L11" s="131"/>
      <c r="M11" s="131"/>
      <c r="N11" s="132" t="s">
        <v>143</v>
      </c>
      <c r="O11" s="311" t="s">
        <v>167</v>
      </c>
      <c r="P11" s="312"/>
      <c r="Q11" s="31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4902</v>
      </c>
      <c r="C12" s="64" t="s">
        <v>163</v>
      </c>
      <c r="D12" s="199" t="s">
        <v>130</v>
      </c>
      <c r="E12" s="270" t="s">
        <v>118</v>
      </c>
      <c r="F12" s="172">
        <v>1400</v>
      </c>
      <c r="G12" s="119" t="s">
        <v>131</v>
      </c>
      <c r="H12" s="123"/>
      <c r="I12" s="125"/>
      <c r="J12" s="130" t="str">
        <f t="shared" si="1"/>
        <v>0</v>
      </c>
      <c r="K12" s="130" t="str">
        <f t="shared" si="2"/>
        <v>58.3</v>
      </c>
      <c r="L12" s="131"/>
      <c r="M12" s="131"/>
      <c r="N12" s="134" t="s">
        <v>142</v>
      </c>
      <c r="O12" s="311" t="s">
        <v>164</v>
      </c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4903</v>
      </c>
      <c r="C13" s="64" t="s">
        <v>168</v>
      </c>
      <c r="D13" s="199" t="s">
        <v>169</v>
      </c>
      <c r="E13" s="270" t="s">
        <v>115</v>
      </c>
      <c r="F13" s="172">
        <v>1600</v>
      </c>
      <c r="G13" s="119" t="s">
        <v>112</v>
      </c>
      <c r="H13" s="168">
        <v>70</v>
      </c>
      <c r="I13" s="167">
        <v>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142</v>
      </c>
      <c r="O13" s="311"/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/>
      <c r="C14" s="65"/>
      <c r="D14" s="200"/>
      <c r="E14" s="270"/>
      <c r="F14" s="173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1"/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/>
      <c r="C15" s="65"/>
      <c r="D15" s="200"/>
      <c r="E15" s="270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70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1"/>
      <c r="P16" s="312"/>
      <c r="Q16" s="313"/>
      <c r="R16" s="82">
        <f>H32/U16</f>
        <v>0.2834645669291338</v>
      </c>
      <c r="S16" s="83">
        <f>H32/(U16-U5)</f>
        <v>0.39560439560439559</v>
      </c>
      <c r="T16" s="83">
        <f>C32/U16</f>
        <v>23.2</v>
      </c>
      <c r="U16" s="83">
        <f>SUM(U5:U15)</f>
        <v>31.750000000000004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70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1"/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70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1"/>
      <c r="P18" s="312"/>
      <c r="Q18" s="31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70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70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70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70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2"/>
      <c r="Q22" s="31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70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70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70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1">
        <f>((C32+(R26+S26+T26)*0.5))</f>
        <v>761.6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70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50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70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71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72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105</v>
      </c>
      <c r="I30" s="105">
        <f>SUM(I5:I29)</f>
        <v>465</v>
      </c>
      <c r="J30" s="105">
        <f>J5+J6+J7+J8+J9+J10+J11+J12+J13+J14+J15+J16+J18+J19+J17+J20+J22+J23+J21+J24+J25+J26+J27+J28+J29</f>
        <v>50</v>
      </c>
      <c r="K30" s="105">
        <f>K5+K6+K7+K8+K9+K10+K11+K12+K13+K14+K15+K16+K18+K19+K17+K20+K22+K23+K21+K24+K25+K26+K27+K28+K29</f>
        <v>116.6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105</v>
      </c>
      <c r="I31" s="103">
        <f t="shared" si="4"/>
        <v>465</v>
      </c>
      <c r="J31" s="103">
        <f t="shared" si="4"/>
        <v>50</v>
      </c>
      <c r="K31" s="103">
        <f>K30+K62+K94</f>
        <v>116.6</v>
      </c>
      <c r="L31" s="97">
        <f>L30+L62+L94</f>
        <v>0</v>
      </c>
      <c r="M31" s="97">
        <f>M30+M62+M94</f>
        <v>0</v>
      </c>
      <c r="N31" s="251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105</v>
      </c>
      <c r="T31" s="335">
        <f>H31+I31+L31+M31</f>
        <v>570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736.6</v>
      </c>
      <c r="D32" s="192"/>
      <c r="E32" s="268"/>
      <c r="F32" s="328" t="s">
        <v>53</v>
      </c>
      <c r="G32" s="328"/>
      <c r="H32" s="109">
        <f>COUNT(B5:B29,B37:B61,B69:B93)</f>
        <v>9</v>
      </c>
      <c r="I32" s="329" t="s">
        <v>54</v>
      </c>
      <c r="J32" s="329"/>
      <c r="K32" s="108">
        <f>C32/H32</f>
        <v>81.844444444444449</v>
      </c>
      <c r="L32" s="252"/>
      <c r="M32" s="252"/>
      <c r="N32" s="252">
        <f>H31/C32</f>
        <v>0.14254683681781155</v>
      </c>
      <c r="O32" s="252">
        <f>I31/C32</f>
        <v>0.63127884876459406</v>
      </c>
      <c r="P32" s="252">
        <f>K31/C32</f>
        <v>0.15829486831387454</v>
      </c>
      <c r="Q32" s="110">
        <f>J31/C32</f>
        <v>6.7879446103719793E-2</v>
      </c>
      <c r="R32" s="99" t="s">
        <v>82</v>
      </c>
      <c r="S32" s="247">
        <f>I31+M31</f>
        <v>465</v>
      </c>
      <c r="T32" s="337"/>
      <c r="U32" s="338"/>
      <c r="V32" s="55"/>
      <c r="W32" s="55"/>
      <c r="X32" s="56" t="s">
        <v>27</v>
      </c>
      <c r="Y32" s="56"/>
      <c r="Z32" s="54">
        <f>I31</f>
        <v>465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-2280</v>
      </c>
      <c r="AE33" s="37"/>
      <c r="AF33" s="37"/>
      <c r="AG33" s="59"/>
      <c r="AH33" s="37"/>
    </row>
    <row r="34" spans="1:34" ht="18" thickBot="1">
      <c r="A34" s="294" t="str">
        <f>A2</f>
        <v>11-01-2022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CLOUDY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5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67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69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70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70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70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70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70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70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70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70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70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70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70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70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70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70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70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70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70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70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70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70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70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70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70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70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11-01-2022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CLOUDY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5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67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69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70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70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70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70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70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70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70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70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70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70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70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70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70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70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70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70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70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70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70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70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70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70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70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73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5" type="noConversion"/>
  <dataValidations count="2">
    <dataValidation type="list" allowBlank="1" showInputMessage="1" showErrorMessage="1" sqref="X7" xr:uid="{3C63AC9D-55E3-4C9F-812C-4AB75701F154}">
      <formula1>$W$5:$W$7</formula1>
    </dataValidation>
    <dataValidation type="list" allowBlank="1" showInputMessage="1" showErrorMessage="1" sqref="W5:W8 E5:E29 E37:E61 E69:E93" xr:uid="{0149F2FF-A173-4E88-9C6C-8C1E1E9FA83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5" sqref="R5:S7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102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147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6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67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4904</v>
      </c>
      <c r="C5" s="257" t="s">
        <v>171</v>
      </c>
      <c r="D5" s="258" t="s">
        <v>172</v>
      </c>
      <c r="E5" s="269" t="s">
        <v>97</v>
      </c>
      <c r="F5" s="169">
        <v>1000</v>
      </c>
      <c r="G5" s="118" t="s">
        <v>121</v>
      </c>
      <c r="H5" s="91">
        <v>150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305"/>
      <c r="P5" s="306"/>
      <c r="Q5" s="307"/>
      <c r="R5" s="33" t="s">
        <v>142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4905</v>
      </c>
      <c r="C6" s="67" t="s">
        <v>173</v>
      </c>
      <c r="D6" s="195" t="s">
        <v>174</v>
      </c>
      <c r="E6" s="270" t="s">
        <v>118</v>
      </c>
      <c r="F6" s="170">
        <v>1000</v>
      </c>
      <c r="G6" s="118" t="s">
        <v>112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08"/>
      <c r="P6" s="309"/>
      <c r="Q6" s="310"/>
      <c r="R6" s="132" t="s">
        <v>143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4906</v>
      </c>
      <c r="C7" s="67" t="s">
        <v>175</v>
      </c>
      <c r="D7" s="195" t="s">
        <v>176</v>
      </c>
      <c r="E7" s="270" t="s">
        <v>118</v>
      </c>
      <c r="F7" s="170">
        <v>1043</v>
      </c>
      <c r="G7" s="118" t="s">
        <v>112</v>
      </c>
      <c r="H7" s="91">
        <v>130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11"/>
      <c r="P7" s="312"/>
      <c r="Q7" s="313"/>
      <c r="R7" s="134" t="s">
        <v>170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4907</v>
      </c>
      <c r="C8" s="27" t="s">
        <v>177</v>
      </c>
      <c r="D8" s="195" t="s">
        <v>178</v>
      </c>
      <c r="E8" s="270" t="s">
        <v>118</v>
      </c>
      <c r="F8" s="170">
        <v>1106</v>
      </c>
      <c r="G8" s="118" t="s">
        <v>112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14"/>
      <c r="P8" s="315"/>
      <c r="Q8" s="316"/>
      <c r="R8" s="26" t="s">
        <v>146</v>
      </c>
      <c r="S8" s="31">
        <v>0.4375</v>
      </c>
      <c r="T8" s="32">
        <v>0.5625</v>
      </c>
      <c r="U8" s="92">
        <f t="shared" si="0"/>
        <v>3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4908</v>
      </c>
      <c r="C9" s="63" t="s">
        <v>179</v>
      </c>
      <c r="D9" s="196" t="s">
        <v>180</v>
      </c>
      <c r="E9" s="270" t="s">
        <v>118</v>
      </c>
      <c r="F9" s="171">
        <v>1110</v>
      </c>
      <c r="G9" s="119" t="s">
        <v>131</v>
      </c>
      <c r="H9" s="91"/>
      <c r="I9" s="91"/>
      <c r="J9" s="130" t="str">
        <f t="shared" si="1"/>
        <v>0</v>
      </c>
      <c r="K9" s="130" t="str">
        <f t="shared" si="2"/>
        <v>58.3</v>
      </c>
      <c r="L9" s="131"/>
      <c r="M9" s="131"/>
      <c r="N9" s="134"/>
      <c r="O9" s="314" t="s">
        <v>192</v>
      </c>
      <c r="P9" s="315"/>
      <c r="Q9" s="316"/>
      <c r="R9" s="26" t="s">
        <v>199</v>
      </c>
      <c r="S9" s="31">
        <v>0.41666666666666669</v>
      </c>
      <c r="T9" s="32">
        <v>0.58333333333333337</v>
      </c>
      <c r="U9" s="92">
        <f t="shared" si="0"/>
        <v>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4909</v>
      </c>
      <c r="C10" s="28" t="s">
        <v>181</v>
      </c>
      <c r="D10" s="197" t="s">
        <v>182</v>
      </c>
      <c r="E10" s="270" t="s">
        <v>95</v>
      </c>
      <c r="F10" s="172">
        <v>1125</v>
      </c>
      <c r="G10" s="120" t="s">
        <v>112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1"/>
      <c r="P10" s="302"/>
      <c r="Q10" s="303"/>
      <c r="R10" s="26" t="s">
        <v>200</v>
      </c>
      <c r="S10" s="31">
        <v>0.4375</v>
      </c>
      <c r="T10" s="32">
        <v>0.625</v>
      </c>
      <c r="U10" s="92">
        <f t="shared" si="0"/>
        <v>4.5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4910</v>
      </c>
      <c r="C11" s="18" t="s">
        <v>183</v>
      </c>
      <c r="D11" s="198" t="s">
        <v>184</v>
      </c>
      <c r="E11" s="270" t="s">
        <v>115</v>
      </c>
      <c r="F11" s="66">
        <v>1140</v>
      </c>
      <c r="G11" s="121" t="s">
        <v>185</v>
      </c>
      <c r="H11" s="123"/>
      <c r="I11" s="124"/>
      <c r="J11" s="130" t="str">
        <f t="shared" si="1"/>
        <v>0</v>
      </c>
      <c r="K11" s="130" t="str">
        <f t="shared" si="2"/>
        <v>45.8</v>
      </c>
      <c r="L11" s="131"/>
      <c r="M11" s="131"/>
      <c r="N11" s="134"/>
      <c r="O11" s="311" t="s">
        <v>193</v>
      </c>
      <c r="P11" s="312"/>
      <c r="Q11" s="31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4911</v>
      </c>
      <c r="C12" s="64" t="s">
        <v>186</v>
      </c>
      <c r="D12" s="199" t="s">
        <v>187</v>
      </c>
      <c r="E12" s="270" t="s">
        <v>115</v>
      </c>
      <c r="F12" s="172">
        <v>1150</v>
      </c>
      <c r="G12" s="119" t="s">
        <v>109</v>
      </c>
      <c r="H12" s="123"/>
      <c r="I12" s="125">
        <v>60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1"/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4912</v>
      </c>
      <c r="C13" s="64" t="s">
        <v>190</v>
      </c>
      <c r="D13" s="199" t="s">
        <v>191</v>
      </c>
      <c r="E13" s="270" t="s">
        <v>141</v>
      </c>
      <c r="F13" s="172">
        <v>1230</v>
      </c>
      <c r="G13" s="119" t="s">
        <v>121</v>
      </c>
      <c r="H13" s="168"/>
      <c r="I13" s="167">
        <v>160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1"/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4913</v>
      </c>
      <c r="C14" s="65" t="s">
        <v>188</v>
      </c>
      <c r="D14" s="200" t="s">
        <v>189</v>
      </c>
      <c r="E14" s="270" t="s">
        <v>115</v>
      </c>
      <c r="F14" s="173">
        <v>1300</v>
      </c>
      <c r="G14" s="122" t="s">
        <v>121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1"/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4914</v>
      </c>
      <c r="C15" s="65" t="s">
        <v>194</v>
      </c>
      <c r="D15" s="200" t="s">
        <v>195</v>
      </c>
      <c r="E15" s="270" t="s">
        <v>115</v>
      </c>
      <c r="F15" s="173">
        <v>1345</v>
      </c>
      <c r="G15" s="122" t="s">
        <v>109</v>
      </c>
      <c r="H15" s="123">
        <v>60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4915</v>
      </c>
      <c r="C16" s="65" t="s">
        <v>196</v>
      </c>
      <c r="D16" s="200" t="s">
        <v>197</v>
      </c>
      <c r="E16" s="270" t="s">
        <v>115</v>
      </c>
      <c r="F16" s="173">
        <v>1350</v>
      </c>
      <c r="G16" s="122" t="s">
        <v>44</v>
      </c>
      <c r="H16" s="123"/>
      <c r="I16" s="124"/>
      <c r="J16" s="130">
        <v>100</v>
      </c>
      <c r="K16" s="130" t="str">
        <f t="shared" si="2"/>
        <v>0</v>
      </c>
      <c r="L16" s="131"/>
      <c r="M16" s="131"/>
      <c r="N16" s="134"/>
      <c r="O16" s="311" t="s">
        <v>198</v>
      </c>
      <c r="P16" s="312"/>
      <c r="Q16" s="313"/>
      <c r="R16" s="82">
        <f>H32/U16</f>
        <v>0.31788079470198677</v>
      </c>
      <c r="S16" s="83">
        <f>H32/(U16-U5)</f>
        <v>0.41379310344827586</v>
      </c>
      <c r="T16" s="83">
        <f>C32/U16</f>
        <v>30.439735099337746</v>
      </c>
      <c r="U16" s="83">
        <f>SUM(U5:U15)</f>
        <v>37.75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70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1"/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70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1"/>
      <c r="P18" s="312"/>
      <c r="Q18" s="31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70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70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70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70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2"/>
      <c r="Q22" s="31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70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70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70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1">
        <f>((C32+(R26+S26+T26)*0.5))</f>
        <v>1149.0999999999999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70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70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71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72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340</v>
      </c>
      <c r="I30" s="105">
        <f>SUM(I5:I29)</f>
        <v>605</v>
      </c>
      <c r="J30" s="105">
        <f>J5+J6+J7+J8+J9+J10+J11+J12+J13+J14+J15+J16+J18+J19+J17+J20+J22+J23+J21+J24+J25+J26+J27+J28+J29</f>
        <v>100</v>
      </c>
      <c r="K30" s="105">
        <f>K5+K6+K7+K8+K9+K10+K11+K12+K13+K14+K15+K16+K18+K19+K17+K20+K22+K23+K21+K24+K25+K26+K27+K28+K29</f>
        <v>104.1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340</v>
      </c>
      <c r="I31" s="103">
        <f t="shared" si="4"/>
        <v>605</v>
      </c>
      <c r="J31" s="103">
        <f t="shared" si="4"/>
        <v>100</v>
      </c>
      <c r="K31" s="103">
        <f>K30+K62+K94</f>
        <v>104.1</v>
      </c>
      <c r="L31" s="97">
        <f>L30+L62+L94</f>
        <v>0</v>
      </c>
      <c r="M31" s="97">
        <f>M30+M62+M94</f>
        <v>0</v>
      </c>
      <c r="N31" s="251">
        <f>COUNT(H5:H29,H37:H61,H69:H93)</f>
        <v>3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340</v>
      </c>
      <c r="T31" s="335">
        <f>H31+I31+L31+M31</f>
        <v>945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1149.0999999999999</v>
      </c>
      <c r="D32" s="192"/>
      <c r="E32" s="268"/>
      <c r="F32" s="328" t="s">
        <v>53</v>
      </c>
      <c r="G32" s="328"/>
      <c r="H32" s="109">
        <f>COUNT(B5:B29,B37:B61,B69:B93)</f>
        <v>12</v>
      </c>
      <c r="I32" s="329" t="s">
        <v>54</v>
      </c>
      <c r="J32" s="329"/>
      <c r="K32" s="108">
        <f>C32/H32</f>
        <v>95.758333333333326</v>
      </c>
      <c r="L32" s="252"/>
      <c r="M32" s="252"/>
      <c r="N32" s="252">
        <f>H31/C32</f>
        <v>0.29588373509703247</v>
      </c>
      <c r="O32" s="252">
        <f>I31/C32</f>
        <v>0.52649899921677834</v>
      </c>
      <c r="P32" s="252">
        <f>K31/C32</f>
        <v>9.0592637716473759E-2</v>
      </c>
      <c r="Q32" s="110">
        <f>J31/C32</f>
        <v>8.702462796971544E-2</v>
      </c>
      <c r="R32" s="99" t="s">
        <v>82</v>
      </c>
      <c r="S32" s="247">
        <f>I31+M31</f>
        <v>605</v>
      </c>
      <c r="T32" s="337"/>
      <c r="U32" s="338"/>
      <c r="V32" s="55"/>
      <c r="W32" s="55"/>
      <c r="X32" s="56" t="s">
        <v>27</v>
      </c>
      <c r="Y32" s="56"/>
      <c r="Z32" s="54">
        <f>I31</f>
        <v>605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-2140</v>
      </c>
      <c r="AE33" s="37"/>
      <c r="AF33" s="37"/>
      <c r="AG33" s="59"/>
      <c r="AH33" s="37"/>
    </row>
    <row r="34" spans="1:34" ht="18" thickBot="1">
      <c r="A34" s="294" t="str">
        <f>A2</f>
        <v>12-01-2022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CLOUDY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6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67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69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70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70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70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70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70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70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70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70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70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70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70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70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70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70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70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70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70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70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70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70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70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70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70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70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12-01-2022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CLOUDY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6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67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69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70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70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70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70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70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70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70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70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70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70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70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70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70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70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70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70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70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70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70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70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70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70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70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73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2">
    <dataValidation type="list" allowBlank="1" showInputMessage="1" showErrorMessage="1" sqref="X7" xr:uid="{ADD511C5-A579-4D7F-A8A7-A59758B4A0FC}">
      <formula1>$W$5:$W$7</formula1>
    </dataValidation>
    <dataValidation type="list" allowBlank="1" showInputMessage="1" showErrorMessage="1" sqref="W5:W8 E5:E29 E37:E61 E69:E93" xr:uid="{38F78852-FFA4-4967-A101-187D2DD6F1C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B25" sqref="B25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103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201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5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67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4916</v>
      </c>
      <c r="C5" s="257" t="s">
        <v>209</v>
      </c>
      <c r="D5" s="258" t="s">
        <v>210</v>
      </c>
      <c r="E5" s="269" t="s">
        <v>95</v>
      </c>
      <c r="F5" s="169">
        <v>935</v>
      </c>
      <c r="G5" s="118" t="s">
        <v>185</v>
      </c>
      <c r="H5" s="91"/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45.8</v>
      </c>
      <c r="L5" s="131"/>
      <c r="M5" s="131"/>
      <c r="N5" s="134" t="s">
        <v>142</v>
      </c>
      <c r="O5" s="305" t="s">
        <v>211</v>
      </c>
      <c r="P5" s="306"/>
      <c r="Q5" s="307"/>
      <c r="R5" s="33" t="s">
        <v>142</v>
      </c>
      <c r="S5" s="31">
        <v>0.33333333333333331</v>
      </c>
      <c r="T5" s="32">
        <v>0.64583333333333337</v>
      </c>
      <c r="U5" s="92">
        <f t="shared" ref="U5:U15" si="0">(T5-S5)*24</f>
        <v>7.5000000000000018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4917</v>
      </c>
      <c r="C6" s="67" t="s">
        <v>202</v>
      </c>
      <c r="D6" s="195" t="s">
        <v>203</v>
      </c>
      <c r="E6" s="270" t="s">
        <v>97</v>
      </c>
      <c r="F6" s="170">
        <v>940</v>
      </c>
      <c r="G6" s="118" t="s">
        <v>112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142</v>
      </c>
      <c r="O6" s="308"/>
      <c r="P6" s="309"/>
      <c r="Q6" s="310"/>
      <c r="R6" s="132" t="s">
        <v>143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4918</v>
      </c>
      <c r="C7" s="67" t="s">
        <v>212</v>
      </c>
      <c r="D7" s="195" t="s">
        <v>204</v>
      </c>
      <c r="E7" s="270" t="s">
        <v>95</v>
      </c>
      <c r="F7" s="170">
        <v>1000</v>
      </c>
      <c r="G7" s="118" t="s">
        <v>109</v>
      </c>
      <c r="H7" s="91"/>
      <c r="I7" s="124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142</v>
      </c>
      <c r="O7" s="311"/>
      <c r="P7" s="312"/>
      <c r="Q7" s="313"/>
      <c r="R7" s="134" t="s">
        <v>170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4919</v>
      </c>
      <c r="C8" s="27" t="s">
        <v>205</v>
      </c>
      <c r="D8" s="195" t="s">
        <v>206</v>
      </c>
      <c r="E8" s="270" t="s">
        <v>115</v>
      </c>
      <c r="F8" s="170">
        <v>1005</v>
      </c>
      <c r="G8" s="118" t="s">
        <v>112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142</v>
      </c>
      <c r="O8" s="314"/>
      <c r="P8" s="315"/>
      <c r="Q8" s="316"/>
      <c r="R8" s="26" t="s">
        <v>234</v>
      </c>
      <c r="S8" s="31">
        <v>0.44791666666666669</v>
      </c>
      <c r="T8" s="32">
        <v>0.625</v>
      </c>
      <c r="U8" s="92">
        <f t="shared" si="0"/>
        <v>4.25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4920</v>
      </c>
      <c r="C9" s="63" t="s">
        <v>217</v>
      </c>
      <c r="D9" s="196" t="s">
        <v>218</v>
      </c>
      <c r="E9" s="270" t="s">
        <v>118</v>
      </c>
      <c r="F9" s="171">
        <v>1010</v>
      </c>
      <c r="G9" s="119" t="s">
        <v>219</v>
      </c>
      <c r="H9" s="91"/>
      <c r="I9" s="91">
        <v>60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142</v>
      </c>
      <c r="O9" s="314"/>
      <c r="P9" s="315"/>
      <c r="Q9" s="316"/>
      <c r="R9" s="26" t="s">
        <v>233</v>
      </c>
      <c r="S9" s="31">
        <v>0.42708333333333331</v>
      </c>
      <c r="T9" s="32">
        <v>0.51041666666666663</v>
      </c>
      <c r="U9" s="92">
        <f t="shared" si="0"/>
        <v>1.9999999999999996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4921</v>
      </c>
      <c r="C10" s="28" t="s">
        <v>207</v>
      </c>
      <c r="D10" s="197" t="s">
        <v>208</v>
      </c>
      <c r="E10" s="270" t="s">
        <v>115</v>
      </c>
      <c r="F10" s="172">
        <v>1015</v>
      </c>
      <c r="G10" s="120" t="s">
        <v>112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142</v>
      </c>
      <c r="O10" s="301"/>
      <c r="P10" s="302"/>
      <c r="Q10" s="303"/>
      <c r="R10" s="26"/>
      <c r="S10" s="31">
        <v>0.625</v>
      </c>
      <c r="T10" s="32">
        <v>0.66666666666666663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4922</v>
      </c>
      <c r="C11" s="18" t="s">
        <v>213</v>
      </c>
      <c r="D11" s="198" t="s">
        <v>214</v>
      </c>
      <c r="E11" s="270" t="s">
        <v>118</v>
      </c>
      <c r="F11" s="66">
        <v>1020</v>
      </c>
      <c r="G11" s="121" t="s">
        <v>112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142</v>
      </c>
      <c r="O11" s="311"/>
      <c r="P11" s="312"/>
      <c r="Q11" s="31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4923</v>
      </c>
      <c r="C12" s="64" t="s">
        <v>220</v>
      </c>
      <c r="D12" s="199" t="s">
        <v>221</v>
      </c>
      <c r="E12" s="270" t="s">
        <v>115</v>
      </c>
      <c r="F12" s="172">
        <v>1040</v>
      </c>
      <c r="G12" s="119" t="s">
        <v>185</v>
      </c>
      <c r="H12" s="123"/>
      <c r="I12" s="125"/>
      <c r="J12" s="130" t="str">
        <f t="shared" si="1"/>
        <v>0</v>
      </c>
      <c r="K12" s="130">
        <v>58.3</v>
      </c>
      <c r="L12" s="131"/>
      <c r="M12" s="131"/>
      <c r="N12" s="134" t="s">
        <v>142</v>
      </c>
      <c r="O12" s="311" t="s">
        <v>222</v>
      </c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4924</v>
      </c>
      <c r="C13" s="64" t="s">
        <v>215</v>
      </c>
      <c r="D13" s="199" t="s">
        <v>216</v>
      </c>
      <c r="E13" s="270" t="s">
        <v>115</v>
      </c>
      <c r="F13" s="172">
        <v>1130</v>
      </c>
      <c r="G13" s="119" t="s">
        <v>112</v>
      </c>
      <c r="H13" s="168"/>
      <c r="I13" s="167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142</v>
      </c>
      <c r="O13" s="311"/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4925</v>
      </c>
      <c r="C14" s="65" t="s">
        <v>225</v>
      </c>
      <c r="D14" s="200" t="s">
        <v>226</v>
      </c>
      <c r="E14" s="270" t="s">
        <v>118</v>
      </c>
      <c r="F14" s="173">
        <v>1330</v>
      </c>
      <c r="G14" s="122" t="s">
        <v>109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142</v>
      </c>
      <c r="O14" s="311"/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4926</v>
      </c>
      <c r="C15" s="65" t="s">
        <v>223</v>
      </c>
      <c r="D15" s="200" t="s">
        <v>224</v>
      </c>
      <c r="E15" s="270" t="s">
        <v>118</v>
      </c>
      <c r="F15" s="173">
        <v>1330</v>
      </c>
      <c r="G15" s="122" t="s">
        <v>109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142</v>
      </c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4927</v>
      </c>
      <c r="C16" s="65" t="s">
        <v>227</v>
      </c>
      <c r="D16" s="200" t="s">
        <v>228</v>
      </c>
      <c r="E16" s="270" t="s">
        <v>118</v>
      </c>
      <c r="F16" s="173">
        <v>1405</v>
      </c>
      <c r="G16" s="122" t="s">
        <v>135</v>
      </c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142</v>
      </c>
      <c r="O16" s="311" t="s">
        <v>229</v>
      </c>
      <c r="P16" s="312"/>
      <c r="Q16" s="313"/>
      <c r="R16" s="82">
        <f>H32/U16</f>
        <v>0.42748091603053429</v>
      </c>
      <c r="S16" s="83">
        <f>H32/(U16-U5)</f>
        <v>0.55445544554455428</v>
      </c>
      <c r="T16" s="83">
        <f>C32/U16</f>
        <v>35.087022900763351</v>
      </c>
      <c r="U16" s="83">
        <f>SUM(U5:U15)</f>
        <v>32.750000000000007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4928</v>
      </c>
      <c r="C17" s="18" t="s">
        <v>230</v>
      </c>
      <c r="D17" s="198" t="s">
        <v>231</v>
      </c>
      <c r="E17" s="270" t="s">
        <v>141</v>
      </c>
      <c r="F17" s="66">
        <v>1440</v>
      </c>
      <c r="G17" s="121" t="s">
        <v>232</v>
      </c>
      <c r="H17" s="123"/>
      <c r="I17" s="124">
        <v>260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142</v>
      </c>
      <c r="O17" s="311"/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274">
        <v>4929</v>
      </c>
      <c r="C18" s="275" t="s">
        <v>235</v>
      </c>
      <c r="D18" s="276" t="s">
        <v>236</v>
      </c>
      <c r="E18" s="277" t="s">
        <v>118</v>
      </c>
      <c r="F18" s="278">
        <v>1515</v>
      </c>
      <c r="G18" s="274" t="s">
        <v>112</v>
      </c>
      <c r="H18" s="279"/>
      <c r="I18" s="280">
        <v>100</v>
      </c>
      <c r="J18" s="280" t="str">
        <f t="shared" si="1"/>
        <v>0</v>
      </c>
      <c r="K18" s="280" t="str">
        <f t="shared" si="2"/>
        <v>0</v>
      </c>
      <c r="L18" s="281"/>
      <c r="M18" s="281"/>
      <c r="N18" s="282" t="s">
        <v>142</v>
      </c>
      <c r="O18" s="382" t="s">
        <v>237</v>
      </c>
      <c r="P18" s="383"/>
      <c r="Q18" s="38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70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70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70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70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2"/>
      <c r="Q22" s="31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70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70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70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1">
        <f>((C32+(R26+S26+T26)*0.5))</f>
        <v>1174.0999999999999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70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50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70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71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72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0</v>
      </c>
      <c r="I30" s="105">
        <f>SUM(I5:I29)</f>
        <v>1045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104.1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0</v>
      </c>
      <c r="I31" s="103">
        <f t="shared" si="4"/>
        <v>1045</v>
      </c>
      <c r="J31" s="103">
        <f t="shared" si="4"/>
        <v>0</v>
      </c>
      <c r="K31" s="103">
        <f>K30+K62+K94</f>
        <v>104.1</v>
      </c>
      <c r="L31" s="97">
        <f>L30+L62+L94</f>
        <v>0</v>
      </c>
      <c r="M31" s="97">
        <f>M30+M62+M94</f>
        <v>0</v>
      </c>
      <c r="N31" s="251">
        <f>COUNT(H5:H29,H37:H61,H69:H93)</f>
        <v>0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5">
        <f>H31+I31+L31+M31</f>
        <v>1045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1149.0999999999999</v>
      </c>
      <c r="D32" s="192"/>
      <c r="E32" s="268"/>
      <c r="F32" s="328" t="s">
        <v>53</v>
      </c>
      <c r="G32" s="328"/>
      <c r="H32" s="109">
        <f>COUNT(B5:B29,B37:B61,B69:B93)</f>
        <v>14</v>
      </c>
      <c r="I32" s="329" t="s">
        <v>54</v>
      </c>
      <c r="J32" s="329"/>
      <c r="K32" s="108">
        <f>C32/H32</f>
        <v>82.078571428571422</v>
      </c>
      <c r="L32" s="252"/>
      <c r="M32" s="252"/>
      <c r="N32" s="252">
        <f>H31/C32</f>
        <v>0</v>
      </c>
      <c r="O32" s="252">
        <f>I31/C32</f>
        <v>0.90940736228352625</v>
      </c>
      <c r="P32" s="252">
        <f>K31/C32</f>
        <v>9.0592637716473759E-2</v>
      </c>
      <c r="Q32" s="110">
        <f>J31/C32</f>
        <v>0</v>
      </c>
      <c r="R32" s="99" t="s">
        <v>82</v>
      </c>
      <c r="S32" s="247">
        <f>I31+M31</f>
        <v>1045</v>
      </c>
      <c r="T32" s="337"/>
      <c r="U32" s="338"/>
      <c r="V32" s="55"/>
      <c r="W32" s="55"/>
      <c r="X32" s="56" t="s">
        <v>27</v>
      </c>
      <c r="Y32" s="56"/>
      <c r="Z32" s="54">
        <f>I31</f>
        <v>1045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-1700</v>
      </c>
      <c r="AE33" s="37"/>
      <c r="AF33" s="37"/>
      <c r="AG33" s="59"/>
      <c r="AH33" s="37"/>
    </row>
    <row r="34" spans="1:34" ht="18" thickBot="1">
      <c r="A34" s="294" t="str">
        <f>A2</f>
        <v>13-01-2022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SHOWER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5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67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69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70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70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70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70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70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70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70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70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70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70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70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70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70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70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70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70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70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70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70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70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70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70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70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70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13-01-2022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SHOWER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5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67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69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70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70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70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70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70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70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70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70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70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70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70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70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70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70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70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70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70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70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70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70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70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70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70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73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2">
    <dataValidation type="list" allowBlank="1" showInputMessage="1" showErrorMessage="1" sqref="X7" xr:uid="{B4BD3761-17A6-476D-878A-FA2071D28076}">
      <formula1>$W$5:$W$7</formula1>
    </dataValidation>
    <dataValidation type="list" allowBlank="1" showInputMessage="1" showErrorMessage="1" sqref="W5:W8 E5:E29 E37:E61 E69:E93" xr:uid="{2DB5AA51-BE3E-4B78-8A11-B40E6120581E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5" sqref="R5:S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104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240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5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67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4930</v>
      </c>
      <c r="C5" s="257" t="s">
        <v>238</v>
      </c>
      <c r="D5" s="258" t="s">
        <v>239</v>
      </c>
      <c r="E5" s="269" t="s">
        <v>115</v>
      </c>
      <c r="F5" s="169">
        <v>845</v>
      </c>
      <c r="G5" s="118" t="s">
        <v>112</v>
      </c>
      <c r="H5" s="91"/>
      <c r="I5" s="124">
        <v>70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142</v>
      </c>
      <c r="O5" s="305"/>
      <c r="P5" s="306"/>
      <c r="Q5" s="307"/>
      <c r="R5" s="33" t="s">
        <v>142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4931</v>
      </c>
      <c r="C6" s="67" t="s">
        <v>241</v>
      </c>
      <c r="D6" s="195" t="s">
        <v>242</v>
      </c>
      <c r="E6" s="270" t="s">
        <v>141</v>
      </c>
      <c r="F6" s="170">
        <v>900</v>
      </c>
      <c r="G6" s="118" t="s">
        <v>44</v>
      </c>
      <c r="H6" s="91">
        <v>10</v>
      </c>
      <c r="I6" s="283"/>
      <c r="J6" s="130" t="str">
        <f t="shared" ref="J6:J29" si="1">IF(G6="RSL","50","0")</f>
        <v>50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142</v>
      </c>
      <c r="O6" s="308" t="s">
        <v>249</v>
      </c>
      <c r="P6" s="309"/>
      <c r="Q6" s="310"/>
      <c r="R6" s="132" t="s">
        <v>143</v>
      </c>
      <c r="S6" s="31">
        <v>0.35416666666666669</v>
      </c>
      <c r="T6" s="32">
        <v>0.70833333333333337</v>
      </c>
      <c r="U6" s="92">
        <f t="shared" si="0"/>
        <v>8.5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4932</v>
      </c>
      <c r="C7" s="67" t="s">
        <v>243</v>
      </c>
      <c r="D7" s="195" t="s">
        <v>244</v>
      </c>
      <c r="E7" s="270" t="s">
        <v>115</v>
      </c>
      <c r="F7" s="170">
        <v>920</v>
      </c>
      <c r="G7" s="118" t="s">
        <v>121</v>
      </c>
      <c r="H7" s="91"/>
      <c r="I7" s="124">
        <v>120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142</v>
      </c>
      <c r="O7" s="311"/>
      <c r="P7" s="312"/>
      <c r="Q7" s="313"/>
      <c r="R7" s="134" t="s">
        <v>170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4933</v>
      </c>
      <c r="C8" s="27" t="s">
        <v>245</v>
      </c>
      <c r="D8" s="195" t="s">
        <v>246</v>
      </c>
      <c r="E8" s="270" t="s">
        <v>118</v>
      </c>
      <c r="F8" s="170">
        <v>935</v>
      </c>
      <c r="G8" s="118" t="s">
        <v>109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142</v>
      </c>
      <c r="O8" s="314"/>
      <c r="P8" s="315"/>
      <c r="Q8" s="316"/>
      <c r="R8" s="134" t="s">
        <v>144</v>
      </c>
      <c r="S8" s="31">
        <v>0.41666666666666669</v>
      </c>
      <c r="T8" s="32">
        <v>0.66666666666666663</v>
      </c>
      <c r="U8" s="92">
        <f t="shared" si="0"/>
        <v>5.9999999999999982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4934</v>
      </c>
      <c r="C9" s="63" t="s">
        <v>247</v>
      </c>
      <c r="D9" s="196" t="s">
        <v>248</v>
      </c>
      <c r="E9" s="270" t="s">
        <v>118</v>
      </c>
      <c r="F9" s="171">
        <v>1000</v>
      </c>
      <c r="G9" s="119" t="s">
        <v>44</v>
      </c>
      <c r="H9" s="91">
        <v>25</v>
      </c>
      <c r="I9" s="91"/>
      <c r="J9" s="130" t="str">
        <f t="shared" si="1"/>
        <v>50</v>
      </c>
      <c r="K9" s="130" t="str">
        <f t="shared" si="2"/>
        <v>0</v>
      </c>
      <c r="L9" s="131"/>
      <c r="M9" s="131"/>
      <c r="N9" s="134" t="s">
        <v>142</v>
      </c>
      <c r="O9" s="314" t="s">
        <v>250</v>
      </c>
      <c r="P9" s="315"/>
      <c r="Q9" s="316"/>
      <c r="R9" s="26" t="s">
        <v>148</v>
      </c>
      <c r="S9" s="31">
        <v>0.41666666666666669</v>
      </c>
      <c r="T9" s="32">
        <v>0.66666666666666663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4935</v>
      </c>
      <c r="C10" s="28" t="s">
        <v>251</v>
      </c>
      <c r="D10" s="197" t="s">
        <v>252</v>
      </c>
      <c r="E10" s="270" t="s">
        <v>118</v>
      </c>
      <c r="F10" s="172">
        <v>1000</v>
      </c>
      <c r="G10" s="120" t="s">
        <v>109</v>
      </c>
      <c r="H10" s="123"/>
      <c r="I10" s="125">
        <v>100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142</v>
      </c>
      <c r="O10" s="301"/>
      <c r="P10" s="302"/>
      <c r="Q10" s="30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4936</v>
      </c>
      <c r="C11" s="18" t="s">
        <v>253</v>
      </c>
      <c r="D11" s="198" t="s">
        <v>254</v>
      </c>
      <c r="E11" s="270" t="s">
        <v>115</v>
      </c>
      <c r="F11" s="66">
        <v>1030</v>
      </c>
      <c r="G11" s="121" t="s">
        <v>112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142</v>
      </c>
      <c r="O11" s="311"/>
      <c r="P11" s="312"/>
      <c r="Q11" s="31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4937</v>
      </c>
      <c r="C12" s="64" t="s">
        <v>255</v>
      </c>
      <c r="D12" s="199" t="s">
        <v>256</v>
      </c>
      <c r="E12" s="270" t="s">
        <v>118</v>
      </c>
      <c r="F12" s="172">
        <v>1035</v>
      </c>
      <c r="G12" s="119" t="s">
        <v>112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142</v>
      </c>
      <c r="O12" s="311"/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4938</v>
      </c>
      <c r="C13" s="64" t="s">
        <v>257</v>
      </c>
      <c r="D13" s="199" t="s">
        <v>258</v>
      </c>
      <c r="E13" s="270" t="s">
        <v>115</v>
      </c>
      <c r="F13" s="172">
        <v>1110</v>
      </c>
      <c r="G13" s="119" t="s">
        <v>121</v>
      </c>
      <c r="H13" s="168"/>
      <c r="I13" s="167">
        <v>120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142</v>
      </c>
      <c r="O13" s="311"/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4939</v>
      </c>
      <c r="C14" s="65" t="s">
        <v>259</v>
      </c>
      <c r="D14" s="200" t="s">
        <v>260</v>
      </c>
      <c r="E14" s="270" t="s">
        <v>115</v>
      </c>
      <c r="F14" s="173">
        <v>1140</v>
      </c>
      <c r="G14" s="122" t="s">
        <v>261</v>
      </c>
      <c r="H14" s="123"/>
      <c r="I14" s="125">
        <v>380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142</v>
      </c>
      <c r="O14" s="311"/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4940</v>
      </c>
      <c r="C15" s="65" t="s">
        <v>262</v>
      </c>
      <c r="D15" s="200" t="s">
        <v>263</v>
      </c>
      <c r="E15" s="270" t="s">
        <v>118</v>
      </c>
      <c r="F15" s="173">
        <v>1310</v>
      </c>
      <c r="G15" s="122" t="s">
        <v>112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142</v>
      </c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4941</v>
      </c>
      <c r="C16" s="65" t="s">
        <v>264</v>
      </c>
      <c r="D16" s="200" t="s">
        <v>265</v>
      </c>
      <c r="E16" s="270" t="s">
        <v>115</v>
      </c>
      <c r="F16" s="173">
        <v>1410</v>
      </c>
      <c r="G16" s="122" t="s">
        <v>109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2" t="s">
        <v>143</v>
      </c>
      <c r="O16" s="311"/>
      <c r="P16" s="312"/>
      <c r="Q16" s="313"/>
      <c r="R16" s="82">
        <f>H32/U16</f>
        <v>0.33766233766233766</v>
      </c>
      <c r="S16" s="83">
        <f>H32/(U16-U5)</f>
        <v>0.44067796610169491</v>
      </c>
      <c r="T16" s="83">
        <f>C32/U16</f>
        <v>36.233766233766232</v>
      </c>
      <c r="U16" s="83">
        <f>SUM(U5:U15)</f>
        <v>38.5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4942</v>
      </c>
      <c r="C17" s="18" t="s">
        <v>266</v>
      </c>
      <c r="D17" s="198" t="s">
        <v>267</v>
      </c>
      <c r="E17" s="270" t="s">
        <v>115</v>
      </c>
      <c r="F17" s="66">
        <v>1525</v>
      </c>
      <c r="G17" s="121" t="s">
        <v>112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2" t="s">
        <v>143</v>
      </c>
      <c r="O17" s="311" t="s">
        <v>268</v>
      </c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70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1"/>
      <c r="P18" s="312"/>
      <c r="Q18" s="31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70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70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70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70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2"/>
      <c r="Q22" s="31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70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70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70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1">
        <f>((C32+(R26+S26+T26)*0.5))</f>
        <v>1395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70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70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71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72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35</v>
      </c>
      <c r="I30" s="105">
        <f>SUM(I5:I29)</f>
        <v>1260</v>
      </c>
      <c r="J30" s="105">
        <f>J5+J6+J7+J8+J9+J10+J11+J12+J13+J14+J15+J16+J18+J19+J17+J20+J22+J23+J21+J24+J25+J26+J27+J28+J29</f>
        <v>100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35</v>
      </c>
      <c r="I31" s="103">
        <f t="shared" si="4"/>
        <v>1260</v>
      </c>
      <c r="J31" s="103">
        <f t="shared" si="4"/>
        <v>100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2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35</v>
      </c>
      <c r="T31" s="335">
        <f>H31+I31+L31+M31</f>
        <v>1295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1395</v>
      </c>
      <c r="D32" s="192"/>
      <c r="E32" s="268"/>
      <c r="F32" s="328" t="s">
        <v>53</v>
      </c>
      <c r="G32" s="328"/>
      <c r="H32" s="109">
        <f>COUNT(B5:B29,B37:B61,B69:B93)</f>
        <v>13</v>
      </c>
      <c r="I32" s="329" t="s">
        <v>54</v>
      </c>
      <c r="J32" s="329"/>
      <c r="K32" s="108">
        <f>C32/H32</f>
        <v>107.30769230769231</v>
      </c>
      <c r="L32" s="252"/>
      <c r="M32" s="252"/>
      <c r="N32" s="252">
        <f>H31/C32</f>
        <v>2.5089605734767026E-2</v>
      </c>
      <c r="O32" s="252">
        <f>I31/C32</f>
        <v>0.90322580645161288</v>
      </c>
      <c r="P32" s="252">
        <f>K31/C32</f>
        <v>0</v>
      </c>
      <c r="Q32" s="110">
        <f>J31/C32</f>
        <v>7.1684587813620068E-2</v>
      </c>
      <c r="R32" s="99" t="s">
        <v>82</v>
      </c>
      <c r="S32" s="247">
        <f>I31+M31</f>
        <v>1260</v>
      </c>
      <c r="T32" s="337"/>
      <c r="U32" s="338"/>
      <c r="V32" s="55"/>
      <c r="W32" s="55"/>
      <c r="X32" s="56" t="s">
        <v>27</v>
      </c>
      <c r="Y32" s="56"/>
      <c r="Z32" s="54">
        <f>I31</f>
        <v>1260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-1485</v>
      </c>
      <c r="AE33" s="37"/>
      <c r="AF33" s="37"/>
      <c r="AG33" s="59"/>
      <c r="AH33" s="37"/>
    </row>
    <row r="34" spans="1:34" ht="18" thickBot="1">
      <c r="A34" s="294" t="str">
        <f>A2</f>
        <v>14-01-2022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SUNNY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5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67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69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70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70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70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70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70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70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70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70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70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70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70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70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70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70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70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70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70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70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70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70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70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70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70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70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14-01-2022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SUNNY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5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67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69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70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70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70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70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70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70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70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70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70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70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70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70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70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70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70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70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70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70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70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70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70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70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70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73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2">
    <dataValidation type="list" allowBlank="1" showInputMessage="1" showErrorMessage="1" sqref="X7" xr:uid="{AA69CB26-51B0-4898-BE1D-5010069443C1}">
      <formula1>$W$5:$W$7</formula1>
    </dataValidation>
    <dataValidation type="list" allowBlank="1" showInputMessage="1" showErrorMessage="1" sqref="W5:W8 E5:E29 E37:E61 E69:E93" xr:uid="{02D827E8-FE10-4132-B18A-E760A9555B3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5" sqref="R5:S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105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147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6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67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4943</v>
      </c>
      <c r="C5" s="257" t="s">
        <v>269</v>
      </c>
      <c r="D5" s="258" t="s">
        <v>270</v>
      </c>
      <c r="E5" s="269" t="s">
        <v>96</v>
      </c>
      <c r="F5" s="169">
        <v>830</v>
      </c>
      <c r="G5" s="118" t="s">
        <v>44</v>
      </c>
      <c r="H5" s="91"/>
      <c r="I5" s="124"/>
      <c r="J5" s="130">
        <v>90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143</v>
      </c>
      <c r="O5" s="305" t="s">
        <v>271</v>
      </c>
      <c r="P5" s="306"/>
      <c r="Q5" s="307"/>
      <c r="R5" s="33" t="s">
        <v>142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4944</v>
      </c>
      <c r="C6" s="67" t="s">
        <v>272</v>
      </c>
      <c r="D6" s="195" t="s">
        <v>273</v>
      </c>
      <c r="E6" s="270" t="s">
        <v>118</v>
      </c>
      <c r="F6" s="170">
        <v>935</v>
      </c>
      <c r="G6" s="118" t="s">
        <v>232</v>
      </c>
      <c r="H6" s="91"/>
      <c r="I6" s="124">
        <v>180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143</v>
      </c>
      <c r="O6" s="308"/>
      <c r="P6" s="309"/>
      <c r="Q6" s="310"/>
      <c r="R6" s="132" t="s">
        <v>143</v>
      </c>
      <c r="S6" s="31">
        <v>0.35416666666666669</v>
      </c>
      <c r="T6" s="32">
        <v>0.70833333333333337</v>
      </c>
      <c r="U6" s="92">
        <f t="shared" si="0"/>
        <v>8.5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4945</v>
      </c>
      <c r="C7" s="67" t="s">
        <v>274</v>
      </c>
      <c r="D7" s="195" t="s">
        <v>275</v>
      </c>
      <c r="E7" s="270" t="s">
        <v>118</v>
      </c>
      <c r="F7" s="170">
        <v>1015</v>
      </c>
      <c r="G7" s="118" t="s">
        <v>109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142</v>
      </c>
      <c r="O7" s="311"/>
      <c r="P7" s="312"/>
      <c r="Q7" s="313"/>
      <c r="R7" s="134" t="s">
        <v>170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4946</v>
      </c>
      <c r="C8" s="27" t="s">
        <v>280</v>
      </c>
      <c r="D8" s="195" t="s">
        <v>281</v>
      </c>
      <c r="E8" s="270" t="s">
        <v>115</v>
      </c>
      <c r="F8" s="170">
        <v>1055</v>
      </c>
      <c r="G8" s="118" t="s">
        <v>112</v>
      </c>
      <c r="H8" s="91"/>
      <c r="I8" s="124">
        <v>70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142</v>
      </c>
      <c r="O8" s="314"/>
      <c r="P8" s="315"/>
      <c r="Q8" s="316"/>
      <c r="R8" s="134" t="s">
        <v>144</v>
      </c>
      <c r="S8" s="31">
        <v>0.41666666666666669</v>
      </c>
      <c r="T8" s="32">
        <v>0.70833333333333337</v>
      </c>
      <c r="U8" s="92">
        <f t="shared" si="0"/>
        <v>7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4947</v>
      </c>
      <c r="C9" s="63" t="s">
        <v>278</v>
      </c>
      <c r="D9" s="196" t="s">
        <v>279</v>
      </c>
      <c r="E9" s="270" t="s">
        <v>118</v>
      </c>
      <c r="F9" s="171">
        <v>1100</v>
      </c>
      <c r="G9" s="119" t="s">
        <v>109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142</v>
      </c>
      <c r="O9" s="314" t="s">
        <v>268</v>
      </c>
      <c r="P9" s="315"/>
      <c r="Q9" s="316"/>
      <c r="R9" s="26" t="s">
        <v>148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4948</v>
      </c>
      <c r="C10" s="28" t="s">
        <v>276</v>
      </c>
      <c r="D10" s="197" t="s">
        <v>277</v>
      </c>
      <c r="E10" s="270" t="s">
        <v>118</v>
      </c>
      <c r="F10" s="172">
        <v>1110</v>
      </c>
      <c r="G10" s="120" t="s">
        <v>112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142</v>
      </c>
      <c r="O10" s="301"/>
      <c r="P10" s="302"/>
      <c r="Q10" s="303"/>
      <c r="R10" s="26" t="s">
        <v>146</v>
      </c>
      <c r="S10" s="31">
        <v>0.42708333333333331</v>
      </c>
      <c r="T10" s="32">
        <v>0.61458333333333337</v>
      </c>
      <c r="U10" s="92">
        <f t="shared" si="0"/>
        <v>4.5000000000000018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4949</v>
      </c>
      <c r="C11" s="18" t="s">
        <v>282</v>
      </c>
      <c r="D11" s="198" t="s">
        <v>283</v>
      </c>
      <c r="E11" s="270" t="s">
        <v>141</v>
      </c>
      <c r="F11" s="66">
        <v>1115</v>
      </c>
      <c r="G11" s="121" t="s">
        <v>109</v>
      </c>
      <c r="H11" s="123"/>
      <c r="I11" s="124">
        <v>60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142</v>
      </c>
      <c r="O11" s="311"/>
      <c r="P11" s="312"/>
      <c r="Q11" s="31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4950</v>
      </c>
      <c r="C12" s="64" t="s">
        <v>284</v>
      </c>
      <c r="D12" s="199" t="s">
        <v>285</v>
      </c>
      <c r="E12" s="270" t="s">
        <v>118</v>
      </c>
      <c r="F12" s="172">
        <v>1145</v>
      </c>
      <c r="G12" s="119" t="s">
        <v>121</v>
      </c>
      <c r="H12" s="123"/>
      <c r="I12" s="125">
        <v>130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142</v>
      </c>
      <c r="O12" s="311"/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4951</v>
      </c>
      <c r="C13" s="64" t="s">
        <v>286</v>
      </c>
      <c r="D13" s="199" t="s">
        <v>287</v>
      </c>
      <c r="E13" s="270" t="s">
        <v>115</v>
      </c>
      <c r="F13" s="172">
        <v>1215</v>
      </c>
      <c r="G13" s="119" t="s">
        <v>112</v>
      </c>
      <c r="H13" s="168">
        <v>75</v>
      </c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142</v>
      </c>
      <c r="O13" s="311" t="s">
        <v>268</v>
      </c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4952</v>
      </c>
      <c r="C14" s="65" t="s">
        <v>288</v>
      </c>
      <c r="D14" s="200" t="s">
        <v>289</v>
      </c>
      <c r="E14" s="270" t="s">
        <v>118</v>
      </c>
      <c r="F14" s="173">
        <v>1315</v>
      </c>
      <c r="G14" s="122" t="s">
        <v>121</v>
      </c>
      <c r="H14" s="123"/>
      <c r="I14" s="284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142</v>
      </c>
      <c r="O14" s="311"/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4953</v>
      </c>
      <c r="C15" s="65" t="s">
        <v>290</v>
      </c>
      <c r="D15" s="200" t="s">
        <v>291</v>
      </c>
      <c r="E15" s="270" t="s">
        <v>118</v>
      </c>
      <c r="F15" s="173">
        <v>1300</v>
      </c>
      <c r="G15" s="122" t="s">
        <v>121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142</v>
      </c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4954</v>
      </c>
      <c r="C16" s="65" t="s">
        <v>295</v>
      </c>
      <c r="D16" s="200" t="s">
        <v>296</v>
      </c>
      <c r="E16" s="270" t="s">
        <v>118</v>
      </c>
      <c r="F16" s="173">
        <v>1500</v>
      </c>
      <c r="G16" s="122" t="s">
        <v>135</v>
      </c>
      <c r="H16" s="123"/>
      <c r="I16" s="124">
        <v>250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142</v>
      </c>
      <c r="O16" s="311" t="s">
        <v>297</v>
      </c>
      <c r="P16" s="312"/>
      <c r="Q16" s="313"/>
      <c r="R16" s="82">
        <f>H32/U16</f>
        <v>0.34090909090909088</v>
      </c>
      <c r="S16" s="83">
        <f>H32/(U16-U5)</f>
        <v>0.42857142857142855</v>
      </c>
      <c r="T16" s="83">
        <f>C32/U16</f>
        <v>38.522727272727273</v>
      </c>
      <c r="U16" s="83">
        <f>SUM(U5:U15)</f>
        <v>44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4955</v>
      </c>
      <c r="C17" s="18" t="s">
        <v>298</v>
      </c>
      <c r="D17" s="198" t="s">
        <v>299</v>
      </c>
      <c r="E17" s="270" t="s">
        <v>115</v>
      </c>
      <c r="F17" s="66">
        <v>1500</v>
      </c>
      <c r="G17" s="121" t="s">
        <v>121</v>
      </c>
      <c r="H17" s="123"/>
      <c r="I17" s="124">
        <v>140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142</v>
      </c>
      <c r="O17" s="311"/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4956</v>
      </c>
      <c r="C18" s="18" t="s">
        <v>292</v>
      </c>
      <c r="D18" s="198" t="s">
        <v>293</v>
      </c>
      <c r="E18" s="270" t="s">
        <v>115</v>
      </c>
      <c r="F18" s="66">
        <v>1500</v>
      </c>
      <c r="G18" s="20" t="s">
        <v>44</v>
      </c>
      <c r="H18" s="123"/>
      <c r="I18" s="124"/>
      <c r="J18" s="130">
        <v>100</v>
      </c>
      <c r="K18" s="130" t="str">
        <f t="shared" si="2"/>
        <v>0</v>
      </c>
      <c r="L18" s="131"/>
      <c r="M18" s="131"/>
      <c r="N18" s="134" t="s">
        <v>142</v>
      </c>
      <c r="O18" s="311" t="s">
        <v>294</v>
      </c>
      <c r="P18" s="312"/>
      <c r="Q18" s="31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4957</v>
      </c>
      <c r="C19" s="18" t="s">
        <v>98</v>
      </c>
      <c r="D19" s="198" t="s">
        <v>99</v>
      </c>
      <c r="E19" s="270" t="s">
        <v>115</v>
      </c>
      <c r="F19" s="66">
        <v>1545</v>
      </c>
      <c r="G19" s="121" t="s">
        <v>109</v>
      </c>
      <c r="H19" s="123">
        <v>55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142</v>
      </c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70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70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70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2"/>
      <c r="Q22" s="31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70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70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70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1">
        <f>((C32+(R26+S26+T26)*0.5))</f>
        <v>1720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70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50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70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71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72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205</v>
      </c>
      <c r="I30" s="105">
        <f>SUM(I5:I29)</f>
        <v>1300</v>
      </c>
      <c r="J30" s="105">
        <f>J5+J6+J7+J8+J9+J10+J11+J12+J13+J14+J15+J16+J18+J19+J17+J20+J22+J23+J21+J24+J25+J26+J27+J28+J29</f>
        <v>190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205</v>
      </c>
      <c r="I31" s="103">
        <f t="shared" si="4"/>
        <v>1300</v>
      </c>
      <c r="J31" s="103">
        <f t="shared" si="4"/>
        <v>190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3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205</v>
      </c>
      <c r="T31" s="335">
        <f>H31+I31+L31+M31</f>
        <v>1505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1695</v>
      </c>
      <c r="D32" s="192"/>
      <c r="E32" s="268"/>
      <c r="F32" s="328" t="s">
        <v>53</v>
      </c>
      <c r="G32" s="328"/>
      <c r="H32" s="109">
        <f>COUNT(B5:B29,B37:B61,B69:B93)</f>
        <v>15</v>
      </c>
      <c r="I32" s="329" t="s">
        <v>54</v>
      </c>
      <c r="J32" s="329"/>
      <c r="K32" s="108">
        <f>C32/H32</f>
        <v>113</v>
      </c>
      <c r="L32" s="252"/>
      <c r="M32" s="252"/>
      <c r="N32" s="252">
        <f>H31/C32</f>
        <v>0.12094395280235988</v>
      </c>
      <c r="O32" s="252">
        <f>I31/C32</f>
        <v>0.76696165191740417</v>
      </c>
      <c r="P32" s="252">
        <f>K31/C32</f>
        <v>0</v>
      </c>
      <c r="Q32" s="110">
        <f>J31/C32</f>
        <v>0.11209439528023599</v>
      </c>
      <c r="R32" s="99" t="s">
        <v>82</v>
      </c>
      <c r="S32" s="247">
        <f>I31+M31</f>
        <v>1300</v>
      </c>
      <c r="T32" s="337"/>
      <c r="U32" s="338"/>
      <c r="V32" s="55"/>
      <c r="W32" s="55"/>
      <c r="X32" s="56" t="s">
        <v>27</v>
      </c>
      <c r="Y32" s="56"/>
      <c r="Z32" s="54">
        <f>I31</f>
        <v>1300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-1445</v>
      </c>
      <c r="AE33" s="37"/>
      <c r="AF33" s="37"/>
      <c r="AG33" s="59"/>
      <c r="AH33" s="37"/>
    </row>
    <row r="34" spans="1:34" ht="18" thickBot="1">
      <c r="A34" s="294" t="str">
        <f>A2</f>
        <v>15-01-2022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CLOUDY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6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67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69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70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70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70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70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70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70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70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70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70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70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70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70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70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70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70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70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70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70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70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70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70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70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70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70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15-01-2022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CLOUDY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6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67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69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70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70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70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70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70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70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70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70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70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70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70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70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70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70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70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70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70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70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70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70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70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70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70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73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5" type="noConversion"/>
  <dataValidations count="2">
    <dataValidation type="list" allowBlank="1" showInputMessage="1" showErrorMessage="1" sqref="X7" xr:uid="{9FB6D0A9-17A8-49F9-A555-872331B6777B}">
      <formula1>$W$5:$W$7</formula1>
    </dataValidation>
    <dataValidation type="list" allowBlank="1" showInputMessage="1" showErrorMessage="1" sqref="W5:W8 E5:E29 E37:E61 E69:E93" xr:uid="{6AEF1EA5-BBDC-40AD-BD7C-6EBADB1310C1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N14" sqref="N14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spans="1:44" ht="18" thickBot="1">
      <c r="A2" s="294" t="s">
        <v>106</v>
      </c>
      <c r="B2" s="295"/>
      <c r="C2" s="295"/>
      <c r="D2" s="295"/>
      <c r="E2" s="295"/>
      <c r="F2" s="295"/>
      <c r="G2" s="296"/>
      <c r="H2" s="297" t="s">
        <v>49</v>
      </c>
      <c r="I2" s="298"/>
      <c r="J2" s="294" t="s">
        <v>147</v>
      </c>
      <c r="K2" s="296"/>
      <c r="L2" s="298" t="s">
        <v>93</v>
      </c>
      <c r="M2" s="299"/>
      <c r="N2" s="297"/>
      <c r="O2" s="295" t="s">
        <v>142</v>
      </c>
      <c r="P2" s="295"/>
      <c r="Q2" s="296"/>
      <c r="R2" s="298" t="s">
        <v>51</v>
      </c>
      <c r="S2" s="297"/>
      <c r="T2" s="300">
        <v>7</v>
      </c>
      <c r="U2" s="30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9" t="s">
        <v>88</v>
      </c>
      <c r="E4" s="267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4" t="s">
        <v>8</v>
      </c>
      <c r="P4" s="304"/>
      <c r="Q4" s="30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4958</v>
      </c>
      <c r="C5" s="257" t="s">
        <v>300</v>
      </c>
      <c r="D5" s="258" t="s">
        <v>301</v>
      </c>
      <c r="E5" s="269" t="s">
        <v>118</v>
      </c>
      <c r="F5" s="169">
        <v>925</v>
      </c>
      <c r="G5" s="118" t="s">
        <v>109</v>
      </c>
      <c r="H5" s="91">
        <v>75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142</v>
      </c>
      <c r="O5" s="305"/>
      <c r="P5" s="306"/>
      <c r="Q5" s="307"/>
      <c r="R5" s="33" t="s">
        <v>142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4959</v>
      </c>
      <c r="C6" s="67" t="s">
        <v>302</v>
      </c>
      <c r="D6" s="195" t="s">
        <v>303</v>
      </c>
      <c r="E6" s="270" t="s">
        <v>95</v>
      </c>
      <c r="F6" s="170">
        <v>950</v>
      </c>
      <c r="G6" s="118" t="s">
        <v>121</v>
      </c>
      <c r="H6" s="91"/>
      <c r="I6" s="124">
        <v>120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142</v>
      </c>
      <c r="O6" s="308"/>
      <c r="P6" s="309"/>
      <c r="Q6" s="310"/>
      <c r="R6" s="132" t="s">
        <v>143</v>
      </c>
      <c r="S6" s="31">
        <v>0.35416666666666669</v>
      </c>
      <c r="T6" s="32">
        <v>0.69791666666666663</v>
      </c>
      <c r="U6" s="92">
        <f t="shared" si="0"/>
        <v>8.2499999999999982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4960</v>
      </c>
      <c r="C7" s="67" t="s">
        <v>304</v>
      </c>
      <c r="D7" s="195" t="s">
        <v>305</v>
      </c>
      <c r="E7" s="270" t="s">
        <v>115</v>
      </c>
      <c r="F7" s="170">
        <v>1025</v>
      </c>
      <c r="G7" s="118" t="s">
        <v>121</v>
      </c>
      <c r="H7" s="91"/>
      <c r="I7" s="124">
        <v>130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142</v>
      </c>
      <c r="O7" s="311" t="s">
        <v>268</v>
      </c>
      <c r="P7" s="312"/>
      <c r="Q7" s="313"/>
      <c r="R7" s="134" t="s">
        <v>170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4961</v>
      </c>
      <c r="C8" s="27" t="s">
        <v>306</v>
      </c>
      <c r="D8" s="195" t="s">
        <v>307</v>
      </c>
      <c r="E8" s="270" t="s">
        <v>96</v>
      </c>
      <c r="F8" s="170">
        <v>1040</v>
      </c>
      <c r="G8" s="118" t="s">
        <v>112</v>
      </c>
      <c r="H8" s="91"/>
      <c r="I8" s="124">
        <v>85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142</v>
      </c>
      <c r="O8" s="314"/>
      <c r="P8" s="315"/>
      <c r="Q8" s="316"/>
      <c r="R8" s="134" t="s">
        <v>144</v>
      </c>
      <c r="S8" s="31">
        <v>0.41666666666666669</v>
      </c>
      <c r="T8" s="32">
        <v>0.69791666666666663</v>
      </c>
      <c r="U8" s="92">
        <f t="shared" si="0"/>
        <v>6.7499999999999982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4962</v>
      </c>
      <c r="C9" s="63" t="s">
        <v>308</v>
      </c>
      <c r="D9" s="196" t="s">
        <v>309</v>
      </c>
      <c r="E9" s="270" t="s">
        <v>97</v>
      </c>
      <c r="F9" s="171">
        <v>1040</v>
      </c>
      <c r="G9" s="119" t="s">
        <v>112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142</v>
      </c>
      <c r="O9" s="314"/>
      <c r="P9" s="315"/>
      <c r="Q9" s="316"/>
      <c r="R9" s="26" t="s">
        <v>148</v>
      </c>
      <c r="S9" s="31">
        <v>0.41666666666666669</v>
      </c>
      <c r="T9" s="32">
        <v>0.69791666666666663</v>
      </c>
      <c r="U9" s="92">
        <f t="shared" si="0"/>
        <v>6.7499999999999982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285">
        <v>4963</v>
      </c>
      <c r="C10" s="286" t="s">
        <v>310</v>
      </c>
      <c r="D10" s="287" t="s">
        <v>311</v>
      </c>
      <c r="E10" s="289" t="s">
        <v>118</v>
      </c>
      <c r="F10" s="288">
        <v>1050</v>
      </c>
      <c r="G10" s="289" t="s">
        <v>112</v>
      </c>
      <c r="H10" s="290">
        <v>55</v>
      </c>
      <c r="I10" s="290"/>
      <c r="J10" s="291" t="str">
        <f t="shared" si="1"/>
        <v>0</v>
      </c>
      <c r="K10" s="291" t="str">
        <f t="shared" si="2"/>
        <v>0</v>
      </c>
      <c r="L10" s="292"/>
      <c r="M10" s="292"/>
      <c r="N10" s="293" t="s">
        <v>142</v>
      </c>
      <c r="O10" s="385" t="s">
        <v>312</v>
      </c>
      <c r="P10" s="386"/>
      <c r="Q10" s="387"/>
      <c r="R10" s="26" t="s">
        <v>146</v>
      </c>
      <c r="S10" s="31">
        <v>0.44444444444444442</v>
      </c>
      <c r="T10" s="32">
        <v>0.65625</v>
      </c>
      <c r="U10" s="92">
        <f t="shared" si="0"/>
        <v>5.0833333333333339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4964</v>
      </c>
      <c r="C11" s="18" t="s">
        <v>313</v>
      </c>
      <c r="D11" s="198" t="s">
        <v>314</v>
      </c>
      <c r="E11" s="270" t="s">
        <v>118</v>
      </c>
      <c r="F11" s="66">
        <v>1100</v>
      </c>
      <c r="G11" s="121" t="s">
        <v>315</v>
      </c>
      <c r="H11" s="123"/>
      <c r="I11" s="124">
        <v>100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142</v>
      </c>
      <c r="O11" s="311"/>
      <c r="P11" s="312"/>
      <c r="Q11" s="313"/>
      <c r="R11" s="26" t="s">
        <v>340</v>
      </c>
      <c r="S11" s="31">
        <v>0.41666666666666669</v>
      </c>
      <c r="T11" s="32">
        <v>0.69791666666666663</v>
      </c>
      <c r="U11" s="92">
        <f t="shared" si="0"/>
        <v>6.7499999999999982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4965</v>
      </c>
      <c r="C12" s="64" t="s">
        <v>316</v>
      </c>
      <c r="D12" s="199" t="s">
        <v>317</v>
      </c>
      <c r="E12" s="270" t="s">
        <v>141</v>
      </c>
      <c r="F12" s="172">
        <v>1100</v>
      </c>
      <c r="G12" s="119" t="s">
        <v>112</v>
      </c>
      <c r="H12" s="123"/>
      <c r="I12" s="125">
        <v>85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142</v>
      </c>
      <c r="O12" s="311"/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4966</v>
      </c>
      <c r="C13" s="64" t="s">
        <v>318</v>
      </c>
      <c r="D13" s="199" t="s">
        <v>319</v>
      </c>
      <c r="E13" s="270" t="s">
        <v>115</v>
      </c>
      <c r="F13" s="172">
        <v>1110</v>
      </c>
      <c r="G13" s="119" t="s">
        <v>44</v>
      </c>
      <c r="H13" s="168">
        <v>10</v>
      </c>
      <c r="I13" s="167"/>
      <c r="J13" s="130">
        <v>45</v>
      </c>
      <c r="K13" s="130" t="str">
        <f t="shared" si="2"/>
        <v>0</v>
      </c>
      <c r="L13" s="131"/>
      <c r="M13" s="131"/>
      <c r="N13" s="134" t="s">
        <v>142</v>
      </c>
      <c r="O13" s="311" t="s">
        <v>320</v>
      </c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4967</v>
      </c>
      <c r="C14" s="65" t="s">
        <v>321</v>
      </c>
      <c r="D14" s="200" t="s">
        <v>322</v>
      </c>
      <c r="E14" s="270" t="s">
        <v>115</v>
      </c>
      <c r="F14" s="173">
        <v>1150</v>
      </c>
      <c r="G14" s="122" t="s">
        <v>121</v>
      </c>
      <c r="H14" s="123"/>
      <c r="I14" s="125">
        <v>140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142</v>
      </c>
      <c r="O14" s="311"/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4968</v>
      </c>
      <c r="C15" s="65" t="s">
        <v>323</v>
      </c>
      <c r="D15" s="200" t="s">
        <v>324</v>
      </c>
      <c r="E15" s="270" t="s">
        <v>115</v>
      </c>
      <c r="F15" s="173">
        <v>1210</v>
      </c>
      <c r="G15" s="122" t="s">
        <v>121</v>
      </c>
      <c r="H15" s="123"/>
      <c r="I15" s="124">
        <v>120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142</v>
      </c>
      <c r="O15" s="311"/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4969</v>
      </c>
      <c r="C16" s="65" t="s">
        <v>325</v>
      </c>
      <c r="D16" s="200" t="s">
        <v>326</v>
      </c>
      <c r="E16" s="270" t="s">
        <v>118</v>
      </c>
      <c r="F16" s="173">
        <v>1240</v>
      </c>
      <c r="G16" s="122" t="s">
        <v>135</v>
      </c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142</v>
      </c>
      <c r="O16" s="311" t="s">
        <v>327</v>
      </c>
      <c r="P16" s="312"/>
      <c r="Q16" s="313"/>
      <c r="R16" s="82">
        <f>H32/U16</f>
        <v>0.39151712887438822</v>
      </c>
      <c r="S16" s="83">
        <f>H32/(U16-U5)</f>
        <v>0.47244094488188976</v>
      </c>
      <c r="T16" s="83">
        <f>C32/U16</f>
        <v>38.760195758564436</v>
      </c>
      <c r="U16" s="83">
        <f>SUM(U5:U15)</f>
        <v>51.083333333333336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4970</v>
      </c>
      <c r="C17" s="18" t="s">
        <v>328</v>
      </c>
      <c r="D17" s="198" t="s">
        <v>329</v>
      </c>
      <c r="E17" s="270" t="s">
        <v>118</v>
      </c>
      <c r="F17" s="66">
        <v>1253</v>
      </c>
      <c r="G17" s="121" t="s">
        <v>112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142</v>
      </c>
      <c r="O17" s="311"/>
      <c r="P17" s="312"/>
      <c r="Q17" s="31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4971</v>
      </c>
      <c r="C18" s="18" t="s">
        <v>330</v>
      </c>
      <c r="D18" s="198" t="s">
        <v>331</v>
      </c>
      <c r="E18" s="270" t="s">
        <v>115</v>
      </c>
      <c r="F18" s="66">
        <v>1305</v>
      </c>
      <c r="G18" s="20" t="s">
        <v>121</v>
      </c>
      <c r="H18" s="123"/>
      <c r="I18" s="124">
        <v>120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142</v>
      </c>
      <c r="O18" s="311"/>
      <c r="P18" s="312"/>
      <c r="Q18" s="31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4972</v>
      </c>
      <c r="C19" s="18" t="s">
        <v>332</v>
      </c>
      <c r="D19" s="198" t="s">
        <v>333</v>
      </c>
      <c r="E19" s="270" t="s">
        <v>115</v>
      </c>
      <c r="F19" s="66">
        <v>1340</v>
      </c>
      <c r="G19" s="121" t="s">
        <v>112</v>
      </c>
      <c r="H19" s="123"/>
      <c r="I19" s="124">
        <v>85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142</v>
      </c>
      <c r="O19" s="311"/>
      <c r="P19" s="312"/>
      <c r="Q19" s="31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4973</v>
      </c>
      <c r="C20" s="18" t="s">
        <v>334</v>
      </c>
      <c r="D20" s="198" t="s">
        <v>335</v>
      </c>
      <c r="E20" s="270" t="s">
        <v>115</v>
      </c>
      <c r="F20" s="66">
        <v>1345</v>
      </c>
      <c r="G20" s="121" t="s">
        <v>121</v>
      </c>
      <c r="H20" s="123"/>
      <c r="I20" s="124">
        <v>120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142</v>
      </c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4974</v>
      </c>
      <c r="C21" s="18" t="s">
        <v>336</v>
      </c>
      <c r="D21" s="198" t="s">
        <v>337</v>
      </c>
      <c r="E21" s="270" t="s">
        <v>115</v>
      </c>
      <c r="F21" s="66">
        <v>1400</v>
      </c>
      <c r="G21" s="20" t="s">
        <v>112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142</v>
      </c>
      <c r="O21" s="311"/>
      <c r="P21" s="312"/>
      <c r="Q21" s="31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4975</v>
      </c>
      <c r="C22" s="127" t="s">
        <v>338</v>
      </c>
      <c r="D22" s="201" t="s">
        <v>339</v>
      </c>
      <c r="E22" s="270" t="s">
        <v>115</v>
      </c>
      <c r="F22" s="174">
        <v>1410</v>
      </c>
      <c r="G22" s="248" t="s">
        <v>112</v>
      </c>
      <c r="H22" s="89">
        <v>75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142</v>
      </c>
      <c r="O22" s="311"/>
      <c r="P22" s="312"/>
      <c r="Q22" s="313"/>
      <c r="R22" s="113"/>
      <c r="S22" s="114"/>
      <c r="T22" s="114"/>
      <c r="U22" s="115"/>
      <c r="Y22" s="28" t="s">
        <v>98</v>
      </c>
      <c r="Z22" s="197" t="s">
        <v>99</v>
      </c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4976</v>
      </c>
      <c r="C23" s="136" t="s">
        <v>341</v>
      </c>
      <c r="D23" s="202" t="s">
        <v>342</v>
      </c>
      <c r="E23" s="270" t="s">
        <v>115</v>
      </c>
      <c r="F23" s="175">
        <v>1430</v>
      </c>
      <c r="G23" s="165" t="s">
        <v>121</v>
      </c>
      <c r="H23" s="89"/>
      <c r="I23" s="141">
        <v>170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142</v>
      </c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4977</v>
      </c>
      <c r="C24" s="127" t="s">
        <v>343</v>
      </c>
      <c r="D24" s="201" t="s">
        <v>344</v>
      </c>
      <c r="E24" s="270" t="s">
        <v>118</v>
      </c>
      <c r="F24" s="174">
        <v>1445</v>
      </c>
      <c r="G24" s="248" t="s">
        <v>121</v>
      </c>
      <c r="H24" s="89"/>
      <c r="I24" s="141">
        <v>180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142</v>
      </c>
      <c r="O24" s="311"/>
      <c r="P24" s="312"/>
      <c r="Q24" s="31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70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2"/>
      <c r="Q25" s="31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1">
        <f>((C32+(R26+S26+T26)*0.5))</f>
        <v>2005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70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2"/>
      <c r="Q26" s="313"/>
      <c r="R26" s="112">
        <f>R25*37.5</f>
        <v>0</v>
      </c>
      <c r="S26" s="102">
        <f>S25*41.5</f>
        <v>0</v>
      </c>
      <c r="T26" s="102">
        <f>T25*50</f>
        <v>50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70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2"/>
      <c r="Q27" s="313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71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2"/>
      <c r="Q28" s="313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72"/>
      <c r="F29" s="176"/>
      <c r="G29" s="20"/>
      <c r="H29" s="89"/>
      <c r="I29" s="89"/>
      <c r="J29" s="265" t="str">
        <f t="shared" si="1"/>
        <v>0</v>
      </c>
      <c r="K29" s="265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215</v>
      </c>
      <c r="I30" s="105">
        <f>SUM(I5:I29)</f>
        <v>1720</v>
      </c>
      <c r="J30" s="105">
        <f>J5+J6+J7+J8+J9+J10+J11+J12+J13+J14+J15+J16+J18+J19+J17+J20+J22+J23+J21+J24+J25+J26+J27+J28+J29</f>
        <v>45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215</v>
      </c>
      <c r="I31" s="103">
        <f t="shared" si="4"/>
        <v>1720</v>
      </c>
      <c r="J31" s="103">
        <f t="shared" si="4"/>
        <v>45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4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215</v>
      </c>
      <c r="T31" s="335">
        <f>H31+I31+L31+M31</f>
        <v>1935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6" t="s">
        <v>55</v>
      </c>
      <c r="B32" s="327"/>
      <c r="C32" s="107">
        <f>H31+I31+J31+K31</f>
        <v>1980</v>
      </c>
      <c r="D32" s="192"/>
      <c r="E32" s="268"/>
      <c r="F32" s="328" t="s">
        <v>53</v>
      </c>
      <c r="G32" s="328"/>
      <c r="H32" s="109">
        <f>COUNT(B5:B29,B37:B61,B69:B93)</f>
        <v>20</v>
      </c>
      <c r="I32" s="329" t="s">
        <v>54</v>
      </c>
      <c r="J32" s="329"/>
      <c r="K32" s="108">
        <f>C32/H32</f>
        <v>99</v>
      </c>
      <c r="L32" s="252"/>
      <c r="M32" s="252"/>
      <c r="N32" s="252">
        <f>H31/C32</f>
        <v>0.10858585858585859</v>
      </c>
      <c r="O32" s="252">
        <f>I31/C32</f>
        <v>0.86868686868686873</v>
      </c>
      <c r="P32" s="252">
        <f>K31/C32</f>
        <v>0</v>
      </c>
      <c r="Q32" s="110">
        <f>J31/C32</f>
        <v>2.2727272727272728E-2</v>
      </c>
      <c r="R32" s="99" t="s">
        <v>82</v>
      </c>
      <c r="S32" s="247">
        <f>I31+M31</f>
        <v>1720</v>
      </c>
      <c r="T32" s="337"/>
      <c r="U32" s="338"/>
      <c r="V32" s="55"/>
      <c r="W32" s="55"/>
      <c r="X32" s="56" t="s">
        <v>27</v>
      </c>
      <c r="Y32" s="56"/>
      <c r="Z32" s="54">
        <f>I31</f>
        <v>1720</v>
      </c>
      <c r="AE32" s="37"/>
      <c r="AF32" s="37"/>
      <c r="AG32" s="37"/>
      <c r="AH32" s="37"/>
    </row>
    <row r="33" spans="1:34" ht="18" thickBot="1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5"/>
      <c r="U33" s="296"/>
      <c r="X33" s="57" t="s">
        <v>29</v>
      </c>
      <c r="Y33" s="57"/>
      <c r="Z33" s="58">
        <f>SUM(Z31:Z32)</f>
        <v>-1025</v>
      </c>
      <c r="AE33" s="37"/>
      <c r="AF33" s="37"/>
      <c r="AG33" s="59"/>
      <c r="AH33" s="37"/>
    </row>
    <row r="34" spans="1:34" ht="18" thickBot="1">
      <c r="A34" s="294" t="str">
        <f>A2</f>
        <v>16-01-2022</v>
      </c>
      <c r="B34" s="295"/>
      <c r="C34" s="295"/>
      <c r="D34" s="295"/>
      <c r="E34" s="295"/>
      <c r="F34" s="295"/>
      <c r="G34" s="296"/>
      <c r="H34" s="297" t="s">
        <v>49</v>
      </c>
      <c r="I34" s="298"/>
      <c r="J34" s="294" t="str">
        <f>J2</f>
        <v>CLOUDY</v>
      </c>
      <c r="K34" s="296"/>
      <c r="L34" s="298" t="s">
        <v>50</v>
      </c>
      <c r="M34" s="299"/>
      <c r="N34" s="297"/>
      <c r="O34" s="295" t="str">
        <f>O2</f>
        <v>JOHN</v>
      </c>
      <c r="P34" s="295"/>
      <c r="Q34" s="296"/>
      <c r="R34" s="298" t="s">
        <v>51</v>
      </c>
      <c r="S34" s="297"/>
      <c r="T34" s="300">
        <f>T2</f>
        <v>7</v>
      </c>
      <c r="U34" s="300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60" t="s">
        <v>0</v>
      </c>
      <c r="B36" s="154" t="s">
        <v>21</v>
      </c>
      <c r="C36" s="249" t="s">
        <v>7</v>
      </c>
      <c r="D36" s="259" t="s">
        <v>88</v>
      </c>
      <c r="E36" s="267" t="s">
        <v>94</v>
      </c>
      <c r="F36" s="249" t="s">
        <v>25</v>
      </c>
      <c r="G36" s="263" t="s">
        <v>1</v>
      </c>
      <c r="H36" s="261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4" t="s">
        <v>8</v>
      </c>
      <c r="P36" s="304"/>
      <c r="Q36" s="30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7"/>
      <c r="D37" s="262"/>
      <c r="E37" s="269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2"/>
      <c r="Q37" s="313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70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8"/>
      <c r="P38" s="309"/>
      <c r="Q38" s="31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70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2"/>
      <c r="Q39" s="313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70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70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70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1"/>
      <c r="P42" s="302"/>
      <c r="Q42" s="303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70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2"/>
      <c r="Q43" s="313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70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2"/>
      <c r="Q44" s="31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70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2"/>
      <c r="Q45" s="313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70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2"/>
      <c r="Q46" s="31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70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2"/>
      <c r="Q47" s="313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70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2"/>
      <c r="Q48" s="313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70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2"/>
      <c r="Q49" s="313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70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2"/>
      <c r="Q50" s="313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70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2"/>
      <c r="Q51" s="312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70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2"/>
      <c r="Q52" s="312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70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11"/>
      <c r="Q53" s="311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70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11"/>
      <c r="Q54" s="311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70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11"/>
      <c r="Q55" s="311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70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2"/>
      <c r="P56" s="312"/>
      <c r="Q56" s="312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70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2"/>
      <c r="Q57" s="312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70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2"/>
      <c r="P58" s="312"/>
      <c r="Q58" s="312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70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2"/>
      <c r="P59" s="312"/>
      <c r="Q59" s="312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70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2"/>
      <c r="Q60" s="313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70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>
      <c r="A65" s="294" t="s">
        <v>24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6"/>
    </row>
    <row r="66" spans="1:21" ht="18" thickBot="1">
      <c r="A66" s="294" t="str">
        <f>A34</f>
        <v>16-01-2022</v>
      </c>
      <c r="B66" s="295"/>
      <c r="C66" s="295"/>
      <c r="D66" s="295"/>
      <c r="E66" s="295"/>
      <c r="F66" s="295"/>
      <c r="G66" s="296"/>
      <c r="H66" s="297" t="s">
        <v>49</v>
      </c>
      <c r="I66" s="298"/>
      <c r="J66" s="294" t="str">
        <f>J34</f>
        <v>CLOUDY</v>
      </c>
      <c r="K66" s="296"/>
      <c r="L66" s="298" t="s">
        <v>50</v>
      </c>
      <c r="M66" s="299"/>
      <c r="N66" s="297"/>
      <c r="O66" s="295" t="str">
        <f>O34</f>
        <v>JOHN</v>
      </c>
      <c r="P66" s="295"/>
      <c r="Q66" s="296"/>
      <c r="R66" s="298" t="s">
        <v>51</v>
      </c>
      <c r="S66" s="297"/>
      <c r="T66" s="300">
        <f>T34</f>
        <v>7</v>
      </c>
      <c r="U66" s="300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9" t="s">
        <v>88</v>
      </c>
      <c r="E68" s="267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4" t="s">
        <v>8</v>
      </c>
      <c r="P68" s="304"/>
      <c r="Q68" s="30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7"/>
      <c r="D69" s="264"/>
      <c r="E69" s="269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2"/>
      <c r="Q69" s="313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70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8"/>
      <c r="P70" s="309"/>
      <c r="Q70" s="310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70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2"/>
      <c r="Q71" s="313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70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70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70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1"/>
      <c r="P74" s="302"/>
      <c r="Q74" s="303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70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2"/>
      <c r="Q75" s="313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70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2"/>
      <c r="Q76" s="313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70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2"/>
      <c r="Q77" s="313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70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2"/>
      <c r="Q78" s="313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70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2"/>
      <c r="Q79" s="313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70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2"/>
      <c r="Q80" s="313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70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2"/>
      <c r="Q81" s="313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70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2"/>
      <c r="Q82" s="313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70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2"/>
      <c r="Q83" s="312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70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2"/>
      <c r="Q84" s="312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70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11"/>
      <c r="Q85" s="311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70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11"/>
      <c r="Q86" s="311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70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11"/>
      <c r="Q87" s="311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70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2"/>
      <c r="P88" s="312"/>
      <c r="Q88" s="312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70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2"/>
      <c r="Q89" s="312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70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2"/>
      <c r="P90" s="312"/>
      <c r="Q90" s="312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70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2"/>
      <c r="P91" s="312"/>
      <c r="Q91" s="312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70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2"/>
      <c r="Q92" s="313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73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5" type="noConversion"/>
  <dataValidations count="2">
    <dataValidation type="list" allowBlank="1" showInputMessage="1" showErrorMessage="1" sqref="X7" xr:uid="{FD5B6664-3DDE-4CAD-AC28-192AB3F4E41D}">
      <formula1>$W$5:$W$7</formula1>
    </dataValidation>
    <dataValidation type="list" allowBlank="1" showInputMessage="1" showErrorMessage="1" sqref="W5:W8 E5:E29 E37:E61 E69:E93" xr:uid="{A697709A-21A4-47C8-B625-72B51ECF845F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workbookViewId="0">
      <selection activeCell="E36" sqref="E36:G36"/>
    </sheetView>
  </sheetViews>
  <sheetFormatPr defaultColWidth="9" defaultRowHeight="17.399999999999999"/>
  <cols>
    <col min="1" max="477" width="2.59765625" style="35" customWidth="1"/>
    <col min="478" max="16384" width="9" style="35"/>
  </cols>
  <sheetData>
    <row r="1" spans="1:30" ht="32.25" customHeight="1">
      <c r="A1" s="537"/>
      <c r="B1" s="537"/>
      <c r="C1" s="537"/>
      <c r="D1" s="537"/>
      <c r="E1" s="535" t="s">
        <v>59</v>
      </c>
      <c r="F1" s="535"/>
      <c r="G1" s="535"/>
      <c r="H1" s="535" t="s">
        <v>60</v>
      </c>
      <c r="I1" s="535"/>
      <c r="J1" s="535"/>
      <c r="K1" s="535"/>
      <c r="L1" s="535" t="s">
        <v>61</v>
      </c>
      <c r="M1" s="535"/>
      <c r="N1" s="535"/>
      <c r="O1" s="535"/>
      <c r="P1" s="535"/>
      <c r="Q1" s="535" t="s">
        <v>62</v>
      </c>
      <c r="R1" s="535"/>
      <c r="S1" s="535"/>
      <c r="T1" s="535"/>
      <c r="U1" s="535"/>
      <c r="V1" s="535" t="s">
        <v>63</v>
      </c>
      <c r="W1" s="535"/>
      <c r="X1" s="535"/>
      <c r="Y1" s="535"/>
      <c r="Z1" s="535"/>
      <c r="AA1" s="535" t="s">
        <v>64</v>
      </c>
      <c r="AB1" s="535"/>
      <c r="AC1" s="535"/>
      <c r="AD1" s="535"/>
    </row>
    <row r="2" spans="1:30" ht="20.100000000000001" customHeight="1">
      <c r="A2" s="454" t="s">
        <v>66</v>
      </c>
      <c r="B2" s="477" t="s">
        <v>57</v>
      </c>
      <c r="C2" s="477"/>
      <c r="D2" s="536"/>
      <c r="E2" s="536">
        <f>MON!N31</f>
        <v>3</v>
      </c>
      <c r="F2" s="536"/>
      <c r="G2" s="536"/>
      <c r="H2" s="538">
        <f>MON!S31</f>
        <v>210</v>
      </c>
      <c r="I2" s="538"/>
      <c r="J2" s="538"/>
      <c r="K2" s="538"/>
      <c r="L2" s="539">
        <f>MON!N32</f>
        <v>0.1938521185267239</v>
      </c>
      <c r="M2" s="539"/>
      <c r="N2" s="539"/>
      <c r="O2" s="539"/>
      <c r="P2" s="539"/>
      <c r="Q2" s="607">
        <f>SUM(E2:G5)</f>
        <v>12</v>
      </c>
      <c r="R2" s="608"/>
      <c r="S2" s="608"/>
      <c r="T2" s="608"/>
      <c r="U2" s="609"/>
      <c r="V2" s="549">
        <f>SUM(H2,H3,H5)</f>
        <v>1025</v>
      </c>
      <c r="W2" s="550"/>
      <c r="X2" s="550"/>
      <c r="Y2" s="550"/>
      <c r="Z2" s="551"/>
      <c r="AA2" s="558">
        <f>V2/Q2</f>
        <v>85.416666666666671</v>
      </c>
      <c r="AB2" s="559"/>
      <c r="AC2" s="559"/>
      <c r="AD2" s="560"/>
    </row>
    <row r="3" spans="1:30" ht="20.100000000000001" customHeight="1">
      <c r="A3" s="455"/>
      <c r="B3" s="477" t="s">
        <v>58</v>
      </c>
      <c r="C3" s="477"/>
      <c r="D3" s="536"/>
      <c r="E3" s="536">
        <f>MON!O31</f>
        <v>7</v>
      </c>
      <c r="F3" s="536"/>
      <c r="G3" s="536"/>
      <c r="H3" s="538">
        <f>MON!S32</f>
        <v>815</v>
      </c>
      <c r="I3" s="538"/>
      <c r="J3" s="538"/>
      <c r="K3" s="538"/>
      <c r="L3" s="539">
        <f>MON!O32</f>
        <v>0.75233084094895231</v>
      </c>
      <c r="M3" s="539"/>
      <c r="N3" s="539"/>
      <c r="O3" s="539"/>
      <c r="P3" s="539"/>
      <c r="Q3" s="610"/>
      <c r="R3" s="611"/>
      <c r="S3" s="611"/>
      <c r="T3" s="611"/>
      <c r="U3" s="612"/>
      <c r="V3" s="552"/>
      <c r="W3" s="553"/>
      <c r="X3" s="553"/>
      <c r="Y3" s="553"/>
      <c r="Z3" s="554"/>
      <c r="AA3" s="561"/>
      <c r="AB3" s="562"/>
      <c r="AC3" s="562"/>
      <c r="AD3" s="563"/>
    </row>
    <row r="4" spans="1:30" ht="20.100000000000001" customHeight="1">
      <c r="A4" s="455"/>
      <c r="B4" s="477" t="s">
        <v>45</v>
      </c>
      <c r="C4" s="477"/>
      <c r="D4" s="536"/>
      <c r="E4" s="536">
        <f>MON!P31</f>
        <v>2</v>
      </c>
      <c r="F4" s="536"/>
      <c r="G4" s="536"/>
      <c r="H4" s="538">
        <f>MON!K31</f>
        <v>58.3</v>
      </c>
      <c r="I4" s="538"/>
      <c r="J4" s="538"/>
      <c r="K4" s="538"/>
      <c r="L4" s="539">
        <f>MON!P32</f>
        <v>5.3817040524323824E-2</v>
      </c>
      <c r="M4" s="539"/>
      <c r="N4" s="539"/>
      <c r="O4" s="539"/>
      <c r="P4" s="539"/>
      <c r="Q4" s="610"/>
      <c r="R4" s="611"/>
      <c r="S4" s="611"/>
      <c r="T4" s="611"/>
      <c r="U4" s="612"/>
      <c r="V4" s="552"/>
      <c r="W4" s="553"/>
      <c r="X4" s="553"/>
      <c r="Y4" s="553"/>
      <c r="Z4" s="554"/>
      <c r="AA4" s="561"/>
      <c r="AB4" s="562"/>
      <c r="AC4" s="562"/>
      <c r="AD4" s="563"/>
    </row>
    <row r="5" spans="1:30" ht="20.100000000000001" customHeight="1">
      <c r="A5" s="455"/>
      <c r="B5" s="475" t="s">
        <v>65</v>
      </c>
      <c r="C5" s="476"/>
      <c r="D5" s="477"/>
      <c r="E5" s="475">
        <f>MON!Q31</f>
        <v>0</v>
      </c>
      <c r="F5" s="476"/>
      <c r="G5" s="477"/>
      <c r="H5" s="595">
        <f>MON!J31</f>
        <v>0</v>
      </c>
      <c r="I5" s="596"/>
      <c r="J5" s="596"/>
      <c r="K5" s="597"/>
      <c r="L5" s="598">
        <f>MON!Q32</f>
        <v>0</v>
      </c>
      <c r="M5" s="599"/>
      <c r="N5" s="599"/>
      <c r="O5" s="599"/>
      <c r="P5" s="600"/>
      <c r="Q5" s="613"/>
      <c r="R5" s="614"/>
      <c r="S5" s="614"/>
      <c r="T5" s="614"/>
      <c r="U5" s="615"/>
      <c r="V5" s="555"/>
      <c r="W5" s="556"/>
      <c r="X5" s="556"/>
      <c r="Y5" s="556"/>
      <c r="Z5" s="557"/>
      <c r="AA5" s="564"/>
      <c r="AB5" s="565"/>
      <c r="AC5" s="565"/>
      <c r="AD5" s="566"/>
    </row>
    <row r="6" spans="1:30" ht="20.100000000000001" customHeight="1">
      <c r="A6" s="456"/>
      <c r="B6" s="475" t="s">
        <v>91</v>
      </c>
      <c r="C6" s="476"/>
      <c r="D6" s="477"/>
      <c r="E6" s="475">
        <f>MON!U16</f>
        <v>30.75</v>
      </c>
      <c r="F6" s="476"/>
      <c r="G6" s="477"/>
      <c r="H6" s="595" t="s">
        <v>92</v>
      </c>
      <c r="I6" s="596"/>
      <c r="J6" s="596"/>
      <c r="K6" s="597"/>
      <c r="L6" s="655">
        <f>MON!T2</f>
        <v>4</v>
      </c>
      <c r="M6" s="656"/>
      <c r="N6" s="656"/>
      <c r="O6" s="656"/>
      <c r="P6" s="657"/>
      <c r="Q6" s="658"/>
      <c r="R6" s="659"/>
      <c r="S6" s="659"/>
      <c r="T6" s="659"/>
      <c r="U6" s="660"/>
      <c r="V6" s="425"/>
      <c r="W6" s="426"/>
      <c r="X6" s="426"/>
      <c r="Y6" s="426"/>
      <c r="Z6" s="427"/>
      <c r="AA6" s="428"/>
      <c r="AB6" s="429"/>
      <c r="AC6" s="429"/>
      <c r="AD6" s="430"/>
    </row>
    <row r="7" spans="1:30" ht="20.100000000000001" customHeight="1">
      <c r="A7" s="457" t="s">
        <v>67</v>
      </c>
      <c r="B7" s="433" t="s">
        <v>57</v>
      </c>
      <c r="C7" s="433"/>
      <c r="D7" s="449"/>
      <c r="E7" s="449">
        <f>TUE!N31</f>
        <v>3</v>
      </c>
      <c r="F7" s="449"/>
      <c r="G7" s="449"/>
      <c r="H7" s="450">
        <f>TUE!S31</f>
        <v>105</v>
      </c>
      <c r="I7" s="450"/>
      <c r="J7" s="450"/>
      <c r="K7" s="450"/>
      <c r="L7" s="451">
        <f>TUE!N32</f>
        <v>0.14254683681781155</v>
      </c>
      <c r="M7" s="452"/>
      <c r="N7" s="452"/>
      <c r="O7" s="452"/>
      <c r="P7" s="453"/>
      <c r="Q7" s="637">
        <f>SUM(E7:G10)</f>
        <v>12</v>
      </c>
      <c r="R7" s="638"/>
      <c r="S7" s="638"/>
      <c r="T7" s="638"/>
      <c r="U7" s="639"/>
      <c r="V7" s="540">
        <f>SUM(H7,H8,H10)</f>
        <v>620</v>
      </c>
      <c r="W7" s="541"/>
      <c r="X7" s="541"/>
      <c r="Y7" s="541"/>
      <c r="Z7" s="542"/>
      <c r="AA7" s="567">
        <f>V7/Q7</f>
        <v>51.666666666666664</v>
      </c>
      <c r="AB7" s="568"/>
      <c r="AC7" s="568"/>
      <c r="AD7" s="569"/>
    </row>
    <row r="8" spans="1:30" ht="20.100000000000001" customHeight="1">
      <c r="A8" s="458"/>
      <c r="B8" s="433" t="s">
        <v>58</v>
      </c>
      <c r="C8" s="433"/>
      <c r="D8" s="449"/>
      <c r="E8" s="449">
        <f>TUE!O31</f>
        <v>5</v>
      </c>
      <c r="F8" s="449"/>
      <c r="G8" s="449"/>
      <c r="H8" s="450">
        <f>TUE!S32</f>
        <v>465</v>
      </c>
      <c r="I8" s="450"/>
      <c r="J8" s="450"/>
      <c r="K8" s="450"/>
      <c r="L8" s="451">
        <f>TUE!O32</f>
        <v>0.63127884876459406</v>
      </c>
      <c r="M8" s="452"/>
      <c r="N8" s="452"/>
      <c r="O8" s="452"/>
      <c r="P8" s="453"/>
      <c r="Q8" s="640"/>
      <c r="R8" s="641"/>
      <c r="S8" s="641"/>
      <c r="T8" s="641"/>
      <c r="U8" s="642"/>
      <c r="V8" s="543"/>
      <c r="W8" s="544"/>
      <c r="X8" s="544"/>
      <c r="Y8" s="544"/>
      <c r="Z8" s="545"/>
      <c r="AA8" s="570"/>
      <c r="AB8" s="571"/>
      <c r="AC8" s="571"/>
      <c r="AD8" s="572"/>
    </row>
    <row r="9" spans="1:30" ht="20.100000000000001" customHeight="1">
      <c r="A9" s="458"/>
      <c r="B9" s="433" t="s">
        <v>45</v>
      </c>
      <c r="C9" s="433"/>
      <c r="D9" s="449"/>
      <c r="E9" s="449">
        <f>TUE!P31</f>
        <v>3</v>
      </c>
      <c r="F9" s="449"/>
      <c r="G9" s="449"/>
      <c r="H9" s="450">
        <f>TUE!K31</f>
        <v>116.6</v>
      </c>
      <c r="I9" s="450"/>
      <c r="J9" s="450"/>
      <c r="K9" s="450"/>
      <c r="L9" s="451">
        <f>TUE!P32</f>
        <v>0.15829486831387454</v>
      </c>
      <c r="M9" s="452"/>
      <c r="N9" s="452"/>
      <c r="O9" s="452"/>
      <c r="P9" s="453"/>
      <c r="Q9" s="640"/>
      <c r="R9" s="641"/>
      <c r="S9" s="641"/>
      <c r="T9" s="641"/>
      <c r="U9" s="642"/>
      <c r="V9" s="543"/>
      <c r="W9" s="544"/>
      <c r="X9" s="544"/>
      <c r="Y9" s="544"/>
      <c r="Z9" s="545"/>
      <c r="AA9" s="570"/>
      <c r="AB9" s="571"/>
      <c r="AC9" s="571"/>
      <c r="AD9" s="572"/>
    </row>
    <row r="10" spans="1:30" ht="20.100000000000001" customHeight="1">
      <c r="A10" s="458"/>
      <c r="B10" s="431" t="s">
        <v>65</v>
      </c>
      <c r="C10" s="432"/>
      <c r="D10" s="433"/>
      <c r="E10" s="431">
        <f>TUE!Q31</f>
        <v>1</v>
      </c>
      <c r="F10" s="432"/>
      <c r="G10" s="433"/>
      <c r="H10" s="434">
        <f>TUE!J31</f>
        <v>50</v>
      </c>
      <c r="I10" s="435"/>
      <c r="J10" s="435"/>
      <c r="K10" s="436"/>
      <c r="L10" s="451">
        <f>TUE!Q32</f>
        <v>6.7879446103719793E-2</v>
      </c>
      <c r="M10" s="452"/>
      <c r="N10" s="452"/>
      <c r="O10" s="452"/>
      <c r="P10" s="453"/>
      <c r="Q10" s="643"/>
      <c r="R10" s="644"/>
      <c r="S10" s="644"/>
      <c r="T10" s="644"/>
      <c r="U10" s="645"/>
      <c r="V10" s="546"/>
      <c r="W10" s="547"/>
      <c r="X10" s="547"/>
      <c r="Y10" s="547"/>
      <c r="Z10" s="548"/>
      <c r="AA10" s="573"/>
      <c r="AB10" s="574"/>
      <c r="AC10" s="574"/>
      <c r="AD10" s="575"/>
    </row>
    <row r="11" spans="1:30" ht="20.100000000000001" customHeight="1">
      <c r="A11" s="459"/>
      <c r="B11" s="431" t="s">
        <v>91</v>
      </c>
      <c r="C11" s="432"/>
      <c r="D11" s="433"/>
      <c r="E11" s="431">
        <f>TUE!U16</f>
        <v>31.750000000000004</v>
      </c>
      <c r="F11" s="432"/>
      <c r="G11" s="433"/>
      <c r="H11" s="434" t="s">
        <v>92</v>
      </c>
      <c r="I11" s="435"/>
      <c r="J11" s="435"/>
      <c r="K11" s="436"/>
      <c r="L11" s="437">
        <f>TUE!T2</f>
        <v>5</v>
      </c>
      <c r="M11" s="438"/>
      <c r="N11" s="438"/>
      <c r="O11" s="438"/>
      <c r="P11" s="439"/>
      <c r="Q11" s="440"/>
      <c r="R11" s="441"/>
      <c r="S11" s="441"/>
      <c r="T11" s="441"/>
      <c r="U11" s="442"/>
      <c r="V11" s="443"/>
      <c r="W11" s="444"/>
      <c r="X11" s="444"/>
      <c r="Y11" s="444"/>
      <c r="Z11" s="445"/>
      <c r="AA11" s="446"/>
      <c r="AB11" s="447"/>
      <c r="AC11" s="447"/>
      <c r="AD11" s="448"/>
    </row>
    <row r="12" spans="1:30" ht="20.100000000000001" customHeight="1">
      <c r="A12" s="460" t="s">
        <v>68</v>
      </c>
      <c r="B12" s="480" t="s">
        <v>57</v>
      </c>
      <c r="C12" s="480"/>
      <c r="D12" s="359"/>
      <c r="E12" s="359">
        <f>WED!N31</f>
        <v>3</v>
      </c>
      <c r="F12" s="359"/>
      <c r="G12" s="359"/>
      <c r="H12" s="601">
        <f>WED!S31</f>
        <v>340</v>
      </c>
      <c r="I12" s="602"/>
      <c r="J12" s="602"/>
      <c r="K12" s="603"/>
      <c r="L12" s="604">
        <f>WED!N32</f>
        <v>0.29588373509703247</v>
      </c>
      <c r="M12" s="605"/>
      <c r="N12" s="605"/>
      <c r="O12" s="605"/>
      <c r="P12" s="606"/>
      <c r="Q12" s="616">
        <f>SUM(E12:G15)</f>
        <v>12</v>
      </c>
      <c r="R12" s="617"/>
      <c r="S12" s="617"/>
      <c r="T12" s="617"/>
      <c r="U12" s="618"/>
      <c r="V12" s="397">
        <f>SUM(H12,H13,H15)</f>
        <v>1045</v>
      </c>
      <c r="W12" s="398"/>
      <c r="X12" s="398"/>
      <c r="Y12" s="398"/>
      <c r="Z12" s="399"/>
      <c r="AA12" s="388">
        <f>V12/Q12</f>
        <v>87.083333333333329</v>
      </c>
      <c r="AB12" s="389"/>
      <c r="AC12" s="389"/>
      <c r="AD12" s="390"/>
    </row>
    <row r="13" spans="1:30" ht="20.100000000000001" customHeight="1">
      <c r="A13" s="461"/>
      <c r="B13" s="480" t="s">
        <v>58</v>
      </c>
      <c r="C13" s="480"/>
      <c r="D13" s="359"/>
      <c r="E13" s="359">
        <f>WED!O31</f>
        <v>6</v>
      </c>
      <c r="F13" s="359"/>
      <c r="G13" s="359"/>
      <c r="H13" s="601">
        <f>WED!S32</f>
        <v>605</v>
      </c>
      <c r="I13" s="602"/>
      <c r="J13" s="602"/>
      <c r="K13" s="603"/>
      <c r="L13" s="604">
        <f>WED!O32</f>
        <v>0.52649899921677834</v>
      </c>
      <c r="M13" s="605"/>
      <c r="N13" s="605"/>
      <c r="O13" s="605"/>
      <c r="P13" s="606"/>
      <c r="Q13" s="619"/>
      <c r="R13" s="620"/>
      <c r="S13" s="620"/>
      <c r="T13" s="620"/>
      <c r="U13" s="621"/>
      <c r="V13" s="400"/>
      <c r="W13" s="401"/>
      <c r="X13" s="401"/>
      <c r="Y13" s="401"/>
      <c r="Z13" s="402"/>
      <c r="AA13" s="391"/>
      <c r="AB13" s="392"/>
      <c r="AC13" s="392"/>
      <c r="AD13" s="393"/>
    </row>
    <row r="14" spans="1:30" ht="20.100000000000001" customHeight="1">
      <c r="A14" s="461"/>
      <c r="B14" s="480" t="s">
        <v>45</v>
      </c>
      <c r="C14" s="480"/>
      <c r="D14" s="359"/>
      <c r="E14" s="359">
        <f>WED!P31</f>
        <v>2</v>
      </c>
      <c r="F14" s="359"/>
      <c r="G14" s="359"/>
      <c r="H14" s="601">
        <f>WED!K31</f>
        <v>104.1</v>
      </c>
      <c r="I14" s="602"/>
      <c r="J14" s="602"/>
      <c r="K14" s="603"/>
      <c r="L14" s="604">
        <f>WED!P32</f>
        <v>9.0592637716473759E-2</v>
      </c>
      <c r="M14" s="605"/>
      <c r="N14" s="605"/>
      <c r="O14" s="605"/>
      <c r="P14" s="606"/>
      <c r="Q14" s="619"/>
      <c r="R14" s="620"/>
      <c r="S14" s="620"/>
      <c r="T14" s="620"/>
      <c r="U14" s="621"/>
      <c r="V14" s="400"/>
      <c r="W14" s="401"/>
      <c r="X14" s="401"/>
      <c r="Y14" s="401"/>
      <c r="Z14" s="402"/>
      <c r="AA14" s="391"/>
      <c r="AB14" s="392"/>
      <c r="AC14" s="392"/>
      <c r="AD14" s="393"/>
    </row>
    <row r="15" spans="1:30" ht="20.100000000000001" customHeight="1">
      <c r="A15" s="461"/>
      <c r="B15" s="478" t="s">
        <v>65</v>
      </c>
      <c r="C15" s="479"/>
      <c r="D15" s="480"/>
      <c r="E15" s="478">
        <f>WED!Q31</f>
        <v>1</v>
      </c>
      <c r="F15" s="479"/>
      <c r="G15" s="480"/>
      <c r="H15" s="601">
        <f>WED!J31</f>
        <v>100</v>
      </c>
      <c r="I15" s="602"/>
      <c r="J15" s="602"/>
      <c r="K15" s="603"/>
      <c r="L15" s="604">
        <f>WED!Q32</f>
        <v>8.702462796971544E-2</v>
      </c>
      <c r="M15" s="605"/>
      <c r="N15" s="605"/>
      <c r="O15" s="605"/>
      <c r="P15" s="606"/>
      <c r="Q15" s="622"/>
      <c r="R15" s="623"/>
      <c r="S15" s="623"/>
      <c r="T15" s="623"/>
      <c r="U15" s="624"/>
      <c r="V15" s="403"/>
      <c r="W15" s="404"/>
      <c r="X15" s="404"/>
      <c r="Y15" s="404"/>
      <c r="Z15" s="405"/>
      <c r="AA15" s="394"/>
      <c r="AB15" s="395"/>
      <c r="AC15" s="395"/>
      <c r="AD15" s="396"/>
    </row>
    <row r="16" spans="1:30" ht="20.100000000000001" customHeight="1">
      <c r="A16" s="462"/>
      <c r="B16" s="478" t="s">
        <v>91</v>
      </c>
      <c r="C16" s="479"/>
      <c r="D16" s="480"/>
      <c r="E16" s="478">
        <f>WED!U16</f>
        <v>37.75</v>
      </c>
      <c r="F16" s="479"/>
      <c r="G16" s="480"/>
      <c r="H16" s="601" t="s">
        <v>92</v>
      </c>
      <c r="I16" s="602"/>
      <c r="J16" s="602"/>
      <c r="K16" s="603"/>
      <c r="L16" s="661">
        <f>WED!T2</f>
        <v>6</v>
      </c>
      <c r="M16" s="662"/>
      <c r="N16" s="662"/>
      <c r="O16" s="662"/>
      <c r="P16" s="663"/>
      <c r="Q16" s="221"/>
      <c r="R16" s="222"/>
      <c r="S16" s="222"/>
      <c r="T16" s="222"/>
      <c r="U16" s="223"/>
      <c r="V16" s="212"/>
      <c r="W16" s="213"/>
      <c r="X16" s="213"/>
      <c r="Y16" s="213"/>
      <c r="Z16" s="214"/>
      <c r="AA16" s="209"/>
      <c r="AB16" s="210"/>
      <c r="AC16" s="210"/>
      <c r="AD16" s="211"/>
    </row>
    <row r="17" spans="1:30" ht="20.100000000000001" customHeight="1">
      <c r="A17" s="463" t="s">
        <v>69</v>
      </c>
      <c r="B17" s="483" t="s">
        <v>57</v>
      </c>
      <c r="C17" s="483"/>
      <c r="D17" s="410"/>
      <c r="E17" s="410">
        <f>THU!N31</f>
        <v>0</v>
      </c>
      <c r="F17" s="410"/>
      <c r="G17" s="410"/>
      <c r="H17" s="409">
        <f>THU!S31</f>
        <v>0</v>
      </c>
      <c r="I17" s="409"/>
      <c r="J17" s="409"/>
      <c r="K17" s="409"/>
      <c r="L17" s="419">
        <f>THU!N32</f>
        <v>0</v>
      </c>
      <c r="M17" s="419"/>
      <c r="N17" s="419"/>
      <c r="O17" s="419"/>
      <c r="P17" s="419"/>
      <c r="Q17" s="646">
        <f>SUM(E17:G20)</f>
        <v>14</v>
      </c>
      <c r="R17" s="647"/>
      <c r="S17" s="647"/>
      <c r="T17" s="647"/>
      <c r="U17" s="648"/>
      <c r="V17" s="586">
        <f>SUM(H17,H18,H20)</f>
        <v>1045</v>
      </c>
      <c r="W17" s="587"/>
      <c r="X17" s="587"/>
      <c r="Y17" s="587"/>
      <c r="Z17" s="588"/>
      <c r="AA17" s="577">
        <f>V17/Q17</f>
        <v>74.642857142857139</v>
      </c>
      <c r="AB17" s="578"/>
      <c r="AC17" s="578"/>
      <c r="AD17" s="579"/>
    </row>
    <row r="18" spans="1:30" ht="20.100000000000001" customHeight="1">
      <c r="A18" s="464"/>
      <c r="B18" s="483" t="s">
        <v>58</v>
      </c>
      <c r="C18" s="483"/>
      <c r="D18" s="410"/>
      <c r="E18" s="410">
        <f>THU!O31</f>
        <v>11</v>
      </c>
      <c r="F18" s="410"/>
      <c r="G18" s="410"/>
      <c r="H18" s="409">
        <f>THU!S32</f>
        <v>1045</v>
      </c>
      <c r="I18" s="409"/>
      <c r="J18" s="409"/>
      <c r="K18" s="409"/>
      <c r="L18" s="419">
        <f>THU!O32</f>
        <v>0.90940736228352625</v>
      </c>
      <c r="M18" s="419"/>
      <c r="N18" s="419"/>
      <c r="O18" s="419"/>
      <c r="P18" s="419"/>
      <c r="Q18" s="649"/>
      <c r="R18" s="650"/>
      <c r="S18" s="650"/>
      <c r="T18" s="650"/>
      <c r="U18" s="651"/>
      <c r="V18" s="589"/>
      <c r="W18" s="590"/>
      <c r="X18" s="590"/>
      <c r="Y18" s="590"/>
      <c r="Z18" s="591"/>
      <c r="AA18" s="580"/>
      <c r="AB18" s="581"/>
      <c r="AC18" s="581"/>
      <c r="AD18" s="582"/>
    </row>
    <row r="19" spans="1:30" ht="20.100000000000001" customHeight="1">
      <c r="A19" s="464"/>
      <c r="B19" s="483" t="s">
        <v>45</v>
      </c>
      <c r="C19" s="483"/>
      <c r="D19" s="410"/>
      <c r="E19" s="410">
        <f>THU!P31</f>
        <v>3</v>
      </c>
      <c r="F19" s="410"/>
      <c r="G19" s="410"/>
      <c r="H19" s="409">
        <f>THU!K31</f>
        <v>104.1</v>
      </c>
      <c r="I19" s="409"/>
      <c r="J19" s="409"/>
      <c r="K19" s="409"/>
      <c r="L19" s="419">
        <f>THU!P32</f>
        <v>9.0592637716473759E-2</v>
      </c>
      <c r="M19" s="419"/>
      <c r="N19" s="419"/>
      <c r="O19" s="419"/>
      <c r="P19" s="419"/>
      <c r="Q19" s="649"/>
      <c r="R19" s="650"/>
      <c r="S19" s="650"/>
      <c r="T19" s="650"/>
      <c r="U19" s="651"/>
      <c r="V19" s="589"/>
      <c r="W19" s="590"/>
      <c r="X19" s="590"/>
      <c r="Y19" s="590"/>
      <c r="Z19" s="591"/>
      <c r="AA19" s="580"/>
      <c r="AB19" s="581"/>
      <c r="AC19" s="581"/>
      <c r="AD19" s="582"/>
    </row>
    <row r="20" spans="1:30" ht="20.100000000000001" customHeight="1">
      <c r="A20" s="464"/>
      <c r="B20" s="481" t="s">
        <v>65</v>
      </c>
      <c r="C20" s="482"/>
      <c r="D20" s="483"/>
      <c r="E20" s="481">
        <f>THU!Q31</f>
        <v>0</v>
      </c>
      <c r="F20" s="482"/>
      <c r="G20" s="483"/>
      <c r="H20" s="664">
        <f>THU!J31</f>
        <v>0</v>
      </c>
      <c r="I20" s="665"/>
      <c r="J20" s="665"/>
      <c r="K20" s="666"/>
      <c r="L20" s="676">
        <f>THU!Q32</f>
        <v>0</v>
      </c>
      <c r="M20" s="677"/>
      <c r="N20" s="677"/>
      <c r="O20" s="677"/>
      <c r="P20" s="678"/>
      <c r="Q20" s="652"/>
      <c r="R20" s="653"/>
      <c r="S20" s="653"/>
      <c r="T20" s="653"/>
      <c r="U20" s="654"/>
      <c r="V20" s="592"/>
      <c r="W20" s="593"/>
      <c r="X20" s="593"/>
      <c r="Y20" s="593"/>
      <c r="Z20" s="594"/>
      <c r="AA20" s="583"/>
      <c r="AB20" s="584"/>
      <c r="AC20" s="584"/>
      <c r="AD20" s="585"/>
    </row>
    <row r="21" spans="1:30" ht="20.100000000000001" customHeight="1">
      <c r="A21" s="465"/>
      <c r="B21" s="481" t="s">
        <v>91</v>
      </c>
      <c r="C21" s="482"/>
      <c r="D21" s="483"/>
      <c r="E21" s="481">
        <f>THU!U16</f>
        <v>32.750000000000007</v>
      </c>
      <c r="F21" s="482"/>
      <c r="G21" s="483"/>
      <c r="H21" s="664" t="s">
        <v>92</v>
      </c>
      <c r="I21" s="665"/>
      <c r="J21" s="665"/>
      <c r="K21" s="666"/>
      <c r="L21" s="683">
        <f>THU!T2</f>
        <v>5</v>
      </c>
      <c r="M21" s="684"/>
      <c r="N21" s="684"/>
      <c r="O21" s="684"/>
      <c r="P21" s="685"/>
      <c r="Q21" s="227"/>
      <c r="R21" s="228"/>
      <c r="S21" s="228"/>
      <c r="T21" s="228"/>
      <c r="U21" s="229"/>
      <c r="V21" s="218"/>
      <c r="W21" s="219"/>
      <c r="X21" s="219"/>
      <c r="Y21" s="219"/>
      <c r="Z21" s="220"/>
      <c r="AA21" s="215"/>
      <c r="AB21" s="216"/>
      <c r="AC21" s="216"/>
      <c r="AD21" s="217"/>
    </row>
    <row r="22" spans="1:30" ht="20.100000000000001" customHeight="1">
      <c r="A22" s="466" t="s">
        <v>90</v>
      </c>
      <c r="B22" s="486" t="s">
        <v>57</v>
      </c>
      <c r="C22" s="486"/>
      <c r="D22" s="491"/>
      <c r="E22" s="491">
        <f>FRI!N31</f>
        <v>2</v>
      </c>
      <c r="F22" s="491"/>
      <c r="G22" s="491"/>
      <c r="H22" s="414">
        <f>FRI!S31</f>
        <v>35</v>
      </c>
      <c r="I22" s="414"/>
      <c r="J22" s="414"/>
      <c r="K22" s="414"/>
      <c r="L22" s="415">
        <f>FRI!N32</f>
        <v>2.5089605734767026E-2</v>
      </c>
      <c r="M22" s="415"/>
      <c r="N22" s="415"/>
      <c r="O22" s="415"/>
      <c r="P22" s="415"/>
      <c r="Q22" s="722">
        <f>SUM(E22:G25)</f>
        <v>15</v>
      </c>
      <c r="R22" s="723"/>
      <c r="S22" s="723"/>
      <c r="T22" s="723"/>
      <c r="U22" s="724"/>
      <c r="V22" s="667">
        <f>SUM(H22,H23,H25)</f>
        <v>135</v>
      </c>
      <c r="W22" s="668"/>
      <c r="X22" s="668"/>
      <c r="Y22" s="668"/>
      <c r="Z22" s="669"/>
      <c r="AA22" s="689">
        <f>V22/Q22</f>
        <v>9</v>
      </c>
      <c r="AB22" s="690"/>
      <c r="AC22" s="690"/>
      <c r="AD22" s="691"/>
    </row>
    <row r="23" spans="1:30" ht="20.100000000000001" customHeight="1">
      <c r="A23" s="467"/>
      <c r="B23" s="486" t="s">
        <v>58</v>
      </c>
      <c r="C23" s="486"/>
      <c r="D23" s="491"/>
      <c r="E23" s="491">
        <f>FRI!O31</f>
        <v>11</v>
      </c>
      <c r="F23" s="491"/>
      <c r="G23" s="491"/>
      <c r="H23" s="414">
        <f>FRI!IS32</f>
        <v>0</v>
      </c>
      <c r="I23" s="414"/>
      <c r="J23" s="414"/>
      <c r="K23" s="414"/>
      <c r="L23" s="415">
        <f>FRI!O32</f>
        <v>0.90322580645161288</v>
      </c>
      <c r="M23" s="415"/>
      <c r="N23" s="415"/>
      <c r="O23" s="415"/>
      <c r="P23" s="415"/>
      <c r="Q23" s="725"/>
      <c r="R23" s="726"/>
      <c r="S23" s="726"/>
      <c r="T23" s="726"/>
      <c r="U23" s="727"/>
      <c r="V23" s="670"/>
      <c r="W23" s="671"/>
      <c r="X23" s="671"/>
      <c r="Y23" s="671"/>
      <c r="Z23" s="672"/>
      <c r="AA23" s="692"/>
      <c r="AB23" s="693"/>
      <c r="AC23" s="693"/>
      <c r="AD23" s="694"/>
    </row>
    <row r="24" spans="1:30" ht="20.100000000000001" customHeight="1">
      <c r="A24" s="467"/>
      <c r="B24" s="486" t="s">
        <v>45</v>
      </c>
      <c r="C24" s="486"/>
      <c r="D24" s="491"/>
      <c r="E24" s="491">
        <f>FRI!P31</f>
        <v>0</v>
      </c>
      <c r="F24" s="491"/>
      <c r="G24" s="491"/>
      <c r="H24" s="414">
        <f>FRI!K31</f>
        <v>0</v>
      </c>
      <c r="I24" s="414"/>
      <c r="J24" s="414"/>
      <c r="K24" s="414"/>
      <c r="L24" s="415">
        <f>FRI!P32</f>
        <v>0</v>
      </c>
      <c r="M24" s="415"/>
      <c r="N24" s="415"/>
      <c r="O24" s="415"/>
      <c r="P24" s="415"/>
      <c r="Q24" s="725"/>
      <c r="R24" s="726"/>
      <c r="S24" s="726"/>
      <c r="T24" s="726"/>
      <c r="U24" s="727"/>
      <c r="V24" s="670"/>
      <c r="W24" s="671"/>
      <c r="X24" s="671"/>
      <c r="Y24" s="671"/>
      <c r="Z24" s="672"/>
      <c r="AA24" s="692"/>
      <c r="AB24" s="693"/>
      <c r="AC24" s="693"/>
      <c r="AD24" s="694"/>
    </row>
    <row r="25" spans="1:30" ht="20.100000000000001" customHeight="1">
      <c r="A25" s="467"/>
      <c r="B25" s="484" t="s">
        <v>65</v>
      </c>
      <c r="C25" s="485"/>
      <c r="D25" s="486"/>
      <c r="E25" s="484">
        <f>FRI!Q31</f>
        <v>2</v>
      </c>
      <c r="F25" s="485"/>
      <c r="G25" s="486"/>
      <c r="H25" s="716">
        <f>FRI!J31</f>
        <v>100</v>
      </c>
      <c r="I25" s="717"/>
      <c r="J25" s="717"/>
      <c r="K25" s="718"/>
      <c r="L25" s="719">
        <f>FRI!Q32</f>
        <v>7.1684587813620068E-2</v>
      </c>
      <c r="M25" s="720"/>
      <c r="N25" s="720"/>
      <c r="O25" s="720"/>
      <c r="P25" s="721"/>
      <c r="Q25" s="728"/>
      <c r="R25" s="729"/>
      <c r="S25" s="729"/>
      <c r="T25" s="729"/>
      <c r="U25" s="730"/>
      <c r="V25" s="673"/>
      <c r="W25" s="674"/>
      <c r="X25" s="674"/>
      <c r="Y25" s="674"/>
      <c r="Z25" s="675"/>
      <c r="AA25" s="695"/>
      <c r="AB25" s="696"/>
      <c r="AC25" s="696"/>
      <c r="AD25" s="697"/>
    </row>
    <row r="26" spans="1:30" ht="20.100000000000001" customHeight="1">
      <c r="A26" s="468"/>
      <c r="B26" s="484" t="s">
        <v>91</v>
      </c>
      <c r="C26" s="485"/>
      <c r="D26" s="486"/>
      <c r="E26" s="484">
        <f>FRI!U16</f>
        <v>38.5</v>
      </c>
      <c r="F26" s="485"/>
      <c r="G26" s="486"/>
      <c r="H26" s="716" t="s">
        <v>92</v>
      </c>
      <c r="I26" s="717"/>
      <c r="J26" s="717"/>
      <c r="K26" s="718"/>
      <c r="L26" s="686">
        <f>FRI!T2</f>
        <v>5</v>
      </c>
      <c r="M26" s="687"/>
      <c r="N26" s="687"/>
      <c r="O26" s="687"/>
      <c r="P26" s="688"/>
      <c r="Q26" s="230"/>
      <c r="R26" s="231"/>
      <c r="S26" s="231"/>
      <c r="T26" s="231"/>
      <c r="U26" s="232"/>
      <c r="V26" s="233"/>
      <c r="W26" s="234"/>
      <c r="X26" s="234"/>
      <c r="Y26" s="234"/>
      <c r="Z26" s="235"/>
      <c r="AA26" s="236"/>
      <c r="AB26" s="237"/>
      <c r="AC26" s="237"/>
      <c r="AD26" s="238"/>
    </row>
    <row r="27" spans="1:30" ht="20.100000000000001" customHeight="1">
      <c r="A27" s="469" t="s">
        <v>70</v>
      </c>
      <c r="B27" s="424" t="s">
        <v>57</v>
      </c>
      <c r="C27" s="424"/>
      <c r="D27" s="421"/>
      <c r="E27" s="421">
        <f>SAT!N31</f>
        <v>3</v>
      </c>
      <c r="F27" s="421"/>
      <c r="G27" s="421"/>
      <c r="H27" s="576">
        <f>SAT!S31</f>
        <v>205</v>
      </c>
      <c r="I27" s="576"/>
      <c r="J27" s="576"/>
      <c r="K27" s="576"/>
      <c r="L27" s="420">
        <f>SAT!N32</f>
        <v>0.12094395280235988</v>
      </c>
      <c r="M27" s="420"/>
      <c r="N27" s="420"/>
      <c r="O27" s="420"/>
      <c r="P27" s="420"/>
      <c r="Q27" s="625">
        <f>SUM(E27:G30)</f>
        <v>16</v>
      </c>
      <c r="R27" s="626"/>
      <c r="S27" s="626"/>
      <c r="T27" s="626"/>
      <c r="U27" s="627"/>
      <c r="V27" s="707">
        <f>SUM(H27,H28,H30)</f>
        <v>1695</v>
      </c>
      <c r="W27" s="708"/>
      <c r="X27" s="708"/>
      <c r="Y27" s="708"/>
      <c r="Z27" s="709"/>
      <c r="AA27" s="698">
        <f>V27/Q27</f>
        <v>105.9375</v>
      </c>
      <c r="AB27" s="699"/>
      <c r="AC27" s="699"/>
      <c r="AD27" s="700"/>
    </row>
    <row r="28" spans="1:30" ht="20.100000000000001" customHeight="1">
      <c r="A28" s="470"/>
      <c r="B28" s="424" t="s">
        <v>58</v>
      </c>
      <c r="C28" s="424"/>
      <c r="D28" s="421"/>
      <c r="E28" s="421">
        <f>SAT!O31</f>
        <v>10</v>
      </c>
      <c r="F28" s="421"/>
      <c r="G28" s="421"/>
      <c r="H28" s="576">
        <f>SAT!S32</f>
        <v>1300</v>
      </c>
      <c r="I28" s="576"/>
      <c r="J28" s="576"/>
      <c r="K28" s="576"/>
      <c r="L28" s="420">
        <f>SAT!O32</f>
        <v>0.76696165191740417</v>
      </c>
      <c r="M28" s="420"/>
      <c r="N28" s="420"/>
      <c r="O28" s="420"/>
      <c r="P28" s="420"/>
      <c r="Q28" s="628"/>
      <c r="R28" s="629"/>
      <c r="S28" s="629"/>
      <c r="T28" s="629"/>
      <c r="U28" s="630"/>
      <c r="V28" s="710"/>
      <c r="W28" s="711"/>
      <c r="X28" s="711"/>
      <c r="Y28" s="711"/>
      <c r="Z28" s="712"/>
      <c r="AA28" s="701"/>
      <c r="AB28" s="702"/>
      <c r="AC28" s="702"/>
      <c r="AD28" s="703"/>
    </row>
    <row r="29" spans="1:30" ht="20.100000000000001" customHeight="1">
      <c r="A29" s="470"/>
      <c r="B29" s="424" t="s">
        <v>45</v>
      </c>
      <c r="C29" s="424"/>
      <c r="D29" s="421"/>
      <c r="E29" s="421">
        <f>SAT!P31</f>
        <v>1</v>
      </c>
      <c r="F29" s="421"/>
      <c r="G29" s="421"/>
      <c r="H29" s="576">
        <f>SAT!K31</f>
        <v>0</v>
      </c>
      <c r="I29" s="576"/>
      <c r="J29" s="576"/>
      <c r="K29" s="576"/>
      <c r="L29" s="420">
        <f>SAT!P32</f>
        <v>0</v>
      </c>
      <c r="M29" s="420"/>
      <c r="N29" s="420"/>
      <c r="O29" s="420"/>
      <c r="P29" s="420"/>
      <c r="Q29" s="628"/>
      <c r="R29" s="629"/>
      <c r="S29" s="629"/>
      <c r="T29" s="629"/>
      <c r="U29" s="630"/>
      <c r="V29" s="710"/>
      <c r="W29" s="711"/>
      <c r="X29" s="711"/>
      <c r="Y29" s="711"/>
      <c r="Z29" s="712"/>
      <c r="AA29" s="701"/>
      <c r="AB29" s="702"/>
      <c r="AC29" s="702"/>
      <c r="AD29" s="703"/>
    </row>
    <row r="30" spans="1:30" ht="20.100000000000001" customHeight="1">
      <c r="A30" s="470"/>
      <c r="B30" s="422" t="s">
        <v>65</v>
      </c>
      <c r="C30" s="423"/>
      <c r="D30" s="424"/>
      <c r="E30" s="422">
        <f>SAT!Q31</f>
        <v>2</v>
      </c>
      <c r="F30" s="423"/>
      <c r="G30" s="424"/>
      <c r="H30" s="416">
        <f>SAT!J31</f>
        <v>190</v>
      </c>
      <c r="I30" s="417"/>
      <c r="J30" s="417"/>
      <c r="K30" s="418"/>
      <c r="L30" s="634">
        <f>SAT!Q32</f>
        <v>0.11209439528023599</v>
      </c>
      <c r="M30" s="635"/>
      <c r="N30" s="635"/>
      <c r="O30" s="635"/>
      <c r="P30" s="636"/>
      <c r="Q30" s="631"/>
      <c r="R30" s="632"/>
      <c r="S30" s="632"/>
      <c r="T30" s="632"/>
      <c r="U30" s="633"/>
      <c r="V30" s="713"/>
      <c r="W30" s="714"/>
      <c r="X30" s="714"/>
      <c r="Y30" s="714"/>
      <c r="Z30" s="715"/>
      <c r="AA30" s="704"/>
      <c r="AB30" s="705"/>
      <c r="AC30" s="705"/>
      <c r="AD30" s="706"/>
    </row>
    <row r="31" spans="1:30" ht="20.100000000000001" customHeight="1">
      <c r="A31" s="471"/>
      <c r="B31" s="422" t="s">
        <v>91</v>
      </c>
      <c r="C31" s="423"/>
      <c r="D31" s="424"/>
      <c r="E31" s="422">
        <f>SAT!U16</f>
        <v>44</v>
      </c>
      <c r="F31" s="423"/>
      <c r="G31" s="424"/>
      <c r="H31" s="416" t="s">
        <v>92</v>
      </c>
      <c r="I31" s="417"/>
      <c r="J31" s="417"/>
      <c r="K31" s="418"/>
      <c r="L31" s="406">
        <f>SAT!T2</f>
        <v>6</v>
      </c>
      <c r="M31" s="407"/>
      <c r="N31" s="407"/>
      <c r="O31" s="407"/>
      <c r="P31" s="408"/>
      <c r="Q31" s="224"/>
      <c r="R31" s="225"/>
      <c r="S31" s="225"/>
      <c r="T31" s="225"/>
      <c r="U31" s="226"/>
      <c r="V31" s="242"/>
      <c r="W31" s="243"/>
      <c r="X31" s="243"/>
      <c r="Y31" s="243"/>
      <c r="Z31" s="244"/>
      <c r="AA31" s="239"/>
      <c r="AB31" s="240"/>
      <c r="AC31" s="240"/>
      <c r="AD31" s="241"/>
    </row>
    <row r="32" spans="1:30" ht="20.100000000000001" customHeight="1">
      <c r="A32" s="472" t="s">
        <v>71</v>
      </c>
      <c r="B32" s="490" t="s">
        <v>57</v>
      </c>
      <c r="C32" s="411"/>
      <c r="D32" s="411"/>
      <c r="E32" s="411">
        <f>SUN!N31</f>
        <v>4</v>
      </c>
      <c r="F32" s="411"/>
      <c r="G32" s="411"/>
      <c r="H32" s="412">
        <f>SUN!S31</f>
        <v>215</v>
      </c>
      <c r="I32" s="412"/>
      <c r="J32" s="412"/>
      <c r="K32" s="412"/>
      <c r="L32" s="413">
        <f>SUN!N32</f>
        <v>0.10858585858585859</v>
      </c>
      <c r="M32" s="413"/>
      <c r="N32" s="413"/>
      <c r="O32" s="413"/>
      <c r="P32" s="413"/>
      <c r="Q32" s="682">
        <f>SUM(E32:G35)</f>
        <v>21</v>
      </c>
      <c r="R32" s="682"/>
      <c r="S32" s="682"/>
      <c r="T32" s="682"/>
      <c r="U32" s="682"/>
      <c r="V32" s="740">
        <f>SUM(H32,H33,H35)</f>
        <v>1980</v>
      </c>
      <c r="W32" s="740"/>
      <c r="X32" s="740"/>
      <c r="Y32" s="740"/>
      <c r="Z32" s="740"/>
      <c r="AA32" s="757">
        <f>V32/Q32</f>
        <v>94.285714285714292</v>
      </c>
      <c r="AB32" s="757"/>
      <c r="AC32" s="757"/>
      <c r="AD32" s="757"/>
    </row>
    <row r="33" spans="1:30" ht="20.100000000000001" customHeight="1">
      <c r="A33" s="473"/>
      <c r="B33" s="490" t="s">
        <v>58</v>
      </c>
      <c r="C33" s="411"/>
      <c r="D33" s="411"/>
      <c r="E33" s="411">
        <f>SUN!O31</f>
        <v>15</v>
      </c>
      <c r="F33" s="411"/>
      <c r="G33" s="411"/>
      <c r="H33" s="412">
        <f>SUN!S32</f>
        <v>1720</v>
      </c>
      <c r="I33" s="412"/>
      <c r="J33" s="412"/>
      <c r="K33" s="412"/>
      <c r="L33" s="413">
        <f>SUN!O32</f>
        <v>0.86868686868686873</v>
      </c>
      <c r="M33" s="413"/>
      <c r="N33" s="413"/>
      <c r="O33" s="413"/>
      <c r="P33" s="413"/>
      <c r="Q33" s="682"/>
      <c r="R33" s="682"/>
      <c r="S33" s="682"/>
      <c r="T33" s="682"/>
      <c r="U33" s="682"/>
      <c r="V33" s="740"/>
      <c r="W33" s="740"/>
      <c r="X33" s="740"/>
      <c r="Y33" s="740"/>
      <c r="Z33" s="740"/>
      <c r="AA33" s="757"/>
      <c r="AB33" s="757"/>
      <c r="AC33" s="757"/>
      <c r="AD33" s="757"/>
    </row>
    <row r="34" spans="1:30" ht="20.100000000000001" customHeight="1">
      <c r="A34" s="473"/>
      <c r="B34" s="490" t="s">
        <v>45</v>
      </c>
      <c r="C34" s="411"/>
      <c r="D34" s="411"/>
      <c r="E34" s="411">
        <f>SUN!P31</f>
        <v>1</v>
      </c>
      <c r="F34" s="411"/>
      <c r="G34" s="411"/>
      <c r="H34" s="412">
        <f>SUN!K31</f>
        <v>0</v>
      </c>
      <c r="I34" s="412"/>
      <c r="J34" s="412"/>
      <c r="K34" s="412"/>
      <c r="L34" s="413">
        <f>SUN!P32</f>
        <v>0</v>
      </c>
      <c r="M34" s="413"/>
      <c r="N34" s="413"/>
      <c r="O34" s="413"/>
      <c r="P34" s="413"/>
      <c r="Q34" s="682"/>
      <c r="R34" s="682"/>
      <c r="S34" s="682"/>
      <c r="T34" s="682"/>
      <c r="U34" s="682"/>
      <c r="V34" s="740"/>
      <c r="W34" s="740"/>
      <c r="X34" s="740"/>
      <c r="Y34" s="740"/>
      <c r="Z34" s="740"/>
      <c r="AA34" s="757"/>
      <c r="AB34" s="757"/>
      <c r="AC34" s="757"/>
      <c r="AD34" s="757"/>
    </row>
    <row r="35" spans="1:30" ht="20.100000000000001" customHeight="1">
      <c r="A35" s="473"/>
      <c r="B35" s="490" t="s">
        <v>65</v>
      </c>
      <c r="C35" s="411"/>
      <c r="D35" s="411"/>
      <c r="E35" s="411">
        <f>SUN!Q31</f>
        <v>1</v>
      </c>
      <c r="F35" s="411"/>
      <c r="G35" s="411"/>
      <c r="H35" s="412">
        <f>SUN!J31</f>
        <v>45</v>
      </c>
      <c r="I35" s="412"/>
      <c r="J35" s="412"/>
      <c r="K35" s="412"/>
      <c r="L35" s="413">
        <f>SUN!Q32</f>
        <v>2.2727272727272728E-2</v>
      </c>
      <c r="M35" s="413"/>
      <c r="N35" s="413"/>
      <c r="O35" s="413"/>
      <c r="P35" s="413"/>
      <c r="Q35" s="682"/>
      <c r="R35" s="682"/>
      <c r="S35" s="682"/>
      <c r="T35" s="682"/>
      <c r="U35" s="682"/>
      <c r="V35" s="740"/>
      <c r="W35" s="740"/>
      <c r="X35" s="740"/>
      <c r="Y35" s="740"/>
      <c r="Z35" s="740"/>
      <c r="AA35" s="757"/>
      <c r="AB35" s="757"/>
      <c r="AC35" s="757"/>
      <c r="AD35" s="757"/>
    </row>
    <row r="36" spans="1:30" ht="20.100000000000001" customHeight="1" thickBot="1">
      <c r="A36" s="474"/>
      <c r="B36" s="487" t="s">
        <v>91</v>
      </c>
      <c r="C36" s="488"/>
      <c r="D36" s="489"/>
      <c r="E36" s="758">
        <f>SUN!U16</f>
        <v>51.083333333333336</v>
      </c>
      <c r="F36" s="759"/>
      <c r="G36" s="760"/>
      <c r="H36" s="487" t="s">
        <v>92</v>
      </c>
      <c r="I36" s="488"/>
      <c r="J36" s="488"/>
      <c r="K36" s="489"/>
      <c r="L36" s="754">
        <f>SUN!T2</f>
        <v>7</v>
      </c>
      <c r="M36" s="755"/>
      <c r="N36" s="755"/>
      <c r="O36" s="755"/>
      <c r="P36" s="756"/>
      <c r="Q36" s="679"/>
      <c r="R36" s="680"/>
      <c r="S36" s="680"/>
      <c r="T36" s="680"/>
      <c r="U36" s="681"/>
      <c r="V36" s="743"/>
      <c r="W36" s="744"/>
      <c r="X36" s="744"/>
      <c r="Y36" s="744"/>
      <c r="Z36" s="745"/>
      <c r="AA36" s="746"/>
      <c r="AB36" s="747"/>
      <c r="AC36" s="747"/>
      <c r="AD36" s="748"/>
    </row>
    <row r="37" spans="1:30" ht="16.5" customHeight="1">
      <c r="A37" s="731" t="s">
        <v>72</v>
      </c>
      <c r="B37" s="732"/>
      <c r="C37" s="732"/>
      <c r="D37" s="732"/>
      <c r="E37" s="732" t="s">
        <v>73</v>
      </c>
      <c r="F37" s="732"/>
      <c r="G37" s="732"/>
      <c r="H37" s="732"/>
      <c r="I37" s="732"/>
      <c r="J37" s="732"/>
      <c r="K37" s="732" t="s">
        <v>74</v>
      </c>
      <c r="L37" s="732"/>
      <c r="M37" s="732"/>
      <c r="N37" s="732"/>
      <c r="O37" s="732" t="s">
        <v>65</v>
      </c>
      <c r="P37" s="732"/>
      <c r="Q37" s="732"/>
      <c r="R37" s="732"/>
      <c r="S37" s="732"/>
      <c r="T37" s="732" t="s">
        <v>75</v>
      </c>
      <c r="U37" s="732"/>
      <c r="V37" s="732"/>
      <c r="W37" s="732"/>
      <c r="X37" s="732"/>
      <c r="Y37" s="732" t="s">
        <v>76</v>
      </c>
      <c r="Z37" s="732"/>
      <c r="AA37" s="732"/>
      <c r="AB37" s="732"/>
      <c r="AC37" s="732"/>
      <c r="AD37" s="741"/>
    </row>
    <row r="38" spans="1:30" ht="16.5" customHeight="1">
      <c r="A38" s="733"/>
      <c r="B38" s="734"/>
      <c r="C38" s="734"/>
      <c r="D38" s="734"/>
      <c r="E38" s="734"/>
      <c r="F38" s="734"/>
      <c r="G38" s="734"/>
      <c r="H38" s="734"/>
      <c r="I38" s="734"/>
      <c r="J38" s="734"/>
      <c r="K38" s="734"/>
      <c r="L38" s="734"/>
      <c r="M38" s="734"/>
      <c r="N38" s="734"/>
      <c r="O38" s="734"/>
      <c r="P38" s="734"/>
      <c r="Q38" s="734"/>
      <c r="R38" s="734"/>
      <c r="S38" s="734"/>
      <c r="T38" s="734"/>
      <c r="U38" s="734"/>
      <c r="V38" s="734"/>
      <c r="W38" s="734"/>
      <c r="X38" s="734"/>
      <c r="Y38" s="734"/>
      <c r="Z38" s="734"/>
      <c r="AA38" s="734"/>
      <c r="AB38" s="734"/>
      <c r="AC38" s="734"/>
      <c r="AD38" s="742"/>
    </row>
    <row r="39" spans="1:30" ht="16.5" customHeight="1">
      <c r="A39" s="735">
        <f>SUM(Q2:U35)</f>
        <v>102</v>
      </c>
      <c r="B39" s="736"/>
      <c r="C39" s="736"/>
      <c r="D39" s="736"/>
      <c r="E39" s="739">
        <f>SUM(V2:Z35)</f>
        <v>7545</v>
      </c>
      <c r="F39" s="736"/>
      <c r="G39" s="736"/>
      <c r="H39" s="736"/>
      <c r="I39" s="736"/>
      <c r="J39" s="736"/>
      <c r="K39" s="739">
        <f>E39/A39</f>
        <v>73.970588235294116</v>
      </c>
      <c r="L39" s="736"/>
      <c r="M39" s="736"/>
      <c r="N39" s="736"/>
      <c r="O39" s="736">
        <f>SUM(MON:SUN!Q31)</f>
        <v>7</v>
      </c>
      <c r="P39" s="736"/>
      <c r="Q39" s="736"/>
      <c r="R39" s="736"/>
      <c r="S39" s="736"/>
      <c r="T39" s="736">
        <f>SUM(MON:SUN!P31)</f>
        <v>12</v>
      </c>
      <c r="U39" s="736"/>
      <c r="V39" s="736"/>
      <c r="W39" s="736"/>
      <c r="X39" s="736"/>
      <c r="Y39" s="736">
        <f>SUM(MON:SUN!S19)</f>
        <v>0</v>
      </c>
      <c r="Z39" s="736"/>
      <c r="AA39" s="736"/>
      <c r="AB39" s="736"/>
      <c r="AC39" s="736"/>
      <c r="AD39" s="751"/>
    </row>
    <row r="40" spans="1:30" ht="16.5" customHeight="1">
      <c r="A40" s="735"/>
      <c r="B40" s="736"/>
      <c r="C40" s="736"/>
      <c r="D40" s="736"/>
      <c r="E40" s="736"/>
      <c r="F40" s="736"/>
      <c r="G40" s="736"/>
      <c r="H40" s="736"/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6"/>
      <c r="T40" s="736"/>
      <c r="U40" s="736"/>
      <c r="V40" s="736"/>
      <c r="W40" s="736"/>
      <c r="X40" s="736"/>
      <c r="Y40" s="736"/>
      <c r="Z40" s="736"/>
      <c r="AA40" s="736"/>
      <c r="AB40" s="736"/>
      <c r="AC40" s="736"/>
      <c r="AD40" s="751"/>
    </row>
    <row r="41" spans="1:30" ht="16.5" customHeight="1">
      <c r="A41" s="735"/>
      <c r="B41" s="736"/>
      <c r="C41" s="736"/>
      <c r="D41" s="736"/>
      <c r="E41" s="736"/>
      <c r="F41" s="736"/>
      <c r="G41" s="736"/>
      <c r="H41" s="736"/>
      <c r="I41" s="736"/>
      <c r="J41" s="736"/>
      <c r="K41" s="736"/>
      <c r="L41" s="736"/>
      <c r="M41" s="736"/>
      <c r="N41" s="736"/>
      <c r="O41" s="749">
        <f>SUM(MON:SUN!J31)</f>
        <v>485</v>
      </c>
      <c r="P41" s="749"/>
      <c r="Q41" s="749"/>
      <c r="R41" s="749"/>
      <c r="S41" s="749"/>
      <c r="T41" s="749">
        <f>SUM(MON:SUN!K31)</f>
        <v>383.1</v>
      </c>
      <c r="U41" s="749"/>
      <c r="V41" s="749"/>
      <c r="W41" s="749"/>
      <c r="X41" s="749"/>
      <c r="Y41" s="749">
        <f>SUM(MON:SUN!T19)</f>
        <v>0</v>
      </c>
      <c r="Z41" s="749"/>
      <c r="AA41" s="749"/>
      <c r="AB41" s="749"/>
      <c r="AC41" s="749"/>
      <c r="AD41" s="752"/>
    </row>
    <row r="42" spans="1:30" ht="16.5" customHeight="1" thickBot="1">
      <c r="A42" s="737"/>
      <c r="B42" s="738"/>
      <c r="C42" s="738"/>
      <c r="D42" s="738"/>
      <c r="E42" s="738"/>
      <c r="F42" s="738"/>
      <c r="G42" s="738"/>
      <c r="H42" s="738"/>
      <c r="I42" s="738"/>
      <c r="J42" s="738"/>
      <c r="K42" s="738"/>
      <c r="L42" s="738"/>
      <c r="M42" s="738"/>
      <c r="N42" s="738"/>
      <c r="O42" s="750"/>
      <c r="P42" s="750"/>
      <c r="Q42" s="750"/>
      <c r="R42" s="750"/>
      <c r="S42" s="750"/>
      <c r="T42" s="750"/>
      <c r="U42" s="750"/>
      <c r="V42" s="750"/>
      <c r="W42" s="750"/>
      <c r="X42" s="750"/>
      <c r="Y42" s="750"/>
      <c r="Z42" s="750"/>
      <c r="AA42" s="750"/>
      <c r="AB42" s="750"/>
      <c r="AC42" s="750"/>
      <c r="AD42" s="753"/>
    </row>
    <row r="43" spans="1:30" ht="17.399999999999999" customHeight="1">
      <c r="A43" s="510" t="s">
        <v>84</v>
      </c>
      <c r="B43" s="511"/>
      <c r="C43" s="511"/>
      <c r="D43" s="511"/>
      <c r="E43" s="512"/>
      <c r="F43" s="510" t="s">
        <v>85</v>
      </c>
      <c r="G43" s="511"/>
      <c r="H43" s="511"/>
      <c r="I43" s="511"/>
      <c r="J43" s="512"/>
      <c r="K43" s="510" t="s">
        <v>86</v>
      </c>
      <c r="L43" s="511"/>
      <c r="M43" s="511"/>
      <c r="N43" s="511"/>
      <c r="O43" s="512"/>
      <c r="P43" s="510" t="s">
        <v>87</v>
      </c>
      <c r="Q43" s="511"/>
      <c r="R43" s="511"/>
      <c r="S43" s="511"/>
      <c r="T43" s="512"/>
      <c r="U43" s="510" t="s">
        <v>89</v>
      </c>
      <c r="V43" s="511"/>
      <c r="W43" s="511"/>
      <c r="X43" s="511"/>
      <c r="Y43" s="512"/>
      <c r="Z43" s="516" t="s">
        <v>92</v>
      </c>
      <c r="AA43" s="517"/>
      <c r="AB43" s="517"/>
      <c r="AC43" s="517"/>
      <c r="AD43" s="518"/>
    </row>
    <row r="44" spans="1:30" ht="17.399999999999999" customHeight="1">
      <c r="A44" s="513"/>
      <c r="B44" s="514"/>
      <c r="C44" s="514"/>
      <c r="D44" s="514"/>
      <c r="E44" s="515"/>
      <c r="F44" s="513"/>
      <c r="G44" s="514"/>
      <c r="H44" s="514"/>
      <c r="I44" s="514"/>
      <c r="J44" s="515"/>
      <c r="K44" s="513"/>
      <c r="L44" s="514"/>
      <c r="M44" s="514"/>
      <c r="N44" s="514"/>
      <c r="O44" s="515"/>
      <c r="P44" s="513"/>
      <c r="Q44" s="514"/>
      <c r="R44" s="514"/>
      <c r="S44" s="514"/>
      <c r="T44" s="515"/>
      <c r="U44" s="513"/>
      <c r="V44" s="514"/>
      <c r="W44" s="514"/>
      <c r="X44" s="514"/>
      <c r="Y44" s="515"/>
      <c r="Z44" s="519"/>
      <c r="AA44" s="520"/>
      <c r="AB44" s="520"/>
      <c r="AC44" s="520"/>
      <c r="AD44" s="521"/>
    </row>
    <row r="45" spans="1:30">
      <c r="A45" s="522">
        <f>SUM(H2,H7,H12,H17,H22,H27,H32)</f>
        <v>1110</v>
      </c>
      <c r="B45" s="523"/>
      <c r="C45" s="523"/>
      <c r="D45" s="523"/>
      <c r="E45" s="524"/>
      <c r="F45" s="522">
        <f>SUM(,H3,H8,H13,H18,H23,H28,H33)</f>
        <v>5950</v>
      </c>
      <c r="G45" s="523"/>
      <c r="H45" s="523"/>
      <c r="I45" s="523"/>
      <c r="J45" s="524"/>
      <c r="K45" s="522">
        <f>SUM(H5,H10,H15,H20,H25,H30,H35)</f>
        <v>485</v>
      </c>
      <c r="L45" s="523"/>
      <c r="M45" s="523"/>
      <c r="N45" s="523"/>
      <c r="O45" s="524"/>
      <c r="P45" s="522">
        <f>SUM(H4,H9,H14,H19,H24,H29,H34)</f>
        <v>383.1</v>
      </c>
      <c r="Q45" s="523"/>
      <c r="R45" s="523"/>
      <c r="S45" s="523"/>
      <c r="T45" s="524"/>
      <c r="U45" s="531">
        <f>SUM(E6,E11,E16,E21,E26,E31,E36)</f>
        <v>266.58333333333331</v>
      </c>
      <c r="V45" s="523"/>
      <c r="W45" s="523"/>
      <c r="X45" s="523"/>
      <c r="Y45" s="524"/>
      <c r="Z45" s="531">
        <f>SUM(L6,L11,L16,L21,L26,L31,L36)</f>
        <v>38</v>
      </c>
      <c r="AA45" s="523"/>
      <c r="AB45" s="523"/>
      <c r="AC45" s="523"/>
      <c r="AD45" s="532"/>
    </row>
    <row r="46" spans="1:30">
      <c r="A46" s="525"/>
      <c r="B46" s="526"/>
      <c r="C46" s="526"/>
      <c r="D46" s="526"/>
      <c r="E46" s="527"/>
      <c r="F46" s="525"/>
      <c r="G46" s="526"/>
      <c r="H46" s="526"/>
      <c r="I46" s="526"/>
      <c r="J46" s="527"/>
      <c r="K46" s="525"/>
      <c r="L46" s="526"/>
      <c r="M46" s="526"/>
      <c r="N46" s="526"/>
      <c r="O46" s="527"/>
      <c r="P46" s="525"/>
      <c r="Q46" s="526"/>
      <c r="R46" s="526"/>
      <c r="S46" s="526"/>
      <c r="T46" s="527"/>
      <c r="U46" s="525"/>
      <c r="V46" s="526"/>
      <c r="W46" s="526"/>
      <c r="X46" s="526"/>
      <c r="Y46" s="527"/>
      <c r="Z46" s="525"/>
      <c r="AA46" s="526"/>
      <c r="AB46" s="526"/>
      <c r="AC46" s="526"/>
      <c r="AD46" s="533"/>
    </row>
    <row r="47" spans="1:30">
      <c r="A47" s="525"/>
      <c r="B47" s="526"/>
      <c r="C47" s="526"/>
      <c r="D47" s="526"/>
      <c r="E47" s="527"/>
      <c r="F47" s="525"/>
      <c r="G47" s="526"/>
      <c r="H47" s="526"/>
      <c r="I47" s="526"/>
      <c r="J47" s="527"/>
      <c r="K47" s="525"/>
      <c r="L47" s="526"/>
      <c r="M47" s="526"/>
      <c r="N47" s="526"/>
      <c r="O47" s="527"/>
      <c r="P47" s="525"/>
      <c r="Q47" s="526"/>
      <c r="R47" s="526"/>
      <c r="S47" s="526"/>
      <c r="T47" s="527"/>
      <c r="U47" s="525"/>
      <c r="V47" s="526"/>
      <c r="W47" s="526"/>
      <c r="X47" s="526"/>
      <c r="Y47" s="527"/>
      <c r="Z47" s="525"/>
      <c r="AA47" s="526"/>
      <c r="AB47" s="526"/>
      <c r="AC47" s="526"/>
      <c r="AD47" s="533"/>
    </row>
    <row r="48" spans="1:30" ht="18" thickBot="1">
      <c r="A48" s="528"/>
      <c r="B48" s="529"/>
      <c r="C48" s="529"/>
      <c r="D48" s="529"/>
      <c r="E48" s="530"/>
      <c r="F48" s="528"/>
      <c r="G48" s="529"/>
      <c r="H48" s="529"/>
      <c r="I48" s="529"/>
      <c r="J48" s="530"/>
      <c r="K48" s="528"/>
      <c r="L48" s="529"/>
      <c r="M48" s="529"/>
      <c r="N48" s="529"/>
      <c r="O48" s="530"/>
      <c r="P48" s="528"/>
      <c r="Q48" s="529"/>
      <c r="R48" s="529"/>
      <c r="S48" s="529"/>
      <c r="T48" s="530"/>
      <c r="U48" s="528"/>
      <c r="V48" s="529"/>
      <c r="W48" s="529"/>
      <c r="X48" s="529"/>
      <c r="Y48" s="530"/>
      <c r="Z48" s="528"/>
      <c r="AA48" s="529"/>
      <c r="AB48" s="529"/>
      <c r="AC48" s="529"/>
      <c r="AD48" s="534"/>
    </row>
    <row r="49" spans="1:30" ht="17.399999999999999" customHeight="1">
      <c r="A49" s="492">
        <f>A45/E39</f>
        <v>0.14711729622266401</v>
      </c>
      <c r="B49" s="493"/>
      <c r="C49" s="493"/>
      <c r="D49" s="493"/>
      <c r="E49" s="494"/>
      <c r="F49" s="492">
        <f>F45/E39</f>
        <v>0.78860172299536113</v>
      </c>
      <c r="G49" s="493"/>
      <c r="H49" s="493"/>
      <c r="I49" s="493"/>
      <c r="J49" s="494"/>
      <c r="K49" s="492">
        <f>K45/E39</f>
        <v>6.428098078197482E-2</v>
      </c>
      <c r="L49" s="493"/>
      <c r="M49" s="493"/>
      <c r="N49" s="493"/>
      <c r="O49" s="494"/>
      <c r="P49" s="492">
        <f>P45/E39</f>
        <v>5.0775347912524853E-2</v>
      </c>
      <c r="Q49" s="493"/>
      <c r="R49" s="493"/>
      <c r="S49" s="493"/>
      <c r="T49" s="494"/>
      <c r="U49" s="501">
        <f>U45/7</f>
        <v>38.083333333333329</v>
      </c>
      <c r="V49" s="502"/>
      <c r="W49" s="502"/>
      <c r="X49" s="502"/>
      <c r="Y49" s="503"/>
      <c r="Z49" s="501">
        <f>U45/Z45</f>
        <v>7.015350877192982</v>
      </c>
      <c r="AA49" s="502"/>
      <c r="AB49" s="502"/>
      <c r="AC49" s="502"/>
      <c r="AD49" s="503"/>
    </row>
    <row r="50" spans="1:30" ht="17.399999999999999" customHeight="1">
      <c r="A50" s="495"/>
      <c r="B50" s="496"/>
      <c r="C50" s="496"/>
      <c r="D50" s="496"/>
      <c r="E50" s="497"/>
      <c r="F50" s="495"/>
      <c r="G50" s="496"/>
      <c r="H50" s="496"/>
      <c r="I50" s="496"/>
      <c r="J50" s="497"/>
      <c r="K50" s="495"/>
      <c r="L50" s="496"/>
      <c r="M50" s="496"/>
      <c r="N50" s="496"/>
      <c r="O50" s="497"/>
      <c r="P50" s="495"/>
      <c r="Q50" s="496"/>
      <c r="R50" s="496"/>
      <c r="S50" s="496"/>
      <c r="T50" s="497"/>
      <c r="U50" s="504"/>
      <c r="V50" s="505"/>
      <c r="W50" s="505"/>
      <c r="X50" s="505"/>
      <c r="Y50" s="506"/>
      <c r="Z50" s="504"/>
      <c r="AA50" s="505"/>
      <c r="AB50" s="505"/>
      <c r="AC50" s="505"/>
      <c r="AD50" s="506"/>
    </row>
    <row r="51" spans="1:30" ht="17.399999999999999" customHeight="1">
      <c r="A51" s="495"/>
      <c r="B51" s="496"/>
      <c r="C51" s="496"/>
      <c r="D51" s="496"/>
      <c r="E51" s="497"/>
      <c r="F51" s="495"/>
      <c r="G51" s="496"/>
      <c r="H51" s="496"/>
      <c r="I51" s="496"/>
      <c r="J51" s="497"/>
      <c r="K51" s="495"/>
      <c r="L51" s="496"/>
      <c r="M51" s="496"/>
      <c r="N51" s="496"/>
      <c r="O51" s="497"/>
      <c r="P51" s="495"/>
      <c r="Q51" s="496"/>
      <c r="R51" s="496"/>
      <c r="S51" s="496"/>
      <c r="T51" s="497"/>
      <c r="U51" s="504"/>
      <c r="V51" s="505"/>
      <c r="W51" s="505"/>
      <c r="X51" s="505"/>
      <c r="Y51" s="506"/>
      <c r="Z51" s="504"/>
      <c r="AA51" s="505"/>
      <c r="AB51" s="505"/>
      <c r="AC51" s="505"/>
      <c r="AD51" s="506"/>
    </row>
    <row r="52" spans="1:30" ht="18" customHeight="1" thickBot="1">
      <c r="A52" s="498"/>
      <c r="B52" s="499"/>
      <c r="C52" s="499"/>
      <c r="D52" s="499"/>
      <c r="E52" s="500"/>
      <c r="F52" s="498"/>
      <c r="G52" s="499"/>
      <c r="H52" s="499"/>
      <c r="I52" s="499"/>
      <c r="J52" s="500"/>
      <c r="K52" s="498"/>
      <c r="L52" s="499"/>
      <c r="M52" s="499"/>
      <c r="N52" s="499"/>
      <c r="O52" s="500"/>
      <c r="P52" s="498"/>
      <c r="Q52" s="499"/>
      <c r="R52" s="499"/>
      <c r="S52" s="499"/>
      <c r="T52" s="500"/>
      <c r="U52" s="507"/>
      <c r="V52" s="508"/>
      <c r="W52" s="508"/>
      <c r="X52" s="508"/>
      <c r="Y52" s="509"/>
      <c r="Z52" s="507"/>
      <c r="AA52" s="508"/>
      <c r="AB52" s="508"/>
      <c r="AC52" s="508"/>
      <c r="AD52" s="509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33555B43-A537-4DC9-B68C-3A21E3A3A511}"/>
</file>

<file path=customXml/itemProps2.xml><?xml version="1.0" encoding="utf-8"?>
<ds:datastoreItem xmlns:ds="http://schemas.openxmlformats.org/officeDocument/2006/customXml" ds:itemID="{32BD0F64-3B13-42CB-82E9-E1B97BD5DDB5}"/>
</file>

<file path=customXml/itemProps3.xml><?xml version="1.0" encoding="utf-8"?>
<ds:datastoreItem xmlns:ds="http://schemas.openxmlformats.org/officeDocument/2006/customXml" ds:itemID="{31DFAC06-FDB6-4ADE-B541-CC999AFAA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2021-12-30T07:45:15Z</cp:lastPrinted>
  <dcterms:created xsi:type="dcterms:W3CDTF">2011-11-24T03:16:40Z</dcterms:created>
  <dcterms:modified xsi:type="dcterms:W3CDTF">2022-02-11T06:43:27Z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