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1\"/>
    </mc:Choice>
  </mc:AlternateContent>
  <xr:revisionPtr revIDLastSave="0" documentId="13_ncr:1_{66231C43-4CBD-4343-9CB7-C91BF78905DF}" xr6:coauthVersionLast="47" xr6:coauthVersionMax="47" xr10:uidLastSave="{00000000-0000-0000-0000-000000000000}"/>
  <bookViews>
    <workbookView xWindow="-120" yWindow="-120" windowWidth="29040" windowHeight="16440" firstSheet="7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K92" i="1"/>
  <c r="J92" i="1"/>
  <c r="K91" i="1"/>
  <c r="J91" i="1"/>
  <c r="K90" i="1"/>
  <c r="J90" i="1"/>
  <c r="K89" i="1"/>
  <c r="J89" i="1"/>
  <c r="J94" i="1" s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K38" i="1"/>
  <c r="J38" i="1"/>
  <c r="A38" i="1"/>
  <c r="K37" i="1"/>
  <c r="J37" i="1"/>
  <c r="A37" i="1"/>
  <c r="T34" i="1"/>
  <c r="T66" i="1" s="1"/>
  <c r="O34" i="1"/>
  <c r="O66" i="1" s="1"/>
  <c r="J34" i="1"/>
  <c r="A34" i="1"/>
  <c r="A66" i="1" s="1"/>
  <c r="H32" i="1"/>
  <c r="S16" i="1" s="1"/>
  <c r="Z31" i="1"/>
  <c r="Q31" i="1"/>
  <c r="P31" i="1"/>
  <c r="O31" i="1"/>
  <c r="N31" i="1"/>
  <c r="M31" i="1"/>
  <c r="I31" i="1"/>
  <c r="S32" i="1" s="1"/>
  <c r="H28" i="8" s="1"/>
  <c r="M30" i="1"/>
  <c r="L30" i="1"/>
  <c r="L31" i="1" s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F25" i="1" s="1"/>
  <c r="AG22" i="1"/>
  <c r="AF22" i="1"/>
  <c r="AG25" i="1" s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U16" i="1" s="1"/>
  <c r="K5" i="1"/>
  <c r="K30" i="1" s="1"/>
  <c r="K31" i="1" s="1"/>
  <c r="J5" i="1"/>
  <c r="J30" i="1" s="1"/>
  <c r="J31" i="1" s="1"/>
  <c r="M94" i="3"/>
  <c r="L94" i="3"/>
  <c r="L31" i="3" s="1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M30" i="3"/>
  <c r="L30" i="3"/>
  <c r="I30" i="3"/>
  <c r="I31" i="3" s="1"/>
  <c r="S32" i="3" s="1"/>
  <c r="H30" i="3"/>
  <c r="K29" i="3"/>
  <c r="J29" i="3"/>
  <c r="K28" i="3"/>
  <c r="J28" i="3"/>
  <c r="K27" i="3"/>
  <c r="J27" i="3"/>
  <c r="K26" i="3"/>
  <c r="J26" i="3"/>
  <c r="AF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G22" i="3"/>
  <c r="AH25" i="3" s="1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U12" i="3"/>
  <c r="K12" i="3"/>
  <c r="J12" i="3"/>
  <c r="U11" i="3"/>
  <c r="K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A66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H32" i="4"/>
  <c r="Z31" i="4"/>
  <c r="Q31" i="4"/>
  <c r="P31" i="4"/>
  <c r="O31" i="4"/>
  <c r="N31" i="4"/>
  <c r="L31" i="4"/>
  <c r="M30" i="4"/>
  <c r="M31" i="4" s="1"/>
  <c r="L30" i="4"/>
  <c r="I30" i="4"/>
  <c r="H30" i="4"/>
  <c r="H31" i="4" s="1"/>
  <c r="K29" i="4"/>
  <c r="J29" i="4"/>
  <c r="K28" i="4"/>
  <c r="J28" i="4"/>
  <c r="K27" i="4"/>
  <c r="J27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J10" i="4"/>
  <c r="U9" i="4"/>
  <c r="K9" i="4"/>
  <c r="J9" i="4"/>
  <c r="U8" i="4"/>
  <c r="K8" i="4"/>
  <c r="J8" i="4"/>
  <c r="U7" i="4"/>
  <c r="K7" i="4"/>
  <c r="J7" i="4"/>
  <c r="U6" i="4"/>
  <c r="K6" i="4"/>
  <c r="U5" i="4"/>
  <c r="K5" i="4"/>
  <c r="M94" i="5"/>
  <c r="M31" i="5" s="1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L30" i="5"/>
  <c r="I30" i="5"/>
  <c r="H30" i="5"/>
  <c r="H31" i="5" s="1"/>
  <c r="K29" i="5"/>
  <c r="J29" i="5"/>
  <c r="K28" i="5"/>
  <c r="J28" i="5"/>
  <c r="K27" i="5"/>
  <c r="J27" i="5"/>
  <c r="K26" i="5"/>
  <c r="J26" i="5"/>
  <c r="AH25" i="5"/>
  <c r="AG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J6" i="6"/>
  <c r="U5" i="6"/>
  <c r="K5" i="6"/>
  <c r="J5" i="6"/>
  <c r="T19" i="7"/>
  <c r="S19" i="7"/>
  <c r="K24" i="7"/>
  <c r="J15" i="7"/>
  <c r="J6" i="7"/>
  <c r="H23" i="8"/>
  <c r="U16" i="2" l="1"/>
  <c r="S16" i="2" s="1"/>
  <c r="K30" i="2"/>
  <c r="K31" i="2" s="1"/>
  <c r="H34" i="8" s="1"/>
  <c r="J30" i="2"/>
  <c r="J31" i="2" s="1"/>
  <c r="U16" i="3"/>
  <c r="S16" i="3" s="1"/>
  <c r="J30" i="3"/>
  <c r="J31" i="3" s="1"/>
  <c r="H31" i="3"/>
  <c r="T31" i="3" s="1"/>
  <c r="K30" i="3"/>
  <c r="K31" i="3" s="1"/>
  <c r="I31" i="4"/>
  <c r="S32" i="4" s="1"/>
  <c r="H18" i="8" s="1"/>
  <c r="J62" i="4"/>
  <c r="K62" i="4"/>
  <c r="Y39" i="8"/>
  <c r="J30" i="4"/>
  <c r="K30" i="4"/>
  <c r="U16" i="4"/>
  <c r="R16" i="4" s="1"/>
  <c r="U16" i="5"/>
  <c r="R16" i="5" s="1"/>
  <c r="K30" i="5"/>
  <c r="K31" i="5" s="1"/>
  <c r="I31" i="5"/>
  <c r="Z32" i="5" s="1"/>
  <c r="Z33" i="5" s="1"/>
  <c r="J30" i="5"/>
  <c r="J31" i="5" s="1"/>
  <c r="U16" i="6"/>
  <c r="S16" i="6" s="1"/>
  <c r="K30" i="6"/>
  <c r="K31" i="6" s="1"/>
  <c r="J30" i="6"/>
  <c r="J31" i="6" s="1"/>
  <c r="AD25" i="2"/>
  <c r="AI25" i="2"/>
  <c r="S31" i="2"/>
  <c r="H32" i="8" s="1"/>
  <c r="T31" i="2"/>
  <c r="Z32" i="2"/>
  <c r="Z33" i="2" s="1"/>
  <c r="AD25" i="1"/>
  <c r="AI25" i="1"/>
  <c r="T31" i="1"/>
  <c r="S31" i="1"/>
  <c r="H27" i="8" s="1"/>
  <c r="C32" i="1"/>
  <c r="Z32" i="1"/>
  <c r="Z33" i="1" s="1"/>
  <c r="R16" i="1"/>
  <c r="AI25" i="3"/>
  <c r="AD25" i="3"/>
  <c r="Z32" i="3"/>
  <c r="Z33" i="3" s="1"/>
  <c r="AD25" i="4"/>
  <c r="AI25" i="4"/>
  <c r="S31" i="4"/>
  <c r="H17" i="8" s="1"/>
  <c r="AI25" i="5"/>
  <c r="AD25" i="5"/>
  <c r="S31" i="5"/>
  <c r="H12" i="8" s="1"/>
  <c r="AI25" i="6"/>
  <c r="AD25" i="6"/>
  <c r="Z32" i="6"/>
  <c r="Z33" i="6" s="1"/>
  <c r="S31" i="6"/>
  <c r="T31" i="6"/>
  <c r="H7" i="8"/>
  <c r="L36" i="8"/>
  <c r="L31" i="8"/>
  <c r="L26" i="8"/>
  <c r="L21" i="8"/>
  <c r="L16" i="8"/>
  <c r="L11" i="8"/>
  <c r="L6" i="8"/>
  <c r="E3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J93" i="7"/>
  <c r="K92" i="7"/>
  <c r="J92" i="7"/>
  <c r="K91" i="7"/>
  <c r="J91" i="7"/>
  <c r="K90" i="7"/>
  <c r="J90" i="7"/>
  <c r="K89" i="7"/>
  <c r="J89" i="7"/>
  <c r="J94" i="7" s="1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M62" i="7"/>
  <c r="L62" i="7"/>
  <c r="I62" i="7"/>
  <c r="H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J38" i="7"/>
  <c r="A38" i="7"/>
  <c r="K37" i="7"/>
  <c r="J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L31" i="7"/>
  <c r="M30" i="7"/>
  <c r="M31" i="7" s="1"/>
  <c r="L30" i="7"/>
  <c r="I30" i="7"/>
  <c r="I31" i="7" s="1"/>
  <c r="H30" i="7"/>
  <c r="H31" i="7" s="1"/>
  <c r="S31" i="7" s="1"/>
  <c r="H2" i="8" s="1"/>
  <c r="K29" i="7"/>
  <c r="J29" i="7"/>
  <c r="K28" i="7"/>
  <c r="J28" i="7"/>
  <c r="K27" i="7"/>
  <c r="J27" i="7"/>
  <c r="K26" i="7"/>
  <c r="J26" i="7"/>
  <c r="AH25" i="7"/>
  <c r="T25" i="7"/>
  <c r="T26" i="7" s="1"/>
  <c r="S25" i="7"/>
  <c r="S26" i="7" s="1"/>
  <c r="R25" i="7"/>
  <c r="R26" i="7" s="1"/>
  <c r="K25" i="7"/>
  <c r="J25" i="7"/>
  <c r="J24" i="7"/>
  <c r="K23" i="7"/>
  <c r="J23" i="7"/>
  <c r="AR22" i="7"/>
  <c r="AQ22" i="7"/>
  <c r="AG25" i="7" s="1"/>
  <c r="AP22" i="7"/>
  <c r="AF25" i="7" s="1"/>
  <c r="AG22" i="7"/>
  <c r="AF22" i="7"/>
  <c r="AE22" i="7"/>
  <c r="AE25" i="7" s="1"/>
  <c r="K22" i="7"/>
  <c r="J22" i="7"/>
  <c r="K21" i="7"/>
  <c r="J21" i="7"/>
  <c r="K20" i="7"/>
  <c r="J20" i="7"/>
  <c r="K19" i="7"/>
  <c r="J19" i="7"/>
  <c r="J18" i="7"/>
  <c r="K17" i="7"/>
  <c r="J17" i="7"/>
  <c r="K16" i="7"/>
  <c r="J16" i="7"/>
  <c r="U15" i="7"/>
  <c r="K15" i="7"/>
  <c r="U14" i="7"/>
  <c r="K14" i="7"/>
  <c r="J14" i="7"/>
  <c r="U13" i="7"/>
  <c r="K13" i="7"/>
  <c r="J13" i="7"/>
  <c r="U12" i="7"/>
  <c r="K12" i="7"/>
  <c r="J12" i="7"/>
  <c r="U11" i="7"/>
  <c r="K11" i="7"/>
  <c r="J11" i="7"/>
  <c r="U10" i="7"/>
  <c r="K10" i="7"/>
  <c r="J10" i="7"/>
  <c r="U9" i="7"/>
  <c r="K9" i="7"/>
  <c r="J9" i="7"/>
  <c r="U8" i="7"/>
  <c r="K8" i="7"/>
  <c r="J8" i="7"/>
  <c r="U7" i="7"/>
  <c r="K7" i="7"/>
  <c r="J7" i="7"/>
  <c r="U6" i="7"/>
  <c r="U5" i="7"/>
  <c r="K5" i="7"/>
  <c r="A34" i="7"/>
  <c r="A66" i="7" s="1"/>
  <c r="E34" i="8"/>
  <c r="E33" i="8"/>
  <c r="E32" i="8"/>
  <c r="E24" i="8"/>
  <c r="E23" i="8"/>
  <c r="E22" i="8"/>
  <c r="E9" i="8"/>
  <c r="E8" i="8"/>
  <c r="E7" i="8"/>
  <c r="E36" i="8" l="1"/>
  <c r="R16" i="2"/>
  <c r="C32" i="2"/>
  <c r="O32" i="2" s="1"/>
  <c r="L33" i="8" s="1"/>
  <c r="H35" i="8"/>
  <c r="R16" i="3"/>
  <c r="E26" i="8"/>
  <c r="S31" i="3"/>
  <c r="H22" i="8" s="1"/>
  <c r="C32" i="3"/>
  <c r="N32" i="3" s="1"/>
  <c r="T31" i="4"/>
  <c r="J31" i="4"/>
  <c r="Z32" i="4"/>
  <c r="Z33" i="4" s="1"/>
  <c r="K31" i="4"/>
  <c r="S16" i="4"/>
  <c r="S16" i="5"/>
  <c r="S32" i="5"/>
  <c r="H13" i="8" s="1"/>
  <c r="T31" i="5"/>
  <c r="E11" i="8"/>
  <c r="R16" i="6"/>
  <c r="C32" i="6"/>
  <c r="O32" i="6" s="1"/>
  <c r="L8" i="8" s="1"/>
  <c r="J30" i="7"/>
  <c r="S32" i="7"/>
  <c r="H3" i="8" s="1"/>
  <c r="K30" i="7"/>
  <c r="U25" i="1"/>
  <c r="T16" i="1"/>
  <c r="K32" i="1"/>
  <c r="P32" i="1"/>
  <c r="O32" i="1"/>
  <c r="N32" i="1"/>
  <c r="Q32" i="1"/>
  <c r="C32" i="5"/>
  <c r="Q32" i="5" s="1"/>
  <c r="Z45" i="8"/>
  <c r="E21" i="8"/>
  <c r="E16" i="8"/>
  <c r="H15" i="8"/>
  <c r="U16" i="7"/>
  <c r="E6" i="8" s="1"/>
  <c r="J62" i="7"/>
  <c r="K62" i="7"/>
  <c r="Q7" i="8"/>
  <c r="Q32" i="8"/>
  <c r="Q22" i="8"/>
  <c r="Q17" i="8"/>
  <c r="Q12" i="8"/>
  <c r="H10" i="8"/>
  <c r="AI25" i="7"/>
  <c r="AD25" i="7"/>
  <c r="Z32" i="7"/>
  <c r="Z33" i="7" s="1"/>
  <c r="T31" i="7"/>
  <c r="T16" i="2" l="1"/>
  <c r="P32" i="2"/>
  <c r="K32" i="2"/>
  <c r="Q32" i="2"/>
  <c r="L35" i="8" s="1"/>
  <c r="U25" i="2"/>
  <c r="N32" i="2"/>
  <c r="L32" i="8" s="1"/>
  <c r="O32" i="3"/>
  <c r="L23" i="8" s="1"/>
  <c r="K32" i="3"/>
  <c r="T16" i="3"/>
  <c r="U25" i="3"/>
  <c r="Q32" i="3"/>
  <c r="L25" i="8" s="1"/>
  <c r="P32" i="3"/>
  <c r="L24" i="8" s="1"/>
  <c r="C32" i="4"/>
  <c r="O32" i="4" s="1"/>
  <c r="K32" i="4"/>
  <c r="K32" i="6"/>
  <c r="T16" i="6"/>
  <c r="Q32" i="6"/>
  <c r="L10" i="8" s="1"/>
  <c r="U25" i="6"/>
  <c r="N32" i="6"/>
  <c r="L7" i="8" s="1"/>
  <c r="P32" i="6"/>
  <c r="L9" i="8" s="1"/>
  <c r="K32" i="5"/>
  <c r="T16" i="5"/>
  <c r="U25" i="5"/>
  <c r="O32" i="5"/>
  <c r="N32" i="5"/>
  <c r="P32" i="5"/>
  <c r="H19" i="8"/>
  <c r="H20" i="8"/>
  <c r="U45" i="8"/>
  <c r="Z49" i="8" s="1"/>
  <c r="R16" i="7"/>
  <c r="S16" i="7"/>
  <c r="J31" i="7"/>
  <c r="O41" i="8" s="1"/>
  <c r="K31" i="7"/>
  <c r="T41" i="8" s="1"/>
  <c r="L34" i="8"/>
  <c r="H25" i="8"/>
  <c r="H24" i="8"/>
  <c r="L22" i="8"/>
  <c r="H14" i="8"/>
  <c r="H9" i="8"/>
  <c r="V7" i="8" s="1"/>
  <c r="E30" i="8"/>
  <c r="E29" i="8"/>
  <c r="E28" i="8"/>
  <c r="E27" i="8"/>
  <c r="Q32" i="4" l="1"/>
  <c r="P32" i="4"/>
  <c r="T16" i="4"/>
  <c r="U25" i="4"/>
  <c r="N32" i="4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V2" i="8" l="1"/>
  <c r="AA2" i="8" s="1"/>
  <c r="A45" i="8"/>
  <c r="V32" i="8"/>
  <c r="AA32" i="8" s="1"/>
  <c r="V22" i="8"/>
  <c r="AA22" i="8" s="1"/>
  <c r="V17" i="8"/>
  <c r="AA17" i="8" s="1"/>
  <c r="V12" i="8"/>
  <c r="AA12" i="8" s="1"/>
  <c r="L5" i="8"/>
  <c r="L4" i="8"/>
  <c r="L2" i="8"/>
  <c r="L3" i="8"/>
  <c r="AA7" i="8" l="1"/>
  <c r="P45" i="8"/>
  <c r="K45" i="8"/>
  <c r="F45" i="8" l="1"/>
  <c r="V27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<sst xmlns="http://schemas.openxmlformats.org/spreadsheetml/2006/main" count="1723" uniqueCount="401">
  <si>
    <t>B2 Daily Report</t>
    <phoneticPr fontId="3" type="noConversion"/>
  </si>
  <si>
    <t>27-12-2021</t>
    <phoneticPr fontId="3" type="noConversion"/>
  </si>
  <si>
    <t>WEATHER</t>
    <phoneticPr fontId="3" type="noConversion"/>
  </si>
  <si>
    <t>CLOUDY</t>
    <phoneticPr fontId="3" type="noConversion"/>
  </si>
  <si>
    <t>REPORT BY</t>
    <phoneticPr fontId="3" type="noConversion"/>
  </si>
  <si>
    <t>JOHN</t>
    <phoneticPr fontId="3" type="noConversion"/>
  </si>
  <si>
    <t>TOTAL STAFF</t>
    <phoneticPr fontId="3" type="noConversion"/>
  </si>
  <si>
    <t>Merchant machine usage at B2</t>
  </si>
  <si>
    <t>Settle amount</t>
  </si>
  <si>
    <t>Merchant machine usage at GA</t>
  </si>
  <si>
    <t xml:space="preserve"> </t>
  </si>
  <si>
    <t>No</t>
  </si>
  <si>
    <t>Docket No</t>
    <phoneticPr fontId="3" type="noConversion"/>
  </si>
  <si>
    <t>Reg No</t>
  </si>
  <si>
    <t>Mobile</t>
    <phoneticPr fontId="3" type="noConversion"/>
  </si>
  <si>
    <t>Gender</t>
    <phoneticPr fontId="3" type="noConversion"/>
  </si>
  <si>
    <t>TIME</t>
    <phoneticPr fontId="3" type="noConversion"/>
  </si>
  <si>
    <t>Service</t>
  </si>
  <si>
    <t>CASH</t>
    <phoneticPr fontId="3" type="noConversion"/>
  </si>
  <si>
    <t>CARD</t>
    <phoneticPr fontId="3" type="noConversion"/>
  </si>
  <si>
    <t>RSL</t>
    <phoneticPr fontId="3" type="noConversion"/>
  </si>
  <si>
    <t>GV</t>
    <phoneticPr fontId="3" type="noConversion"/>
  </si>
  <si>
    <t>GV CASH</t>
    <phoneticPr fontId="3" type="noConversion"/>
  </si>
  <si>
    <t>GV CARD</t>
    <phoneticPr fontId="3" type="noConversion"/>
  </si>
  <si>
    <t>O/Taker</t>
  </si>
  <si>
    <t xml:space="preserve"> Comment</t>
  </si>
  <si>
    <t>NAME</t>
    <phoneticPr fontId="3" type="noConversion"/>
  </si>
  <si>
    <t>Time In</t>
  </si>
  <si>
    <t>Time out</t>
  </si>
  <si>
    <t>Total Hours</t>
    <phoneticPr fontId="3" type="noConversion"/>
  </si>
  <si>
    <t>B2 machine</t>
  </si>
  <si>
    <t>BLH machine</t>
  </si>
  <si>
    <t>Wongo</t>
  </si>
  <si>
    <t>GA machine</t>
  </si>
  <si>
    <t>BSD55R</t>
    <phoneticPr fontId="3" type="noConversion"/>
  </si>
  <si>
    <t>0432713177</t>
    <phoneticPr fontId="3" type="noConversion"/>
  </si>
  <si>
    <t>M</t>
    <phoneticPr fontId="3" type="noConversion"/>
  </si>
  <si>
    <t>202110155-0069</t>
    <phoneticPr fontId="3" type="noConversion"/>
  </si>
  <si>
    <t>NOV</t>
    <phoneticPr fontId="3" type="noConversion"/>
  </si>
  <si>
    <t>VV2888</t>
    <phoneticPr fontId="3" type="noConversion"/>
  </si>
  <si>
    <t>0408844728</t>
    <phoneticPr fontId="3" type="noConversion"/>
  </si>
  <si>
    <t>F</t>
    <phoneticPr fontId="3" type="noConversion"/>
  </si>
  <si>
    <t>PCS</t>
    <phoneticPr fontId="3" type="noConversion"/>
  </si>
  <si>
    <t>21 1206 7(1/6)</t>
    <phoneticPr fontId="3" type="noConversion"/>
  </si>
  <si>
    <t>HENDRA</t>
    <phoneticPr fontId="3" type="noConversion"/>
  </si>
  <si>
    <t>CTC76B</t>
    <phoneticPr fontId="3" type="noConversion"/>
  </si>
  <si>
    <t>0432830193</t>
    <phoneticPr fontId="3" type="noConversion"/>
  </si>
  <si>
    <t>X</t>
    <phoneticPr fontId="3" type="noConversion"/>
  </si>
  <si>
    <t>ARIANTO</t>
    <phoneticPr fontId="3" type="noConversion"/>
  </si>
  <si>
    <t>AJZ37W</t>
    <phoneticPr fontId="3" type="noConversion"/>
  </si>
  <si>
    <t>0407770517</t>
    <phoneticPr fontId="3" type="noConversion"/>
  </si>
  <si>
    <t>H</t>
    <phoneticPr fontId="3" type="noConversion"/>
  </si>
  <si>
    <t>ANTHONY</t>
    <phoneticPr fontId="3" type="noConversion"/>
  </si>
  <si>
    <t>YGH08Q</t>
    <phoneticPr fontId="3" type="noConversion"/>
  </si>
  <si>
    <t>0405231668</t>
    <phoneticPr fontId="3" type="noConversion"/>
  </si>
  <si>
    <t>BRIAN</t>
    <phoneticPr fontId="3" type="noConversion"/>
  </si>
  <si>
    <t>EXCL RSL</t>
    <phoneticPr fontId="3" type="noConversion"/>
  </si>
  <si>
    <t>DPR76B</t>
    <phoneticPr fontId="3" type="noConversion"/>
  </si>
  <si>
    <t>0401725286</t>
    <phoneticPr fontId="3" type="noConversion"/>
  </si>
  <si>
    <t>W/O</t>
    <phoneticPr fontId="3" type="noConversion"/>
  </si>
  <si>
    <t>HEATHER</t>
    <phoneticPr fontId="3" type="noConversion"/>
  </si>
  <si>
    <t>CY69SK</t>
    <phoneticPr fontId="3" type="noConversion"/>
  </si>
  <si>
    <t>0433922025</t>
    <phoneticPr fontId="3" type="noConversion"/>
  </si>
  <si>
    <t>JAIKE</t>
    <phoneticPr fontId="3" type="noConversion"/>
  </si>
  <si>
    <t>NCB29M</t>
    <phoneticPr fontId="3" type="noConversion"/>
  </si>
  <si>
    <t>0424100321</t>
    <phoneticPr fontId="3" type="noConversion"/>
  </si>
  <si>
    <t>W/H</t>
    <phoneticPr fontId="3" type="noConversion"/>
  </si>
  <si>
    <t>DYLAN</t>
    <phoneticPr fontId="3" type="noConversion"/>
  </si>
  <si>
    <t>HD093</t>
    <phoneticPr fontId="3" type="noConversion"/>
  </si>
  <si>
    <t>0413750778</t>
    <phoneticPr fontId="3" type="noConversion"/>
  </si>
  <si>
    <t>D</t>
    <phoneticPr fontId="3" type="noConversion"/>
  </si>
  <si>
    <t>ARI025</t>
    <phoneticPr fontId="3" type="noConversion"/>
  </si>
  <si>
    <t>0415600925</t>
    <phoneticPr fontId="3" type="noConversion"/>
  </si>
  <si>
    <t>DVY62V</t>
    <phoneticPr fontId="3" type="noConversion"/>
  </si>
  <si>
    <t>0403646293</t>
    <phoneticPr fontId="3" type="noConversion"/>
  </si>
  <si>
    <t>H/ID</t>
    <phoneticPr fontId="3" type="noConversion"/>
  </si>
  <si>
    <t>LAZ213</t>
    <phoneticPr fontId="3" type="noConversion"/>
  </si>
  <si>
    <t>0433908207</t>
    <phoneticPr fontId="3" type="noConversion"/>
  </si>
  <si>
    <t>MS0007</t>
    <phoneticPr fontId="3" type="noConversion"/>
  </si>
  <si>
    <t>0422982196</t>
    <phoneticPr fontId="3" type="noConversion"/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</si>
  <si>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</si>
  <si>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</si>
  <si>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</si>
  <si>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</si>
  <si>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WEI11H</t>
    <phoneticPr fontId="3" type="noConversion"/>
  </si>
  <si>
    <t>0403575606</t>
    <phoneticPr fontId="3" type="noConversion"/>
  </si>
  <si>
    <t>ITEM</t>
    <phoneticPr fontId="3" type="noConversion"/>
  </si>
  <si>
    <t>QTY</t>
  </si>
  <si>
    <t>AMT</t>
  </si>
  <si>
    <t>RMKS</t>
    <phoneticPr fontId="3" type="noConversion"/>
  </si>
  <si>
    <t>YHF37X</t>
    <phoneticPr fontId="3" type="noConversion"/>
  </si>
  <si>
    <t>0451355700</t>
    <phoneticPr fontId="3" type="noConversion"/>
  </si>
  <si>
    <t>EKW84F</t>
    <phoneticPr fontId="3" type="noConversion"/>
  </si>
  <si>
    <t>0421616797</t>
    <phoneticPr fontId="3" type="noConversion"/>
  </si>
  <si>
    <t>EFM888</t>
    <phoneticPr fontId="3" type="noConversion"/>
  </si>
  <si>
    <t>0416007999</t>
    <phoneticPr fontId="3" type="noConversion"/>
  </si>
  <si>
    <t>BY00HI</t>
    <phoneticPr fontId="3" type="noConversion"/>
  </si>
  <si>
    <t>0405744445</t>
    <phoneticPr fontId="3" type="noConversion"/>
  </si>
  <si>
    <t>Total</t>
  </si>
  <si>
    <t>EIB12Z</t>
    <phoneticPr fontId="3" type="noConversion"/>
  </si>
  <si>
    <t>0411193318</t>
    <phoneticPr fontId="3" type="noConversion"/>
  </si>
  <si>
    <t>DPN53L</t>
    <phoneticPr fontId="3" type="noConversion"/>
  </si>
  <si>
    <t>0450777677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</si>
  <si>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</si>
  <si>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</si>
  <si>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</si>
  <si>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</si>
  <si>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B2/GA TOTAL</t>
  </si>
  <si>
    <t>Wongo machine</t>
  </si>
  <si>
    <t>Sub total</t>
  </si>
  <si>
    <t>EEW84X</t>
    <phoneticPr fontId="3" type="noConversion"/>
  </si>
  <si>
    <t>0474547141</t>
    <phoneticPr fontId="3" type="noConversion"/>
  </si>
  <si>
    <t>DPZ55H</t>
    <phoneticPr fontId="3" type="noConversion"/>
  </si>
  <si>
    <t>0413293377</t>
    <phoneticPr fontId="3" type="noConversion"/>
  </si>
  <si>
    <t>Branch cards</t>
  </si>
  <si>
    <t>DGE78X</t>
    <phoneticPr fontId="3" type="noConversion"/>
  </si>
  <si>
    <t>0430111860</t>
    <phoneticPr fontId="3" type="noConversion"/>
  </si>
  <si>
    <t>GV3</t>
    <phoneticPr fontId="3" type="noConversion"/>
  </si>
  <si>
    <t>202755(6/6)</t>
    <phoneticPr fontId="3" type="noConversion"/>
  </si>
  <si>
    <t>Expense</t>
    <phoneticPr fontId="3" type="noConversion"/>
  </si>
  <si>
    <t xml:space="preserve"> </t>
    <phoneticPr fontId="3" type="noConversion"/>
  </si>
  <si>
    <t>EBL60Y</t>
    <phoneticPr fontId="3" type="noConversion"/>
  </si>
  <si>
    <t>0435111531</t>
    <phoneticPr fontId="3" type="noConversion"/>
  </si>
  <si>
    <t>EPG36F</t>
    <phoneticPr fontId="3" type="noConversion"/>
  </si>
  <si>
    <t>04312209212</t>
    <phoneticPr fontId="3" type="noConversion"/>
  </si>
  <si>
    <t>Page total</t>
    <phoneticPr fontId="3" type="noConversion"/>
  </si>
  <si>
    <t>CASH</t>
  </si>
  <si>
    <t>Daily Total</t>
  </si>
  <si>
    <t>CASH CLOSING</t>
    <phoneticPr fontId="3" type="noConversion"/>
  </si>
  <si>
    <t>Subtotal</t>
    <phoneticPr fontId="3" type="noConversion"/>
  </si>
  <si>
    <t>TOTAL SALES</t>
    <phoneticPr fontId="3" type="noConversion"/>
  </si>
  <si>
    <t>No of Cars</t>
    <phoneticPr fontId="3" type="noConversion"/>
  </si>
  <si>
    <t>Average</t>
    <phoneticPr fontId="3" type="noConversion"/>
  </si>
  <si>
    <t>CARD CLOSING</t>
    <phoneticPr fontId="3" type="noConversion"/>
  </si>
  <si>
    <t>B2 card</t>
    <phoneticPr fontId="3" type="noConversion"/>
  </si>
  <si>
    <t>Daily Report</t>
    <phoneticPr fontId="3" type="noConversion"/>
  </si>
  <si>
    <t>Settlement</t>
    <phoneticPr fontId="3" type="noConversion"/>
  </si>
  <si>
    <t>REPORT by</t>
    <phoneticPr fontId="3" type="noConversion"/>
  </si>
  <si>
    <t>Page: 2</t>
  </si>
  <si>
    <t>Page: 3</t>
    <phoneticPr fontId="3" type="noConversion"/>
  </si>
  <si>
    <t>28-12-2021</t>
    <phoneticPr fontId="3" type="noConversion"/>
  </si>
  <si>
    <t>SHOWER</t>
    <phoneticPr fontId="3" type="noConversion"/>
  </si>
  <si>
    <t>DNX31G</t>
    <phoneticPr fontId="3" type="noConversion"/>
  </si>
  <si>
    <t>0457850786</t>
    <phoneticPr fontId="3" type="noConversion"/>
  </si>
  <si>
    <t>OJE001</t>
    <phoneticPr fontId="3" type="noConversion"/>
  </si>
  <si>
    <t>0424384598</t>
    <phoneticPr fontId="3" type="noConversion"/>
  </si>
  <si>
    <t>PCM</t>
    <phoneticPr fontId="3" type="noConversion"/>
  </si>
  <si>
    <t>21010(4/6)</t>
    <phoneticPr fontId="3" type="noConversion"/>
  </si>
  <si>
    <t>DMJ80B</t>
    <phoneticPr fontId="3" type="noConversion"/>
  </si>
  <si>
    <t>0425302563</t>
    <phoneticPr fontId="3" type="noConversion"/>
  </si>
  <si>
    <t>CD60AQ</t>
    <phoneticPr fontId="3" type="noConversion"/>
  </si>
  <si>
    <t>0422921731</t>
    <phoneticPr fontId="3" type="noConversion"/>
  </si>
  <si>
    <t>GV1</t>
    <phoneticPr fontId="3" type="noConversion"/>
  </si>
  <si>
    <t>202896(4/6)</t>
    <phoneticPr fontId="3" type="noConversion"/>
  </si>
  <si>
    <t>DGC27X</t>
    <phoneticPr fontId="3" type="noConversion"/>
  </si>
  <si>
    <t>0406344444</t>
    <phoneticPr fontId="3" type="noConversion"/>
  </si>
  <si>
    <t>KUROSH</t>
    <phoneticPr fontId="3" type="noConversion"/>
  </si>
  <si>
    <t>IDR11L</t>
    <phoneticPr fontId="3" type="noConversion"/>
  </si>
  <si>
    <t>0416105510</t>
    <phoneticPr fontId="3" type="noConversion"/>
  </si>
  <si>
    <t>DYIAN</t>
    <phoneticPr fontId="3" type="noConversion"/>
  </si>
  <si>
    <t>EDJ82Y</t>
    <phoneticPr fontId="3" type="noConversion"/>
  </si>
  <si>
    <t>0412455977</t>
    <phoneticPr fontId="3" type="noConversion"/>
  </si>
  <si>
    <t>BEN</t>
    <phoneticPr fontId="3" type="noConversion"/>
  </si>
  <si>
    <t>NCC40N</t>
    <phoneticPr fontId="3" type="noConversion"/>
  </si>
  <si>
    <t>0405383215</t>
    <phoneticPr fontId="3" type="noConversion"/>
  </si>
  <si>
    <t>DME16L</t>
    <phoneticPr fontId="3" type="noConversion"/>
  </si>
  <si>
    <t>0452664818</t>
    <phoneticPr fontId="3" type="noConversion"/>
  </si>
  <si>
    <t>202110148 BOOKING</t>
    <phoneticPr fontId="3" type="noConversion"/>
  </si>
  <si>
    <t>NBF46G</t>
    <phoneticPr fontId="3" type="noConversion"/>
  </si>
  <si>
    <t>29-12-2021</t>
    <phoneticPr fontId="3" type="noConversion"/>
  </si>
  <si>
    <t>RAIN</t>
    <phoneticPr fontId="3" type="noConversion"/>
  </si>
  <si>
    <t>CIQ02X</t>
    <phoneticPr fontId="3" type="noConversion"/>
  </si>
  <si>
    <t>0448220141</t>
    <phoneticPr fontId="3" type="noConversion"/>
  </si>
  <si>
    <t>EJO88U</t>
    <phoneticPr fontId="3" type="noConversion"/>
  </si>
  <si>
    <t>0491126888</t>
    <phoneticPr fontId="3" type="noConversion"/>
  </si>
  <si>
    <t>COG95U</t>
    <phoneticPr fontId="3" type="noConversion"/>
  </si>
  <si>
    <t>0414526397</t>
    <phoneticPr fontId="3" type="noConversion"/>
  </si>
  <si>
    <t>D/ST</t>
    <phoneticPr fontId="3" type="noConversion"/>
  </si>
  <si>
    <t>EPL79X</t>
    <phoneticPr fontId="3" type="noConversion"/>
  </si>
  <si>
    <t>0406990710</t>
    <phoneticPr fontId="3" type="noConversion"/>
  </si>
  <si>
    <t>DXQ06V</t>
    <phoneticPr fontId="3" type="noConversion"/>
  </si>
  <si>
    <t>0452100618</t>
    <phoneticPr fontId="3" type="noConversion"/>
  </si>
  <si>
    <t>202990(4/6)</t>
    <phoneticPr fontId="3" type="noConversion"/>
  </si>
  <si>
    <t>BWW05M</t>
    <phoneticPr fontId="3" type="noConversion"/>
  </si>
  <si>
    <t>0490115322</t>
    <phoneticPr fontId="3" type="noConversion"/>
  </si>
  <si>
    <t>D/ID</t>
    <phoneticPr fontId="3" type="noConversion"/>
  </si>
  <si>
    <t>ERIC</t>
    <phoneticPr fontId="3" type="noConversion"/>
  </si>
  <si>
    <t>EHI71H</t>
    <phoneticPr fontId="3" type="noConversion"/>
  </si>
  <si>
    <t>0431499861</t>
    <phoneticPr fontId="3" type="noConversion"/>
  </si>
  <si>
    <t>CQB54T</t>
    <phoneticPr fontId="3" type="noConversion"/>
  </si>
  <si>
    <t>0425774597</t>
    <phoneticPr fontId="3" type="noConversion"/>
  </si>
  <si>
    <t>NXN75J</t>
    <phoneticPr fontId="3" type="noConversion"/>
  </si>
  <si>
    <t>0416411067</t>
    <phoneticPr fontId="3" type="noConversion"/>
  </si>
  <si>
    <t>TAX</t>
    <phoneticPr fontId="3" type="noConversion"/>
  </si>
  <si>
    <t>MT828</t>
    <phoneticPr fontId="3" type="noConversion"/>
  </si>
  <si>
    <t>0424716099</t>
    <phoneticPr fontId="3" type="noConversion"/>
  </si>
  <si>
    <t>DCC04F</t>
    <phoneticPr fontId="3" type="noConversion"/>
  </si>
  <si>
    <t>0411286000</t>
    <phoneticPr fontId="3" type="noConversion"/>
  </si>
  <si>
    <t>EDW12A</t>
    <phoneticPr fontId="3" type="noConversion"/>
  </si>
  <si>
    <t>0408154078</t>
    <phoneticPr fontId="3" type="noConversion"/>
  </si>
  <si>
    <t>DPU85G</t>
    <phoneticPr fontId="3" type="noConversion"/>
  </si>
  <si>
    <t>0409366808</t>
    <phoneticPr fontId="3" type="noConversion"/>
  </si>
  <si>
    <t>DDK05X</t>
    <phoneticPr fontId="3" type="noConversion"/>
  </si>
  <si>
    <t>0410212858</t>
    <phoneticPr fontId="3" type="noConversion"/>
  </si>
  <si>
    <t>H/ST</t>
    <phoneticPr fontId="3" type="noConversion"/>
  </si>
  <si>
    <t>DNW68E</t>
    <phoneticPr fontId="3" type="noConversion"/>
  </si>
  <si>
    <t>0411643574</t>
    <phoneticPr fontId="3" type="noConversion"/>
  </si>
  <si>
    <t>30-12-2021</t>
    <phoneticPr fontId="3" type="noConversion"/>
  </si>
  <si>
    <t>SUNNY</t>
    <phoneticPr fontId="3" type="noConversion"/>
  </si>
  <si>
    <t>EOI30W</t>
    <phoneticPr fontId="3" type="noConversion"/>
  </si>
  <si>
    <t>0418432402</t>
    <phoneticPr fontId="3" type="noConversion"/>
  </si>
  <si>
    <t>202110105-07</t>
    <phoneticPr fontId="3" type="noConversion"/>
  </si>
  <si>
    <t>EKX62Y</t>
    <phoneticPr fontId="3" type="noConversion"/>
  </si>
  <si>
    <t>0431128666</t>
    <phoneticPr fontId="3" type="noConversion"/>
  </si>
  <si>
    <t>TAY11P</t>
    <phoneticPr fontId="3" type="noConversion"/>
  </si>
  <si>
    <t>0401399378</t>
    <phoneticPr fontId="3" type="noConversion"/>
  </si>
  <si>
    <t>EBR55B</t>
    <phoneticPr fontId="3" type="noConversion"/>
  </si>
  <si>
    <t>0413519587</t>
    <phoneticPr fontId="3" type="noConversion"/>
  </si>
  <si>
    <t>DZC70W</t>
    <phoneticPr fontId="3" type="noConversion"/>
  </si>
  <si>
    <t>0402919656</t>
    <phoneticPr fontId="3" type="noConversion"/>
  </si>
  <si>
    <t>REEVA</t>
    <phoneticPr fontId="3" type="noConversion"/>
  </si>
  <si>
    <t>NCA82M</t>
    <phoneticPr fontId="3" type="noConversion"/>
  </si>
  <si>
    <t>0439988228</t>
    <phoneticPr fontId="3" type="noConversion"/>
  </si>
  <si>
    <t>PCL</t>
    <phoneticPr fontId="3" type="noConversion"/>
  </si>
  <si>
    <t>21 1206 8(1/6)</t>
    <phoneticPr fontId="3" type="noConversion"/>
  </si>
  <si>
    <t>BB88YM</t>
    <phoneticPr fontId="3" type="noConversion"/>
  </si>
  <si>
    <t>0426464093</t>
    <phoneticPr fontId="3" type="noConversion"/>
  </si>
  <si>
    <t>DBH93U</t>
    <phoneticPr fontId="3" type="noConversion"/>
  </si>
  <si>
    <t>0425108815</t>
    <phoneticPr fontId="3" type="noConversion"/>
  </si>
  <si>
    <t>202831(5/6)</t>
    <phoneticPr fontId="3" type="noConversion"/>
  </si>
  <si>
    <t>IF332</t>
    <phoneticPr fontId="3" type="noConversion"/>
  </si>
  <si>
    <t>0407605130</t>
    <phoneticPr fontId="3" type="noConversion"/>
  </si>
  <si>
    <t>21041 (5/6)</t>
    <phoneticPr fontId="3" type="noConversion"/>
  </si>
  <si>
    <t>JADAN</t>
    <phoneticPr fontId="3" type="noConversion"/>
  </si>
  <si>
    <t>JCL138</t>
    <phoneticPr fontId="3" type="noConversion"/>
  </si>
  <si>
    <t>0406120826</t>
    <phoneticPr fontId="3" type="noConversion"/>
  </si>
  <si>
    <t>PUNEET</t>
    <phoneticPr fontId="3" type="noConversion"/>
  </si>
  <si>
    <t>CDS89H</t>
    <phoneticPr fontId="3" type="noConversion"/>
  </si>
  <si>
    <t>0447514956</t>
    <phoneticPr fontId="3" type="noConversion"/>
  </si>
  <si>
    <t>DQE41V</t>
    <phoneticPr fontId="3" type="noConversion"/>
  </si>
  <si>
    <t>0416819999</t>
    <phoneticPr fontId="3" type="noConversion"/>
  </si>
  <si>
    <t>EJC97V</t>
    <phoneticPr fontId="3" type="noConversion"/>
  </si>
  <si>
    <t>0417246611</t>
    <phoneticPr fontId="3" type="noConversion"/>
  </si>
  <si>
    <t>DYH87A</t>
    <phoneticPr fontId="3" type="noConversion"/>
  </si>
  <si>
    <t>0405831846</t>
    <phoneticPr fontId="3" type="noConversion"/>
  </si>
  <si>
    <t>DBL55X</t>
    <phoneticPr fontId="3" type="noConversion"/>
  </si>
  <si>
    <t>0415946389</t>
    <phoneticPr fontId="3" type="noConversion"/>
  </si>
  <si>
    <t>CWG84W</t>
    <phoneticPr fontId="3" type="noConversion"/>
  </si>
  <si>
    <t>0449263202</t>
    <phoneticPr fontId="3" type="noConversion"/>
  </si>
  <si>
    <t>CTI91Q</t>
    <phoneticPr fontId="3" type="noConversion"/>
  </si>
  <si>
    <t>0421992456</t>
    <phoneticPr fontId="3" type="noConversion"/>
  </si>
  <si>
    <t>DQP96N</t>
    <phoneticPr fontId="3" type="noConversion"/>
  </si>
  <si>
    <t>0411039673</t>
    <phoneticPr fontId="3" type="noConversion"/>
  </si>
  <si>
    <t>AMF10V</t>
    <phoneticPr fontId="3" type="noConversion"/>
  </si>
  <si>
    <t>21010 (5/6)</t>
    <phoneticPr fontId="3" type="noConversion"/>
  </si>
  <si>
    <t>DQX59E</t>
    <phoneticPr fontId="3" type="noConversion"/>
  </si>
  <si>
    <t>0412220066</t>
    <phoneticPr fontId="3" type="noConversion"/>
  </si>
  <si>
    <t>VG238</t>
    <phoneticPr fontId="3" type="noConversion"/>
  </si>
  <si>
    <t>0418647580</t>
    <phoneticPr fontId="3" type="noConversion"/>
  </si>
  <si>
    <t>202719(6/6)</t>
    <phoneticPr fontId="3" type="noConversion"/>
  </si>
  <si>
    <t>TONG</t>
    <phoneticPr fontId="3" type="noConversion"/>
  </si>
  <si>
    <t>0433354745</t>
    <phoneticPr fontId="3" type="noConversion"/>
  </si>
  <si>
    <t>21045(4/6)</t>
    <phoneticPr fontId="3" type="noConversion"/>
  </si>
  <si>
    <t>CPV66N</t>
    <phoneticPr fontId="3" type="noConversion"/>
  </si>
  <si>
    <t>0410426355</t>
    <phoneticPr fontId="3" type="noConversion"/>
  </si>
  <si>
    <t>CN800</t>
    <phoneticPr fontId="3" type="noConversion"/>
  </si>
  <si>
    <t>0418882000</t>
    <phoneticPr fontId="3" type="noConversion"/>
  </si>
  <si>
    <t>48EIJ</t>
    <phoneticPr fontId="3" type="noConversion"/>
  </si>
  <si>
    <t>0402009887</t>
    <phoneticPr fontId="3" type="noConversion"/>
  </si>
  <si>
    <t>0425699228</t>
    <phoneticPr fontId="3" type="noConversion"/>
  </si>
  <si>
    <t>NDW022</t>
    <phoneticPr fontId="3" type="noConversion"/>
  </si>
  <si>
    <t>0448459711</t>
    <phoneticPr fontId="3" type="noConversion"/>
  </si>
  <si>
    <t>21038(2/6)</t>
    <phoneticPr fontId="3" type="noConversion"/>
  </si>
  <si>
    <t>NBP64C</t>
    <phoneticPr fontId="3" type="noConversion"/>
  </si>
  <si>
    <t>0432409115</t>
    <phoneticPr fontId="3" type="noConversion"/>
  </si>
  <si>
    <t>EME82P</t>
    <phoneticPr fontId="3" type="noConversion"/>
  </si>
  <si>
    <t>0433042651</t>
    <phoneticPr fontId="3" type="noConversion"/>
  </si>
  <si>
    <t>DJQ84A</t>
    <phoneticPr fontId="3" type="noConversion"/>
  </si>
  <si>
    <t>0431274841</t>
    <phoneticPr fontId="3" type="noConversion"/>
  </si>
  <si>
    <t>DZY04R</t>
    <phoneticPr fontId="3" type="noConversion"/>
  </si>
  <si>
    <t>0481215048</t>
    <phoneticPr fontId="3" type="noConversion"/>
  </si>
  <si>
    <t>202908 (6/6)</t>
    <phoneticPr fontId="3" type="noConversion"/>
  </si>
  <si>
    <t>BF23BR</t>
    <phoneticPr fontId="3" type="noConversion"/>
  </si>
  <si>
    <t>ENJ17Z</t>
    <phoneticPr fontId="3" type="noConversion"/>
  </si>
  <si>
    <t>0431246009</t>
    <phoneticPr fontId="3" type="noConversion"/>
  </si>
  <si>
    <t>21 1206 9 (NEW)</t>
    <phoneticPr fontId="3" type="noConversion"/>
  </si>
  <si>
    <t>CAD01D</t>
    <phoneticPr fontId="3" type="noConversion"/>
  </si>
  <si>
    <t>0432456469</t>
    <phoneticPr fontId="3" type="noConversion"/>
  </si>
  <si>
    <t>202903(2/6)</t>
    <phoneticPr fontId="3" type="noConversion"/>
  </si>
  <si>
    <t>DGA03B</t>
    <phoneticPr fontId="3" type="noConversion"/>
  </si>
  <si>
    <t>0423088065</t>
    <phoneticPr fontId="3" type="noConversion"/>
  </si>
  <si>
    <t>31-12-2021</t>
    <phoneticPr fontId="3" type="noConversion"/>
  </si>
  <si>
    <t>SKY1</t>
    <phoneticPr fontId="3" type="noConversion"/>
  </si>
  <si>
    <t>0431222111</t>
    <phoneticPr fontId="3" type="noConversion"/>
  </si>
  <si>
    <t>CLB30E</t>
    <phoneticPr fontId="3" type="noConversion"/>
  </si>
  <si>
    <t>0434022699</t>
    <phoneticPr fontId="3" type="noConversion"/>
  </si>
  <si>
    <t>SCOTT</t>
    <phoneticPr fontId="3" type="noConversion"/>
  </si>
  <si>
    <t>21020(4/6)</t>
    <phoneticPr fontId="3" type="noConversion"/>
  </si>
  <si>
    <t>YBR90K</t>
    <phoneticPr fontId="3" type="noConversion"/>
  </si>
  <si>
    <t>NCD66F</t>
    <phoneticPr fontId="3" type="noConversion"/>
  </si>
  <si>
    <t>0432675319</t>
    <phoneticPr fontId="3" type="noConversion"/>
  </si>
  <si>
    <t>EEB29R</t>
    <phoneticPr fontId="3" type="noConversion"/>
  </si>
  <si>
    <t>0408420023</t>
    <phoneticPr fontId="3" type="noConversion"/>
  </si>
  <si>
    <t>DSZ50S</t>
    <phoneticPr fontId="3" type="noConversion"/>
  </si>
  <si>
    <t>0402960833</t>
    <phoneticPr fontId="3" type="noConversion"/>
  </si>
  <si>
    <t>GV2</t>
    <phoneticPr fontId="3" type="noConversion"/>
  </si>
  <si>
    <t>202900(4/6)</t>
    <phoneticPr fontId="3" type="noConversion"/>
  </si>
  <si>
    <t>DTD97Y</t>
    <phoneticPr fontId="3" type="noConversion"/>
  </si>
  <si>
    <t>0406340211</t>
    <phoneticPr fontId="3" type="noConversion"/>
  </si>
  <si>
    <t>PAUL</t>
    <phoneticPr fontId="3" type="noConversion"/>
  </si>
  <si>
    <t>HOOPER</t>
    <phoneticPr fontId="3" type="noConversion"/>
  </si>
  <si>
    <t>0418628429</t>
    <phoneticPr fontId="3" type="noConversion"/>
  </si>
  <si>
    <t>CHRIS 2</t>
    <phoneticPr fontId="3" type="noConversion"/>
  </si>
  <si>
    <t>DTJ83X</t>
    <phoneticPr fontId="3" type="noConversion"/>
  </si>
  <si>
    <t>0406343162</t>
    <phoneticPr fontId="3" type="noConversion"/>
  </si>
  <si>
    <t>202110031-0064</t>
    <phoneticPr fontId="3" type="noConversion"/>
  </si>
  <si>
    <t>FORTUNY</t>
    <phoneticPr fontId="3" type="noConversion"/>
  </si>
  <si>
    <t>JCL139</t>
    <phoneticPr fontId="3" type="noConversion"/>
  </si>
  <si>
    <t>21026(4/6)</t>
    <phoneticPr fontId="3" type="noConversion"/>
  </si>
  <si>
    <t>EQN90D</t>
    <phoneticPr fontId="3" type="noConversion"/>
  </si>
  <si>
    <t>0416210816</t>
    <phoneticPr fontId="3" type="noConversion"/>
  </si>
  <si>
    <t>DFR91S</t>
    <phoneticPr fontId="3" type="noConversion"/>
  </si>
  <si>
    <t>0404416552</t>
    <phoneticPr fontId="3" type="noConversion"/>
  </si>
  <si>
    <t>EOF92U</t>
    <phoneticPr fontId="3" type="noConversion"/>
  </si>
  <si>
    <t>0431992199</t>
    <phoneticPr fontId="3" type="noConversion"/>
  </si>
  <si>
    <t>YIK16W</t>
    <phoneticPr fontId="3" type="noConversion"/>
  </si>
  <si>
    <t>0427233108</t>
    <phoneticPr fontId="3" type="noConversion"/>
  </si>
  <si>
    <t>DSN35B</t>
    <phoneticPr fontId="3" type="noConversion"/>
  </si>
  <si>
    <t>0413852689</t>
    <phoneticPr fontId="3" type="noConversion"/>
  </si>
  <si>
    <t>DD2222</t>
    <phoneticPr fontId="3" type="noConversion"/>
  </si>
  <si>
    <t>0409888822</t>
    <phoneticPr fontId="3" type="noConversion"/>
  </si>
  <si>
    <t>202778(5/6)</t>
    <phoneticPr fontId="3" type="noConversion"/>
  </si>
  <si>
    <t>DWD98B</t>
    <phoneticPr fontId="3" type="noConversion"/>
  </si>
  <si>
    <t>0411417818</t>
    <phoneticPr fontId="3" type="noConversion"/>
  </si>
  <si>
    <t>NBT65G</t>
    <phoneticPr fontId="3" type="noConversion"/>
  </si>
  <si>
    <t>0414523388</t>
    <phoneticPr fontId="3" type="noConversion"/>
  </si>
  <si>
    <t>BNK305</t>
    <phoneticPr fontId="3" type="noConversion"/>
  </si>
  <si>
    <t>0413306977</t>
    <phoneticPr fontId="3" type="noConversion"/>
  </si>
  <si>
    <t>01-01-2022</t>
    <phoneticPr fontId="3" type="noConversion"/>
  </si>
  <si>
    <t>02-01-2022</t>
    <phoneticPr fontId="3" type="noConversion"/>
  </si>
  <si>
    <t>EAL71V</t>
    <phoneticPr fontId="3" type="noConversion"/>
  </si>
  <si>
    <t>0477274807</t>
    <phoneticPr fontId="3" type="noConversion"/>
  </si>
  <si>
    <t>X/ID</t>
    <phoneticPr fontId="3" type="noConversion"/>
  </si>
  <si>
    <t>DZL16P</t>
    <phoneticPr fontId="3" type="noConversion"/>
  </si>
  <si>
    <t>0411950042</t>
    <phoneticPr fontId="3" type="noConversion"/>
  </si>
  <si>
    <t>NBR79S</t>
    <phoneticPr fontId="3" type="noConversion"/>
  </si>
  <si>
    <t>0418675164</t>
    <phoneticPr fontId="3" type="noConversion"/>
  </si>
  <si>
    <t>CZI66G</t>
    <phoneticPr fontId="3" type="noConversion"/>
  </si>
  <si>
    <t>0439644413</t>
    <phoneticPr fontId="3" type="noConversion"/>
  </si>
  <si>
    <t>EAJ91A</t>
    <phoneticPr fontId="3" type="noConversion"/>
  </si>
  <si>
    <t>0431122102</t>
    <phoneticPr fontId="3" type="noConversion"/>
  </si>
  <si>
    <t>F9F</t>
    <phoneticPr fontId="3" type="noConversion"/>
  </si>
  <si>
    <t>0488891999</t>
    <phoneticPr fontId="3" type="noConversion"/>
  </si>
  <si>
    <t>21030(5/6)</t>
    <phoneticPr fontId="3" type="noConversion"/>
  </si>
  <si>
    <t>RR88RR</t>
    <phoneticPr fontId="3" type="noConversion"/>
  </si>
  <si>
    <t>0414245832</t>
    <phoneticPr fontId="3" type="noConversion"/>
  </si>
  <si>
    <t>CHRIS</t>
    <phoneticPr fontId="3" type="noConversion"/>
  </si>
  <si>
    <t>EPE19S</t>
    <phoneticPr fontId="3" type="noConversion"/>
  </si>
  <si>
    <t>0409808420</t>
    <phoneticPr fontId="3" type="noConversion"/>
  </si>
  <si>
    <t>NB202K</t>
    <phoneticPr fontId="3" type="noConversion"/>
  </si>
  <si>
    <t>0484306284</t>
    <phoneticPr fontId="3" type="noConversion"/>
  </si>
  <si>
    <t>CJD33L</t>
    <phoneticPr fontId="3" type="noConversion"/>
  </si>
  <si>
    <t>0423334050</t>
    <phoneticPr fontId="3" type="noConversion"/>
  </si>
  <si>
    <t>EBZ38A</t>
    <phoneticPr fontId="3" type="noConversion"/>
  </si>
  <si>
    <t>0432339721</t>
    <phoneticPr fontId="3" type="noConversion"/>
  </si>
  <si>
    <t>21063(2/6)</t>
    <phoneticPr fontId="3" type="noConversion"/>
  </si>
  <si>
    <t>DHV71G</t>
    <phoneticPr fontId="3" type="noConversion"/>
  </si>
  <si>
    <t>0427677472</t>
    <phoneticPr fontId="3" type="noConversion"/>
  </si>
  <si>
    <t>202749(3/6)</t>
    <phoneticPr fontId="3" type="noConversion"/>
  </si>
  <si>
    <t>BNN84S</t>
    <phoneticPr fontId="3" type="noConversion"/>
  </si>
  <si>
    <t>0479077545</t>
    <phoneticPr fontId="3" type="noConversion"/>
  </si>
  <si>
    <t>AR41MF</t>
    <phoneticPr fontId="3" type="noConversion"/>
  </si>
  <si>
    <t>0411702399</t>
    <phoneticPr fontId="3" type="noConversion"/>
  </si>
  <si>
    <t>EOI97W</t>
    <phoneticPr fontId="3" type="noConversion"/>
  </si>
  <si>
    <t>0404140507</t>
    <phoneticPr fontId="3" type="noConversion"/>
  </si>
  <si>
    <t>DW14E</t>
    <phoneticPr fontId="3" type="noConversion"/>
  </si>
  <si>
    <t>0438830969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</si>
  <si>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</si>
  <si>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</si>
  <si>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</si>
  <si>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</si>
  <si>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</si>
  <si>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</si>
  <si>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MON</t>
    <phoneticPr fontId="3" type="noConversion"/>
  </si>
  <si>
    <t>Cash</t>
    <phoneticPr fontId="3" type="noConversion"/>
  </si>
  <si>
    <t>Card</t>
    <phoneticPr fontId="3" type="noConversion"/>
  </si>
  <si>
    <t xml:space="preserve">hrs </t>
    <phoneticPr fontId="3" type="noConversion"/>
  </si>
  <si>
    <t>no. staff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</si>
  <si>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</si>
  <si>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</si>
  <si>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</si>
  <si>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FR I</t>
    <phoneticPr fontId="3" type="noConversion"/>
  </si>
  <si>
    <t>SAT</t>
    <phoneticPr fontId="3" type="noConversion"/>
  </si>
  <si>
    <t>SUN</t>
    <phoneticPr fontId="3" type="noConversion"/>
  </si>
  <si>
    <t>TOTAL CARS</t>
  </si>
  <si>
    <t>GV SOLD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</si>
  <si>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</si>
  <si>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</si>
  <si>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</si>
  <si>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</si>
  <si>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STAFF HRS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</si>
</sst>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₩&quot;* #,##0_-;\-&quot;₩&quot;* #,##0_-;_-&quot;₩&quot;* &quot;-&quot;_-;_-@_-"/>
    <numFmt numFmtId="165" formatCode="\$#,##0_);[Red]\(\$#,##0\)"/>
    <numFmt numFmtId="166" formatCode="\$#,##0.00_);[Red]\(\$#,##0.00\)"/>
    <numFmt numFmtId="167" formatCode="\$#,##0.00"/>
    <numFmt numFmtId="168" formatCode="h:mm;@"/>
    <numFmt numFmtId="169" formatCode="0.00_);[Red]\(0.00\)"/>
    <numFmt numFmtId="170" formatCode="0_);[Red]\(0\)"/>
    <numFmt numFmtId="171" formatCode="0.00_ "/>
    <numFmt numFmtId="172" formatCode="#,##0.0;[Red]#,##0.0"/>
    <numFmt numFmtId="173" formatCode="[$$-C09]#,##0.00"/>
    <numFmt numFmtId="174" formatCode="_-\$* #,##0.00_ ;_-\$* \-#,##0.00\ ;_-\$* &quot;-&quot;??_ ;_-@_ 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750">
    <xf numFmtId="0" fontId="0" fillId="0" borderId="0" xfId="0"/>
    <xf numFmtId="0" fontId="0" fillId="0" borderId="10" xfId="0" applyBorder="1"/>
    <xf numFmtId="168" fontId="0" fillId="0" borderId="3" xfId="0" applyNumberFormat="1" applyBorder="1"/>
    <xf numFmtId="168" fontId="0" fillId="0" borderId="5" xfId="0" applyNumberFormat="1" applyBorder="1"/>
    <xf numFmtId="169" fontId="0" fillId="0" borderId="16" xfId="0" applyNumberFormat="1" applyBorder="1"/>
    <xf numFmtId="0" fontId="0" fillId="0" borderId="9" xfId="0" applyBorder="1"/>
    <xf numFmtId="168" fontId="0" fillId="0" borderId="1" xfId="0" applyNumberFormat="1" applyBorder="1"/>
    <xf numFmtId="168" fontId="0" fillId="0" borderId="2" xfId="0" applyNumberFormat="1" applyBorder="1"/>
    <xf numFmtId="169" fontId="0" fillId="0" borderId="15" xfId="0" applyNumberFormat="1" applyBorder="1"/>
    <xf numFmtId="0" fontId="0" fillId="0" borderId="25" xfId="0" applyBorder="1" applyAlignment="1">
      <alignment shrinkToFit="1"/>
    </xf>
    <xf numFmtId="168" fontId="0" fillId="0" borderId="25" xfId="0" applyNumberFormat="1" applyBorder="1" applyAlignment="1">
      <alignment shrinkToFit="1"/>
    </xf>
    <xf numFmtId="169" fontId="0" fillId="0" borderId="24" xfId="0" applyNumberFormat="1" applyBorder="1" applyAlignment="1">
      <alignment shrinkToFit="1"/>
    </xf>
    <xf numFmtId="166" fontId="0" fillId="2" borderId="4" xfId="0" applyNumberFormat="1" applyFill="1" applyBorder="1" applyAlignment="1">
      <alignment horizontal="center" shrinkToFit="1"/>
    </xf>
    <xf numFmtId="17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64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7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7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7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16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68" fontId="0" fillId="2" borderId="4" xfId="0" applyNumberFormat="1" applyFill="1" applyBorder="1" applyAlignment="1">
      <alignment horizontal="center" shrinkToFit="1"/>
    </xf>
    <xf numFmtId="16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73" fontId="0" fillId="0" borderId="0" xfId="0" applyNumberFormat="1" applyAlignment="1">
      <alignment shrinkToFit="1"/>
    </xf>
    <xf numFmtId="16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67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71" fontId="0" fillId="2" borderId="0" xfId="0" applyNumberFormat="1" applyFill="1" applyAlignment="1">
      <alignment shrinkToFit="1"/>
    </xf>
    <xf numFmtId="166" fontId="0" fillId="2" borderId="0" xfId="0" applyNumberFormat="1" applyFill="1" applyAlignment="1">
      <alignment shrinkToFit="1"/>
    </xf>
    <xf numFmtId="173" fontId="0" fillId="2" borderId="0" xfId="0" applyNumberFormat="1" applyFill="1" applyAlignment="1">
      <alignment shrinkToFit="1"/>
    </xf>
    <xf numFmtId="166" fontId="0" fillId="5" borderId="1" xfId="0" applyNumberFormat="1" applyFill="1" applyBorder="1" applyAlignment="1">
      <alignment shrinkToFit="1"/>
    </xf>
    <xf numFmtId="172" fontId="0" fillId="0" borderId="0" xfId="0" applyNumberFormat="1" applyAlignment="1">
      <alignment shrinkToFit="1"/>
    </xf>
    <xf numFmtId="166" fontId="0" fillId="0" borderId="1" xfId="0" applyNumberFormat="1" applyBorder="1" applyAlignment="1">
      <alignment shrinkToFit="1"/>
    </xf>
    <xf numFmtId="17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16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6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9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67" fontId="6" fillId="0" borderId="1" xfId="0" applyNumberFormat="1" applyFont="1" applyBorder="1" applyAlignment="1">
      <alignment vertical="center" shrinkToFit="1"/>
    </xf>
    <xf numFmtId="167" fontId="6" fillId="0" borderId="15" xfId="0" applyNumberFormat="1" applyFont="1" applyBorder="1" applyAlignment="1">
      <alignment vertical="center" shrinkToFit="1"/>
    </xf>
    <xf numFmtId="166" fontId="6" fillId="0" borderId="1" xfId="0" applyNumberFormat="1" applyFont="1" applyBorder="1" applyAlignment="1">
      <alignment vertical="center" shrinkToFit="1"/>
    </xf>
    <xf numFmtId="166" fontId="6" fillId="0" borderId="15" xfId="0" applyNumberFormat="1" applyFont="1" applyBorder="1" applyAlignment="1">
      <alignment vertical="center" shrinkToFit="1"/>
    </xf>
    <xf numFmtId="165" fontId="6" fillId="0" borderId="1" xfId="0" applyNumberFormat="1" applyFont="1" applyBorder="1" applyAlignment="1">
      <alignment vertical="center" shrinkToFit="1"/>
    </xf>
    <xf numFmtId="165" fontId="0" fillId="0" borderId="1" xfId="0" applyNumberFormat="1" applyBorder="1"/>
    <xf numFmtId="0" fontId="0" fillId="0" borderId="17" xfId="0" applyBorder="1"/>
    <xf numFmtId="16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16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69" fontId="4" fillId="6" borderId="12" xfId="0" applyNumberFormat="1" applyFont="1" applyFill="1" applyBorder="1" applyAlignment="1">
      <alignment shrinkToFit="1"/>
    </xf>
    <xf numFmtId="169" fontId="4" fillId="6" borderId="12" xfId="0" applyNumberFormat="1" applyFont="1" applyFill="1" applyBorder="1" applyAlignment="1">
      <alignment horizontal="center" shrinkToFit="1"/>
    </xf>
    <xf numFmtId="168" fontId="4" fillId="6" borderId="12" xfId="0" applyNumberFormat="1" applyFont="1" applyFill="1" applyBorder="1" applyAlignment="1">
      <alignment shrinkToFit="1"/>
    </xf>
    <xf numFmtId="16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68" fontId="4" fillId="6" borderId="41" xfId="0" applyNumberFormat="1" applyFont="1" applyFill="1" applyBorder="1" applyAlignment="1">
      <alignment horizontal="center" shrinkToFit="1"/>
    </xf>
    <xf numFmtId="169" fontId="4" fillId="6" borderId="41" xfId="0" applyNumberFormat="1" applyFont="1" applyFill="1" applyBorder="1" applyAlignment="1">
      <alignment horizontal="center" shrinkToFit="1"/>
    </xf>
    <xf numFmtId="169" fontId="15" fillId="2" borderId="1" xfId="3" applyNumberFormat="1" applyFont="1" applyFill="1" applyBorder="1" applyAlignment="1">
      <alignment horizontal="center" shrinkToFit="1"/>
    </xf>
    <xf numFmtId="169" fontId="0" fillId="2" borderId="1" xfId="0" applyNumberFormat="1" applyFill="1" applyBorder="1" applyAlignment="1">
      <alignment horizontal="center" shrinkToFit="1"/>
    </xf>
    <xf numFmtId="169" fontId="13" fillId="0" borderId="4" xfId="0" applyNumberFormat="1" applyFont="1" applyBorder="1" applyAlignment="1">
      <alignment horizontal="center" shrinkToFit="1"/>
    </xf>
    <xf numFmtId="16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0" fontId="13" fillId="6" borderId="50" xfId="0" applyNumberFormat="1" applyFont="1" applyFill="1" applyBorder="1" applyAlignment="1">
      <alignment horizontal="center" vertical="center" shrinkToFit="1"/>
    </xf>
    <xf numFmtId="17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69" fontId="4" fillId="6" borderId="1" xfId="0" applyNumberFormat="1" applyFont="1" applyFill="1" applyBorder="1" applyAlignment="1">
      <alignment horizontal="center" shrinkToFit="1"/>
    </xf>
    <xf numFmtId="167" fontId="4" fillId="6" borderId="13" xfId="0" applyNumberFormat="1" applyFont="1" applyFill="1" applyBorder="1" applyAlignment="1">
      <alignment horizontal="center" vertical="center" shrinkToFit="1"/>
    </xf>
    <xf numFmtId="16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1" fontId="4" fillId="6" borderId="1" xfId="0" applyNumberFormat="1" applyFont="1" applyFill="1" applyBorder="1" applyAlignment="1">
      <alignment horizontal="center" shrinkToFit="1"/>
    </xf>
    <xf numFmtId="170" fontId="4" fillId="6" borderId="1" xfId="0" applyNumberFormat="1" applyFont="1" applyFill="1" applyBorder="1" applyAlignment="1">
      <alignment horizontal="center" shrinkToFit="1"/>
    </xf>
    <xf numFmtId="171" fontId="4" fillId="6" borderId="14" xfId="0" applyNumberFormat="1" applyFont="1" applyFill="1" applyBorder="1" applyAlignment="1">
      <alignment horizontal="center" shrinkToFit="1"/>
    </xf>
    <xf numFmtId="169" fontId="4" fillId="6" borderId="14" xfId="0" applyNumberFormat="1" applyFont="1" applyFill="1" applyBorder="1" applyAlignment="1">
      <alignment horizontal="center" shrinkToFit="1"/>
    </xf>
    <xf numFmtId="167" fontId="4" fillId="6" borderId="3" xfId="0" applyNumberFormat="1" applyFont="1" applyFill="1" applyBorder="1" applyAlignment="1">
      <alignment horizontal="center" shrinkToFit="1"/>
    </xf>
    <xf numFmtId="171" fontId="4" fillId="6" borderId="3" xfId="0" applyNumberFormat="1" applyFont="1" applyFill="1" applyBorder="1" applyAlignment="1">
      <alignment horizontal="center" shrinkToFit="1"/>
    </xf>
    <xf numFmtId="17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69" fontId="16" fillId="6" borderId="28" xfId="0" applyNumberFormat="1" applyFont="1" applyFill="1" applyBorder="1" applyAlignment="1">
      <alignment horizontal="center" vertical="center" shrinkToFit="1"/>
    </xf>
    <xf numFmtId="17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68" fontId="0" fillId="0" borderId="11" xfId="0" applyNumberFormat="1" applyBorder="1" applyAlignment="1">
      <alignment shrinkToFit="1"/>
    </xf>
    <xf numFmtId="169" fontId="0" fillId="0" borderId="38" xfId="0" applyNumberFormat="1" applyBorder="1" applyAlignment="1">
      <alignment shrinkToFit="1"/>
    </xf>
    <xf numFmtId="40" fontId="13" fillId="6" borderId="50" xfId="0" applyNumberFormat="1" applyFont="1" applyFill="1" applyBorder="1" applyAlignment="1">
      <alignment shrinkToFit="1"/>
    </xf>
    <xf numFmtId="17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69" fontId="15" fillId="0" borderId="1" xfId="3" applyNumberFormat="1" applyFont="1" applyFill="1" applyBorder="1" applyAlignment="1">
      <alignment horizontal="center" shrinkToFit="1"/>
    </xf>
    <xf numFmtId="169" fontId="1" fillId="0" borderId="4" xfId="0" applyNumberFormat="1" applyFont="1" applyBorder="1" applyAlignment="1">
      <alignment horizontal="center" shrinkToFit="1"/>
    </xf>
    <xf numFmtId="169" fontId="1" fillId="0" borderId="1" xfId="0" applyNumberFormat="1" applyFont="1" applyBorder="1" applyAlignment="1">
      <alignment horizontal="center" shrinkToFit="1"/>
    </xf>
    <xf numFmtId="169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69" fontId="1" fillId="6" borderId="4" xfId="0" applyNumberFormat="1" applyFont="1" applyFill="1" applyBorder="1" applyAlignment="1">
      <alignment horizontal="center" shrinkToFit="1"/>
    </xf>
    <xf numFmtId="169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0" fontId="13" fillId="0" borderId="14" xfId="0" applyNumberFormat="1" applyFont="1" applyBorder="1" applyAlignment="1">
      <alignment horizontal="center" vertical="center" shrinkToFit="1"/>
    </xf>
    <xf numFmtId="166" fontId="13" fillId="0" borderId="14" xfId="0" applyNumberFormat="1" applyFont="1" applyBorder="1" applyAlignment="1">
      <alignment shrinkToFit="1"/>
    </xf>
    <xf numFmtId="170" fontId="6" fillId="0" borderId="28" xfId="0" applyNumberFormat="1" applyFont="1" applyBorder="1" applyAlignment="1">
      <alignment vertical="center" shrinkToFit="1"/>
    </xf>
    <xf numFmtId="169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69" fontId="4" fillId="6" borderId="48" xfId="0" applyNumberFormat="1" applyFont="1" applyFill="1" applyBorder="1" applyAlignment="1">
      <alignment vertical="center" shrinkToFit="1"/>
    </xf>
    <xf numFmtId="16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69" fontId="0" fillId="2" borderId="11" xfId="0" applyNumberFormat="1" applyFill="1" applyBorder="1" applyAlignment="1">
      <alignment horizontal="center" shrinkToFit="1"/>
    </xf>
    <xf numFmtId="169" fontId="15" fillId="0" borderId="40" xfId="0" applyNumberFormat="1" applyFont="1" applyBorder="1" applyAlignment="1">
      <alignment horizontal="center" shrinkToFit="1"/>
    </xf>
    <xf numFmtId="169" fontId="13" fillId="0" borderId="17" xfId="0" applyNumberFormat="1" applyFont="1" applyBorder="1" applyAlignment="1">
      <alignment shrinkToFit="1"/>
    </xf>
    <xf numFmtId="16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68" fontId="16" fillId="13" borderId="8" xfId="0" applyNumberFormat="1" applyFont="1" applyFill="1" applyBorder="1" applyAlignment="1">
      <alignment horizontal="center" shrinkToFit="1"/>
    </xf>
    <xf numFmtId="16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7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166" fontId="0" fillId="0" borderId="11" xfId="0" applyNumberFormat="1" applyBorder="1" applyAlignment="1">
      <alignment shrinkToFit="1"/>
    </xf>
    <xf numFmtId="17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69" fontId="1" fillId="0" borderId="26" xfId="0" applyNumberFormat="1" applyFont="1" applyBorder="1" applyAlignment="1">
      <alignment horizontal="center" shrinkToFit="1"/>
    </xf>
    <xf numFmtId="169" fontId="15" fillId="0" borderId="61" xfId="3" applyNumberFormat="1" applyFont="1" applyFill="1" applyBorder="1" applyAlignment="1">
      <alignment horizontal="center" shrinkToFit="1"/>
    </xf>
    <xf numFmtId="170" fontId="6" fillId="0" borderId="39" xfId="0" applyNumberFormat="1" applyFont="1" applyBorder="1" applyAlignment="1">
      <alignment horizontal="left"/>
    </xf>
    <xf numFmtId="170" fontId="6" fillId="0" borderId="26" xfId="0" applyNumberFormat="1" applyFont="1" applyBorder="1" applyAlignment="1">
      <alignment horizontal="left"/>
    </xf>
    <xf numFmtId="17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69" fontId="23" fillId="2" borderId="4" xfId="4" applyNumberFormat="1" applyFill="1" applyBorder="1" applyAlignment="1">
      <alignment horizontal="center" shrinkToFit="1"/>
    </xf>
    <xf numFmtId="169" fontId="23" fillId="2" borderId="6" xfId="4" applyNumberFormat="1" applyFill="1" applyBorder="1" applyAlignment="1">
      <alignment horizontal="center" shrinkToFit="1"/>
    </xf>
    <xf numFmtId="169" fontId="10" fillId="6" borderId="4" xfId="4" applyNumberFormat="1" applyFont="1" applyFill="1" applyBorder="1" applyAlignment="1">
      <alignment horizont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3" fillId="14" borderId="19" xfId="4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0" fontId="23" fillId="14" borderId="62" xfId="4" applyBorder="1" applyAlignment="1">
      <alignment horizontal="center" shrinkToFit="1"/>
    </xf>
    <xf numFmtId="170" fontId="23" fillId="14" borderId="26" xfId="4" applyNumberFormat="1" applyBorder="1" applyAlignment="1">
      <alignment horizontal="left"/>
    </xf>
    <xf numFmtId="0" fontId="23" fillId="14" borderId="4" xfId="4" applyBorder="1" applyAlignment="1">
      <alignment horizontal="center" shrinkToFit="1"/>
    </xf>
    <xf numFmtId="169" fontId="23" fillId="14" borderId="4" xfId="4" applyNumberFormat="1" applyBorder="1" applyAlignment="1">
      <alignment horizontal="center" shrinkToFit="1"/>
    </xf>
    <xf numFmtId="169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9" fillId="15" borderId="4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2" xfId="5" applyNumberFormat="1" applyBorder="1" applyAlignment="1">
      <alignment shrinkToFit="1"/>
    </xf>
    <xf numFmtId="0" fontId="29" fillId="15" borderId="62" xfId="5" applyBorder="1" applyAlignment="1">
      <alignment horizontal="center" shrinkToFit="1"/>
    </xf>
    <xf numFmtId="0" fontId="29" fillId="15" borderId="26" xfId="5" applyBorder="1" applyAlignment="1">
      <alignment horizontal="left" shrinkToFit="1"/>
    </xf>
    <xf numFmtId="0" fontId="29" fillId="15" borderId="1" xfId="5" applyBorder="1" applyAlignment="1">
      <alignment horizontal="center" shrinkToFit="1"/>
    </xf>
    <xf numFmtId="169" fontId="29" fillId="15" borderId="61" xfId="5" applyNumberFormat="1" applyBorder="1" applyAlignment="1">
      <alignment horizontal="center" shrinkToFit="1"/>
    </xf>
    <xf numFmtId="169" fontId="29" fillId="15" borderId="26" xfId="5" applyNumberFormat="1" applyBorder="1" applyAlignment="1">
      <alignment horizontal="center" shrinkToFit="1"/>
    </xf>
    <xf numFmtId="169" fontId="29" fillId="15" borderId="4" xfId="5" applyNumberFormat="1" applyBorder="1" applyAlignment="1">
      <alignment horizontal="center" shrinkToFit="1"/>
    </xf>
    <xf numFmtId="169" fontId="29" fillId="15" borderId="6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169" fontId="23" fillId="14" borderId="1" xfId="4" applyNumberFormat="1" applyBorder="1" applyAlignment="1">
      <alignment horizontal="center" shrinkToFit="1"/>
    </xf>
    <xf numFmtId="0" fontId="29" fillId="15" borderId="9" xfId="5" applyBorder="1" applyAlignment="1">
      <alignment horizontal="center" shrinkToFit="1"/>
    </xf>
    <xf numFmtId="0" fontId="29" fillId="15" borderId="39" xfId="5" applyBorder="1" applyAlignment="1">
      <alignment horizontal="left" shrinkToFit="1"/>
    </xf>
    <xf numFmtId="49" fontId="29" fillId="15" borderId="37" xfId="5" applyNumberFormat="1" applyBorder="1" applyAlignment="1">
      <alignment horizontal="left" shrinkToFit="1"/>
    </xf>
    <xf numFmtId="0" fontId="29" fillId="15" borderId="39" xfId="5" applyBorder="1" applyAlignment="1">
      <alignment horizontal="left"/>
    </xf>
    <xf numFmtId="169" fontId="29" fillId="15" borderId="1" xfId="5" applyNumberFormat="1" applyBorder="1" applyAlignment="1">
      <alignment horizont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71" fontId="4" fillId="6" borderId="14" xfId="0" applyNumberFormat="1" applyFont="1" applyFill="1" applyBorder="1" applyAlignment="1">
      <alignment horizontal="center" vertical="center" shrinkToFit="1"/>
    </xf>
    <xf numFmtId="171" fontId="4" fillId="6" borderId="1" xfId="0" applyNumberFormat="1" applyFont="1" applyFill="1" applyBorder="1" applyAlignment="1">
      <alignment horizontal="center" vertical="center" shrinkToFit="1"/>
    </xf>
    <xf numFmtId="171" fontId="4" fillId="6" borderId="3" xfId="0" applyNumberFormat="1" applyFont="1" applyFill="1" applyBorder="1" applyAlignment="1">
      <alignment horizontal="center" vertical="center" shrinkToFit="1"/>
    </xf>
    <xf numFmtId="169" fontId="4" fillId="6" borderId="14" xfId="0" applyNumberFormat="1" applyFont="1" applyFill="1" applyBorder="1" applyAlignment="1">
      <alignment horizontal="center" vertical="center" shrinkToFit="1"/>
    </xf>
    <xf numFmtId="169" fontId="4" fillId="6" borderId="1" xfId="0" applyNumberFormat="1" applyFont="1" applyFill="1" applyBorder="1" applyAlignment="1">
      <alignment horizontal="center" vertical="center" shrinkToFit="1"/>
    </xf>
    <xf numFmtId="169" fontId="4" fillId="6" borderId="3" xfId="0" applyNumberFormat="1" applyFont="1" applyFill="1" applyBorder="1" applyAlignment="1">
      <alignment horizontal="center" vertical="center" shrinkToFit="1"/>
    </xf>
    <xf numFmtId="169" fontId="4" fillId="6" borderId="28" xfId="0" applyNumberFormat="1" applyFont="1" applyFill="1" applyBorder="1" applyAlignment="1">
      <alignment horizontal="center" vertical="center" shrinkToFit="1"/>
    </xf>
    <xf numFmtId="169" fontId="4" fillId="6" borderId="15" xfId="0" applyNumberFormat="1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0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69" fontId="16" fillId="6" borderId="25" xfId="0" applyNumberFormat="1" applyFont="1" applyFill="1" applyBorder="1" applyAlignment="1">
      <alignment horizontal="center" vertical="center" shrinkToFit="1"/>
    </xf>
    <xf numFmtId="169" fontId="16" fillId="6" borderId="24" xfId="0" applyNumberFormat="1" applyFont="1" applyFill="1" applyBorder="1" applyAlignment="1">
      <alignment horizontal="center" vertical="center" shrinkToFit="1"/>
    </xf>
    <xf numFmtId="169" fontId="16" fillId="6" borderId="22" xfId="0" applyNumberFormat="1" applyFont="1" applyFill="1" applyBorder="1" applyAlignment="1">
      <alignment horizontal="center" vertical="center" shrinkToFit="1"/>
    </xf>
    <xf numFmtId="169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67" fontId="13" fillId="0" borderId="0" xfId="0" applyNumberFormat="1" applyFont="1" applyAlignment="1">
      <alignment horizontal="center" shrinkToFit="1"/>
    </xf>
    <xf numFmtId="16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0" fontId="4" fillId="6" borderId="53" xfId="0" applyNumberFormat="1" applyFont="1" applyFill="1" applyBorder="1" applyAlignment="1">
      <alignment horizontal="center" vertical="center" shrinkToFit="1"/>
    </xf>
    <xf numFmtId="170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14" borderId="2" xfId="4" applyBorder="1" applyAlignment="1">
      <alignment horizontal="center" vertical="center" shrinkToFit="1"/>
    </xf>
    <xf numFmtId="0" fontId="23" fillId="14" borderId="29" xfId="4" applyBorder="1" applyAlignment="1">
      <alignment horizontal="center" vertical="center" shrinkToFit="1"/>
    </xf>
    <xf numFmtId="0" fontId="23" fillId="14" borderId="17" xfId="4" applyBorder="1" applyAlignment="1">
      <alignment horizontal="center" vertic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74" fontId="20" fillId="0" borderId="1" xfId="0" applyNumberFormat="1" applyFont="1" applyBorder="1" applyAlignment="1">
      <alignment horizontal="center" vertical="center" shrinkToFit="1"/>
    </xf>
    <xf numFmtId="174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74" fontId="20" fillId="12" borderId="5" xfId="0" applyNumberFormat="1" applyFont="1" applyFill="1" applyBorder="1" applyAlignment="1">
      <alignment horizontal="center" vertical="center" shrinkToFit="1"/>
    </xf>
    <xf numFmtId="174" fontId="20" fillId="12" borderId="56" xfId="0" applyNumberFormat="1" applyFont="1" applyFill="1" applyBorder="1" applyAlignment="1">
      <alignment horizontal="center" vertical="center" shrinkToFit="1"/>
    </xf>
    <xf numFmtId="174" fontId="20" fillId="12" borderId="64" xfId="0" applyNumberFormat="1" applyFont="1" applyFill="1" applyBorder="1" applyAlignment="1">
      <alignment horizontal="center" vertical="center" shrinkToFit="1"/>
    </xf>
    <xf numFmtId="166" fontId="20" fillId="12" borderId="5" xfId="0" applyNumberFormat="1" applyFont="1" applyFill="1" applyBorder="1" applyAlignment="1">
      <alignment horizontal="center" vertical="center" shrinkToFit="1"/>
    </xf>
    <xf numFmtId="166" fontId="20" fillId="12" borderId="56" xfId="0" applyNumberFormat="1" applyFont="1" applyFill="1" applyBorder="1" applyAlignment="1">
      <alignment horizontal="center" vertical="center" shrinkToFit="1"/>
    </xf>
    <xf numFmtId="166" fontId="20" fillId="12" borderId="64" xfId="0" applyNumberFormat="1" applyFont="1" applyFill="1" applyBorder="1" applyAlignment="1">
      <alignment horizontal="center" vertical="center" shrinkToFit="1"/>
    </xf>
    <xf numFmtId="167" fontId="20" fillId="0" borderId="1" xfId="0" applyNumberFormat="1" applyFont="1" applyBorder="1" applyAlignment="1">
      <alignment horizontal="center" vertical="center" shrinkToFit="1"/>
    </xf>
    <xf numFmtId="16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67" fontId="20" fillId="0" borderId="15" xfId="0" applyNumberFormat="1" applyFont="1" applyBorder="1" applyAlignment="1">
      <alignment horizontal="center" vertical="center" shrinkToFit="1"/>
    </xf>
    <xf numFmtId="16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16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6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166" fontId="20" fillId="7" borderId="30" xfId="0" applyNumberFormat="1" applyFont="1" applyFill="1" applyBorder="1" applyAlignment="1">
      <alignment horizontal="center" vertical="center" shrinkToFit="1"/>
    </xf>
    <xf numFmtId="166" fontId="20" fillId="7" borderId="43" xfId="0" applyNumberFormat="1" applyFont="1" applyFill="1" applyBorder="1" applyAlignment="1">
      <alignment horizontal="center" vertical="center" shrinkToFit="1"/>
    </xf>
    <xf numFmtId="166" fontId="20" fillId="7" borderId="44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7" borderId="6" xfId="0" applyNumberFormat="1" applyFont="1" applyFill="1" applyBorder="1" applyAlignment="1">
      <alignment horizontal="center" vertical="center" shrinkToFit="1"/>
    </xf>
    <xf numFmtId="166" fontId="20" fillId="7" borderId="37" xfId="0" applyNumberFormat="1" applyFont="1" applyFill="1" applyBorder="1" applyAlignment="1">
      <alignment horizontal="center" vertical="center" shrinkToFit="1"/>
    </xf>
    <xf numFmtId="166" fontId="20" fillId="7" borderId="39" xfId="0" applyNumberFormat="1" applyFont="1" applyFill="1" applyBorder="1" applyAlignment="1">
      <alignment horizontal="center" vertical="center" shrinkToFit="1"/>
    </xf>
    <xf numFmtId="166" fontId="20" fillId="11" borderId="30" xfId="0" applyNumberFormat="1" applyFont="1" applyFill="1" applyBorder="1" applyAlignment="1">
      <alignment horizontal="center" vertical="center" shrinkToFit="1"/>
    </xf>
    <xf numFmtId="166" fontId="20" fillId="11" borderId="43" xfId="0" applyNumberFormat="1" applyFont="1" applyFill="1" applyBorder="1" applyAlignment="1">
      <alignment horizontal="center" vertical="center" shrinkToFit="1"/>
    </xf>
    <xf numFmtId="166" fontId="20" fillId="11" borderId="44" xfId="0" applyNumberFormat="1" applyFont="1" applyFill="1" applyBorder="1" applyAlignment="1">
      <alignment horizontal="center" vertical="center" shrinkToFit="1"/>
    </xf>
    <xf numFmtId="166" fontId="20" fillId="11" borderId="45" xfId="0" applyNumberFormat="1" applyFont="1" applyFill="1" applyBorder="1" applyAlignment="1">
      <alignment horizontal="center" vertical="center" shrinkToFit="1"/>
    </xf>
    <xf numFmtId="166" fontId="20" fillId="11" borderId="0" xfId="0" applyNumberFormat="1" applyFont="1" applyFill="1" applyAlignment="1">
      <alignment horizontal="center" vertical="center" shrinkToFit="1"/>
    </xf>
    <xf numFmtId="166" fontId="20" fillId="11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30" xfId="0" applyNumberFormat="1" applyFont="1" applyFill="1" applyBorder="1" applyAlignment="1">
      <alignment horizontal="center" vertical="center" shrinkToFit="1"/>
    </xf>
    <xf numFmtId="174" fontId="20" fillId="11" borderId="43" xfId="0" applyNumberFormat="1" applyFont="1" applyFill="1" applyBorder="1" applyAlignment="1">
      <alignment horizontal="center" vertical="center" shrinkToFit="1"/>
    </xf>
    <xf numFmtId="174" fontId="20" fillId="11" borderId="44" xfId="0" applyNumberFormat="1" applyFont="1" applyFill="1" applyBorder="1" applyAlignment="1">
      <alignment horizontal="center" vertical="center" shrinkToFit="1"/>
    </xf>
    <xf numFmtId="174" fontId="20" fillId="11" borderId="45" xfId="0" applyNumberFormat="1" applyFont="1" applyFill="1" applyBorder="1" applyAlignment="1">
      <alignment horizontal="center" vertical="center" shrinkToFit="1"/>
    </xf>
    <xf numFmtId="174" fontId="20" fillId="11" borderId="0" xfId="0" applyNumberFormat="1" applyFont="1" applyFill="1" applyAlignment="1">
      <alignment horizontal="center" vertical="center" shrinkToFit="1"/>
    </xf>
    <xf numFmtId="174" fontId="20" fillId="11" borderId="46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67" fontId="4" fillId="11" borderId="1" xfId="0" applyNumberFormat="1" applyFont="1" applyFill="1" applyBorder="1" applyAlignment="1">
      <alignment horizontal="center" vertical="center" shrinkToFit="1"/>
    </xf>
    <xf numFmtId="167" fontId="4" fillId="10" borderId="2" xfId="0" applyNumberFormat="1" applyFont="1" applyFill="1" applyBorder="1" applyAlignment="1">
      <alignment horizontal="center" vertical="center" shrinkToFit="1"/>
    </xf>
    <xf numFmtId="167" fontId="4" fillId="10" borderId="29" xfId="0" applyNumberFormat="1" applyFont="1" applyFill="1" applyBorder="1" applyAlignment="1">
      <alignment horizontal="center" vertical="center" shrinkToFit="1"/>
    </xf>
    <xf numFmtId="167" fontId="4" fillId="10" borderId="26" xfId="0" applyNumberFormat="1" applyFont="1" applyFill="1" applyBorder="1" applyAlignment="1">
      <alignment horizontal="center" vertical="center" shrinkToFit="1"/>
    </xf>
    <xf numFmtId="167" fontId="4" fillId="7" borderId="2" xfId="0" applyNumberFormat="1" applyFont="1" applyFill="1" applyBorder="1" applyAlignment="1">
      <alignment horizontal="center" vertical="center" shrinkToFit="1"/>
    </xf>
    <xf numFmtId="167" fontId="4" fillId="7" borderId="29" xfId="0" applyNumberFormat="1" applyFont="1" applyFill="1" applyBorder="1" applyAlignment="1">
      <alignment horizontal="center" vertical="center" shrinkToFit="1"/>
    </xf>
    <xf numFmtId="167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74" fontId="20" fillId="7" borderId="30" xfId="0" applyNumberFormat="1" applyFont="1" applyFill="1" applyBorder="1" applyAlignment="1">
      <alignment horizontal="center" vertical="center" shrinkToFit="1"/>
    </xf>
    <xf numFmtId="174" fontId="20" fillId="7" borderId="43" xfId="0" applyNumberFormat="1" applyFont="1" applyFill="1" applyBorder="1" applyAlignment="1">
      <alignment horizontal="center" vertical="center" shrinkToFit="1"/>
    </xf>
    <xf numFmtId="174" fontId="20" fillId="7" borderId="44" xfId="0" applyNumberFormat="1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74" fontId="20" fillId="7" borderId="6" xfId="0" applyNumberFormat="1" applyFont="1" applyFill="1" applyBorder="1" applyAlignment="1">
      <alignment horizontal="center" vertical="center" shrinkToFit="1"/>
    </xf>
    <xf numFmtId="174" fontId="20" fillId="7" borderId="37" xfId="0" applyNumberFormat="1" applyFont="1" applyFill="1" applyBorder="1" applyAlignment="1">
      <alignment horizontal="center" vertical="center" shrinkToFit="1"/>
    </xf>
    <xf numFmtId="174" fontId="20" fillId="7" borderId="39" xfId="0" applyNumberFormat="1" applyFont="1" applyFill="1" applyBorder="1" applyAlignment="1">
      <alignment horizontal="center" vertical="center" shrinkToFit="1"/>
    </xf>
    <xf numFmtId="16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67" fontId="4" fillId="5" borderId="1" xfId="0" applyNumberFormat="1" applyFont="1" applyFill="1" applyBorder="1" applyAlignment="1">
      <alignment horizontal="center" vertical="center" shrinkToFit="1"/>
    </xf>
    <xf numFmtId="16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67" fontId="4" fillId="6" borderId="2" xfId="0" applyNumberFormat="1" applyFont="1" applyFill="1" applyBorder="1" applyAlignment="1">
      <alignment horizontal="center" vertical="center" shrinkToFit="1"/>
    </xf>
    <xf numFmtId="167" fontId="4" fillId="6" borderId="29" xfId="0" applyNumberFormat="1" applyFont="1" applyFill="1" applyBorder="1" applyAlignment="1">
      <alignment horizontal="center" vertical="center" shrinkToFit="1"/>
    </xf>
    <xf numFmtId="16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67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67" fontId="4" fillId="5" borderId="2" xfId="0" applyNumberFormat="1" applyFont="1" applyFill="1" applyBorder="1" applyAlignment="1">
      <alignment horizontal="center" vertical="center" shrinkToFit="1"/>
    </xf>
    <xf numFmtId="167" fontId="4" fillId="5" borderId="29" xfId="0" applyNumberFormat="1" applyFont="1" applyFill="1" applyBorder="1" applyAlignment="1">
      <alignment horizontal="center" vertical="center" shrinkToFit="1"/>
    </xf>
    <xf numFmtId="167" fontId="4" fillId="5" borderId="26" xfId="0" applyNumberFormat="1" applyFont="1" applyFill="1" applyBorder="1" applyAlignment="1">
      <alignment horizontal="center" vertical="center" shrinkToFit="1"/>
    </xf>
    <xf numFmtId="166" fontId="20" fillId="10" borderId="30" xfId="0" applyNumberFormat="1" applyFont="1" applyFill="1" applyBorder="1" applyAlignment="1">
      <alignment horizontal="center" vertical="center" shrinkToFit="1"/>
    </xf>
    <xf numFmtId="166" fontId="20" fillId="10" borderId="43" xfId="0" applyNumberFormat="1" applyFont="1" applyFill="1" applyBorder="1" applyAlignment="1">
      <alignment horizontal="center" vertical="center" shrinkToFit="1"/>
    </xf>
    <xf numFmtId="166" fontId="20" fillId="10" borderId="44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66" fontId="20" fillId="10" borderId="6" xfId="0" applyNumberFormat="1" applyFont="1" applyFill="1" applyBorder="1" applyAlignment="1">
      <alignment horizontal="center" vertical="center" shrinkToFit="1"/>
    </xf>
    <xf numFmtId="166" fontId="20" fillId="10" borderId="37" xfId="0" applyNumberFormat="1" applyFont="1" applyFill="1" applyBorder="1" applyAlignment="1">
      <alignment horizontal="center" vertical="center" shrinkToFit="1"/>
    </xf>
    <xf numFmtId="166" fontId="20" fillId="10" borderId="39" xfId="0" applyNumberFormat="1" applyFont="1" applyFill="1" applyBorder="1" applyAlignment="1">
      <alignment horizontal="center" vertical="center" shrinkToFit="1"/>
    </xf>
    <xf numFmtId="174" fontId="20" fillId="10" borderId="30" xfId="0" applyNumberFormat="1" applyFont="1" applyFill="1" applyBorder="1" applyAlignment="1">
      <alignment horizontal="center" vertical="center" shrinkToFit="1"/>
    </xf>
    <xf numFmtId="174" fontId="20" fillId="10" borderId="43" xfId="0" applyNumberFormat="1" applyFont="1" applyFill="1" applyBorder="1" applyAlignment="1">
      <alignment horizontal="center" vertical="center" shrinkToFit="1"/>
    </xf>
    <xf numFmtId="174" fontId="20" fillId="10" borderId="44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174" fontId="20" fillId="10" borderId="6" xfId="0" applyNumberFormat="1" applyFont="1" applyFill="1" applyBorder="1" applyAlignment="1">
      <alignment horizontal="center" vertical="center" shrinkToFit="1"/>
    </xf>
    <xf numFmtId="174" fontId="20" fillId="10" borderId="37" xfId="0" applyNumberFormat="1" applyFont="1" applyFill="1" applyBorder="1" applyAlignment="1">
      <alignment horizontal="center" vertical="center" shrinkToFit="1"/>
    </xf>
    <xf numFmtId="174" fontId="20" fillId="10" borderId="39" xfId="0" applyNumberFormat="1" applyFont="1" applyFill="1" applyBorder="1" applyAlignment="1">
      <alignment horizontal="center" vertical="center" shrinkToFit="1"/>
    </xf>
    <xf numFmtId="167" fontId="4" fillId="9" borderId="2" xfId="0" applyNumberFormat="1" applyFont="1" applyFill="1" applyBorder="1" applyAlignment="1">
      <alignment horizontal="center" vertical="center" shrinkToFit="1"/>
    </xf>
    <xf numFmtId="167" fontId="4" fillId="9" borderId="29" xfId="0" applyNumberFormat="1" applyFont="1" applyFill="1" applyBorder="1" applyAlignment="1">
      <alignment horizontal="center" vertical="center" shrinkToFit="1"/>
    </xf>
    <xf numFmtId="16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4" fontId="20" fillId="5" borderId="30" xfId="0" applyNumberFormat="1" applyFont="1" applyFill="1" applyBorder="1" applyAlignment="1">
      <alignment horizontal="center" vertical="center" shrinkToFit="1"/>
    </xf>
    <xf numFmtId="174" fontId="20" fillId="5" borderId="43" xfId="0" applyNumberFormat="1" applyFont="1" applyFill="1" applyBorder="1" applyAlignment="1">
      <alignment horizontal="center" vertical="center" shrinkToFit="1"/>
    </xf>
    <xf numFmtId="174" fontId="20" fillId="5" borderId="44" xfId="0" applyNumberFormat="1" applyFont="1" applyFill="1" applyBorder="1" applyAlignment="1">
      <alignment horizontal="center" vertical="center" shrinkToFit="1"/>
    </xf>
    <xf numFmtId="174" fontId="20" fillId="5" borderId="45" xfId="0" applyNumberFormat="1" applyFont="1" applyFill="1" applyBorder="1" applyAlignment="1">
      <alignment horizontal="center" vertical="center" shrinkToFit="1"/>
    </xf>
    <xf numFmtId="174" fontId="20" fillId="5" borderId="0" xfId="0" applyNumberFormat="1" applyFont="1" applyFill="1" applyAlignment="1">
      <alignment horizontal="center" vertical="center" shrinkToFit="1"/>
    </xf>
    <xf numFmtId="174" fontId="20" fillId="5" borderId="46" xfId="0" applyNumberFormat="1" applyFont="1" applyFill="1" applyBorder="1" applyAlignment="1">
      <alignment horizontal="center" vertical="center" shrinkToFit="1"/>
    </xf>
    <xf numFmtId="174" fontId="20" fillId="5" borderId="6" xfId="0" applyNumberFormat="1" applyFont="1" applyFill="1" applyBorder="1" applyAlignment="1">
      <alignment horizontal="center" vertical="center" shrinkToFit="1"/>
    </xf>
    <xf numFmtId="174" fontId="20" fillId="5" borderId="37" xfId="0" applyNumberFormat="1" applyFont="1" applyFill="1" applyBorder="1" applyAlignment="1">
      <alignment horizontal="center" vertical="center" shrinkToFit="1"/>
    </xf>
    <xf numFmtId="174" fontId="20" fillId="5" borderId="39" xfId="0" applyNumberFormat="1" applyFont="1" applyFill="1" applyBorder="1" applyAlignment="1">
      <alignment horizontal="center" vertical="center" shrinkToFit="1"/>
    </xf>
    <xf numFmtId="174" fontId="20" fillId="9" borderId="30" xfId="0" applyNumberFormat="1" applyFont="1" applyFill="1" applyBorder="1" applyAlignment="1">
      <alignment horizontal="center" vertical="center" shrinkToFit="1"/>
    </xf>
    <xf numFmtId="174" fontId="20" fillId="9" borderId="43" xfId="0" applyNumberFormat="1" applyFont="1" applyFill="1" applyBorder="1" applyAlignment="1">
      <alignment horizontal="center" vertical="center" shrinkToFit="1"/>
    </xf>
    <xf numFmtId="174" fontId="20" fillId="9" borderId="44" xfId="0" applyNumberFormat="1" applyFont="1" applyFill="1" applyBorder="1" applyAlignment="1">
      <alignment horizontal="center" vertical="center" shrinkToFit="1"/>
    </xf>
    <xf numFmtId="174" fontId="20" fillId="9" borderId="45" xfId="0" applyNumberFormat="1" applyFont="1" applyFill="1" applyBorder="1" applyAlignment="1">
      <alignment horizontal="center" vertical="center" shrinkToFit="1"/>
    </xf>
    <xf numFmtId="174" fontId="20" fillId="9" borderId="0" xfId="0" applyNumberFormat="1" applyFont="1" applyFill="1" applyAlignment="1">
      <alignment horizontal="center" vertical="center" shrinkToFit="1"/>
    </xf>
    <xf numFmtId="174" fontId="20" fillId="9" borderId="46" xfId="0" applyNumberFormat="1" applyFont="1" applyFill="1" applyBorder="1" applyAlignment="1">
      <alignment horizontal="center" vertical="center" shrinkToFit="1"/>
    </xf>
    <xf numFmtId="174" fontId="20" fillId="9" borderId="6" xfId="0" applyNumberFormat="1" applyFont="1" applyFill="1" applyBorder="1" applyAlignment="1">
      <alignment horizontal="center" vertical="center" shrinkToFit="1"/>
    </xf>
    <xf numFmtId="174" fontId="20" fillId="9" borderId="37" xfId="0" applyNumberFormat="1" applyFont="1" applyFill="1" applyBorder="1" applyAlignment="1">
      <alignment horizontal="center" vertical="center" shrinkToFit="1"/>
    </xf>
    <xf numFmtId="174" fontId="20" fillId="9" borderId="39" xfId="0" applyNumberFormat="1" applyFont="1" applyFill="1" applyBorder="1" applyAlignment="1">
      <alignment horizontal="center" vertical="center" shrinkToFit="1"/>
    </xf>
    <xf numFmtId="166" fontId="20" fillId="9" borderId="30" xfId="0" applyNumberFormat="1" applyFont="1" applyFill="1" applyBorder="1" applyAlignment="1">
      <alignment horizontal="center" vertical="center" shrinkToFit="1"/>
    </xf>
    <xf numFmtId="166" fontId="20" fillId="9" borderId="43" xfId="0" applyNumberFormat="1" applyFont="1" applyFill="1" applyBorder="1" applyAlignment="1">
      <alignment horizontal="center" vertical="center" shrinkToFit="1"/>
    </xf>
    <xf numFmtId="166" fontId="20" fillId="9" borderId="44" xfId="0" applyNumberFormat="1" applyFont="1" applyFill="1" applyBorder="1" applyAlignment="1">
      <alignment horizontal="center" vertical="center" shrinkToFit="1"/>
    </xf>
    <xf numFmtId="166" fontId="20" fillId="9" borderId="45" xfId="0" applyNumberFormat="1" applyFont="1" applyFill="1" applyBorder="1" applyAlignment="1">
      <alignment horizontal="center" vertical="center" shrinkToFit="1"/>
    </xf>
    <xf numFmtId="166" fontId="20" fillId="9" borderId="0" xfId="0" applyNumberFormat="1" applyFont="1" applyFill="1" applyAlignment="1">
      <alignment horizontal="center" vertical="center" shrinkToFit="1"/>
    </xf>
    <xf numFmtId="166" fontId="20" fillId="9" borderId="46" xfId="0" applyNumberFormat="1" applyFont="1" applyFill="1" applyBorder="1" applyAlignment="1">
      <alignment horizontal="center" vertical="center" shrinkToFit="1"/>
    </xf>
    <xf numFmtId="166" fontId="20" fillId="9" borderId="6" xfId="0" applyNumberFormat="1" applyFont="1" applyFill="1" applyBorder="1" applyAlignment="1">
      <alignment horizontal="center" vertical="center" shrinkToFit="1"/>
    </xf>
    <xf numFmtId="166" fontId="20" fillId="9" borderId="37" xfId="0" applyNumberFormat="1" applyFont="1" applyFill="1" applyBorder="1" applyAlignment="1">
      <alignment horizontal="center" vertical="center" shrinkToFit="1"/>
    </xf>
    <xf numFmtId="166" fontId="20" fillId="9" borderId="39" xfId="0" applyNumberFormat="1" applyFont="1" applyFill="1" applyBorder="1" applyAlignment="1">
      <alignment horizontal="center" vertical="center" shrinkToFit="1"/>
    </xf>
    <xf numFmtId="166" fontId="20" fillId="5" borderId="30" xfId="0" applyNumberFormat="1" applyFont="1" applyFill="1" applyBorder="1" applyAlignment="1">
      <alignment horizontal="center" vertical="center" shrinkToFit="1"/>
    </xf>
    <xf numFmtId="166" fontId="20" fillId="5" borderId="43" xfId="0" applyNumberFormat="1" applyFont="1" applyFill="1" applyBorder="1" applyAlignment="1">
      <alignment horizontal="center" vertical="center" shrinkToFit="1"/>
    </xf>
    <xf numFmtId="166" fontId="20" fillId="5" borderId="44" xfId="0" applyNumberFormat="1" applyFont="1" applyFill="1" applyBorder="1" applyAlignment="1">
      <alignment horizontal="center" vertical="center" shrinkToFit="1"/>
    </xf>
    <xf numFmtId="166" fontId="20" fillId="5" borderId="45" xfId="0" applyNumberFormat="1" applyFont="1" applyFill="1" applyBorder="1" applyAlignment="1">
      <alignment horizontal="center" vertical="center" shrinkToFit="1"/>
    </xf>
    <xf numFmtId="166" fontId="20" fillId="5" borderId="0" xfId="0" applyNumberFormat="1" applyFont="1" applyFill="1" applyAlignment="1">
      <alignment horizontal="center" vertical="center" shrinkToFit="1"/>
    </xf>
    <xf numFmtId="166" fontId="20" fillId="5" borderId="46" xfId="0" applyNumberFormat="1" applyFont="1" applyFill="1" applyBorder="1" applyAlignment="1">
      <alignment horizontal="center" vertical="center" shrinkToFit="1"/>
    </xf>
    <xf numFmtId="166" fontId="20" fillId="5" borderId="6" xfId="0" applyNumberFormat="1" applyFont="1" applyFill="1" applyBorder="1" applyAlignment="1">
      <alignment horizontal="center" vertical="center" shrinkToFit="1"/>
    </xf>
    <xf numFmtId="166" fontId="20" fillId="5" borderId="37" xfId="0" applyNumberFormat="1" applyFont="1" applyFill="1" applyBorder="1" applyAlignment="1">
      <alignment horizontal="center" vertical="center" shrinkToFit="1"/>
    </xf>
    <xf numFmtId="16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71" fontId="20" fillId="0" borderId="58" xfId="0" applyNumberFormat="1" applyFont="1" applyBorder="1" applyAlignment="1">
      <alignment horizontal="center" vertical="center" shrinkToFit="1"/>
    </xf>
    <xf numFmtId="171" fontId="20" fillId="0" borderId="43" xfId="0" applyNumberFormat="1" applyFont="1" applyBorder="1" applyAlignment="1">
      <alignment horizontal="center" vertical="center" shrinkToFit="1"/>
    </xf>
    <xf numFmtId="171" fontId="20" fillId="0" borderId="59" xfId="0" applyNumberFormat="1" applyFont="1" applyBorder="1" applyAlignment="1">
      <alignment horizontal="center" vertical="center" shrinkToFit="1"/>
    </xf>
    <xf numFmtId="171" fontId="20" fillId="0" borderId="31" xfId="0" applyNumberFormat="1" applyFont="1" applyBorder="1" applyAlignment="1">
      <alignment horizontal="center" vertical="center" shrinkToFit="1"/>
    </xf>
    <xf numFmtId="171" fontId="20" fillId="0" borderId="0" xfId="0" applyNumberFormat="1" applyFont="1" applyAlignment="1">
      <alignment horizontal="center" vertical="center" shrinkToFit="1"/>
    </xf>
    <xf numFmtId="171" fontId="20" fillId="0" borderId="32" xfId="0" applyNumberFormat="1" applyFont="1" applyBorder="1" applyAlignment="1">
      <alignment horizontal="center" vertical="center" shrinkToFit="1"/>
    </xf>
    <xf numFmtId="171" fontId="20" fillId="0" borderId="21" xfId="0" applyNumberFormat="1" applyFont="1" applyBorder="1" applyAlignment="1">
      <alignment horizontal="center" vertical="center" shrinkToFit="1"/>
    </xf>
    <xf numFmtId="171" fontId="20" fillId="0" borderId="22" xfId="0" applyNumberFormat="1" applyFont="1" applyBorder="1" applyAlignment="1">
      <alignment horizontal="center" vertical="center" shrinkToFit="1"/>
    </xf>
    <xf numFmtId="17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6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74" fontId="20" fillId="9" borderId="2" xfId="0" applyNumberFormat="1" applyFont="1" applyFill="1" applyBorder="1" applyAlignment="1">
      <alignment horizontal="center" vertical="center" shrinkToFit="1"/>
    </xf>
    <xf numFmtId="174" fontId="20" fillId="9" borderId="29" xfId="0" applyNumberFormat="1" applyFont="1" applyFill="1" applyBorder="1" applyAlignment="1">
      <alignment horizontal="center" vertical="center" shrinkToFit="1"/>
    </xf>
    <xf numFmtId="174" fontId="20" fillId="9" borderId="26" xfId="0" applyNumberFormat="1" applyFont="1" applyFill="1" applyBorder="1" applyAlignment="1">
      <alignment horizontal="center" vertical="center" shrinkToFit="1"/>
    </xf>
    <xf numFmtId="166" fontId="20" fillId="9" borderId="2" xfId="0" applyNumberFormat="1" applyFont="1" applyFill="1" applyBorder="1" applyAlignment="1">
      <alignment horizontal="center" vertical="center" shrinkToFit="1"/>
    </xf>
    <xf numFmtId="166" fontId="20" fillId="9" borderId="29" xfId="0" applyNumberFormat="1" applyFont="1" applyFill="1" applyBorder="1" applyAlignment="1">
      <alignment horizontal="center" vertical="center" shrinkToFit="1"/>
    </xf>
    <xf numFmtId="16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74" fontId="20" fillId="5" borderId="2" xfId="0" applyNumberFormat="1" applyFont="1" applyFill="1" applyBorder="1" applyAlignment="1">
      <alignment horizontal="center" vertical="center" shrinkToFit="1"/>
    </xf>
    <xf numFmtId="174" fontId="20" fillId="5" borderId="29" xfId="0" applyNumberFormat="1" applyFont="1" applyFill="1" applyBorder="1" applyAlignment="1">
      <alignment horizontal="center" vertical="center" shrinkToFit="1"/>
    </xf>
    <xf numFmtId="174" fontId="20" fillId="5" borderId="26" xfId="0" applyNumberFormat="1" applyFont="1" applyFill="1" applyBorder="1" applyAlignment="1">
      <alignment horizontal="center" vertical="center" shrinkToFit="1"/>
    </xf>
    <xf numFmtId="166" fontId="20" fillId="5" borderId="2" xfId="0" applyNumberFormat="1" applyFont="1" applyFill="1" applyBorder="1" applyAlignment="1">
      <alignment horizontal="center" vertical="center" shrinkToFit="1"/>
    </xf>
    <xf numFmtId="166" fontId="20" fillId="5" borderId="29" xfId="0" applyNumberFormat="1" applyFont="1" applyFill="1" applyBorder="1" applyAlignment="1">
      <alignment horizontal="center" vertical="center" shrinkToFit="1"/>
    </xf>
    <xf numFmtId="166" fontId="20" fillId="5" borderId="26" xfId="0" applyNumberFormat="1" applyFont="1" applyFill="1" applyBorder="1" applyAlignment="1">
      <alignment horizontal="center" vertical="center" shrinkToFit="1"/>
    </xf>
    <xf numFmtId="166" fontId="20" fillId="6" borderId="30" xfId="0" applyNumberFormat="1" applyFont="1" applyFill="1" applyBorder="1" applyAlignment="1">
      <alignment horizontal="center" vertical="center" shrinkToFit="1"/>
    </xf>
    <xf numFmtId="166" fontId="20" fillId="6" borderId="43" xfId="0" applyNumberFormat="1" applyFont="1" applyFill="1" applyBorder="1" applyAlignment="1">
      <alignment horizontal="center" vertical="center" shrinkToFit="1"/>
    </xf>
    <xf numFmtId="166" fontId="20" fillId="6" borderId="44" xfId="0" applyNumberFormat="1" applyFont="1" applyFill="1" applyBorder="1" applyAlignment="1">
      <alignment horizontal="center" vertic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66" fontId="20" fillId="6" borderId="6" xfId="0" applyNumberFormat="1" applyFont="1" applyFill="1" applyBorder="1" applyAlignment="1">
      <alignment horizontal="center" vertical="center" shrinkToFit="1"/>
    </xf>
    <xf numFmtId="166" fontId="20" fillId="6" borderId="37" xfId="0" applyNumberFormat="1" applyFont="1" applyFill="1" applyBorder="1" applyAlignment="1">
      <alignment horizontal="center" vertical="center" shrinkToFit="1"/>
    </xf>
    <xf numFmtId="166" fontId="20" fillId="6" borderId="39" xfId="0" applyNumberFormat="1" applyFont="1" applyFill="1" applyBorder="1" applyAlignment="1">
      <alignment horizontal="center" vertical="center" shrinkToFit="1"/>
    </xf>
    <xf numFmtId="174" fontId="20" fillId="6" borderId="30" xfId="0" applyNumberFormat="1" applyFont="1" applyFill="1" applyBorder="1" applyAlignment="1">
      <alignment horizontal="center" vertical="center" shrinkToFit="1"/>
    </xf>
    <xf numFmtId="174" fontId="20" fillId="6" borderId="43" xfId="0" applyNumberFormat="1" applyFont="1" applyFill="1" applyBorder="1" applyAlignment="1">
      <alignment horizontal="center" vertical="center" shrinkToFit="1"/>
    </xf>
    <xf numFmtId="174" fontId="20" fillId="6" borderId="44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74" fontId="20" fillId="6" borderId="6" xfId="0" applyNumberFormat="1" applyFont="1" applyFill="1" applyBorder="1" applyAlignment="1">
      <alignment horizontal="center" vertical="center" shrinkToFit="1"/>
    </xf>
    <xf numFmtId="174" fontId="20" fillId="6" borderId="37" xfId="0" applyNumberFormat="1" applyFont="1" applyFill="1" applyBorder="1" applyAlignment="1">
      <alignment horizontal="center" vertical="center" shrinkToFit="1"/>
    </xf>
    <xf numFmtId="174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67" fontId="4" fillId="11" borderId="2" xfId="0" applyNumberFormat="1" applyFont="1" applyFill="1" applyBorder="1" applyAlignment="1">
      <alignment horizontal="center" vertical="center" shrinkToFit="1"/>
    </xf>
    <xf numFmtId="167" fontId="4" fillId="11" borderId="29" xfId="0" applyNumberFormat="1" applyFont="1" applyFill="1" applyBorder="1" applyAlignment="1">
      <alignment horizontal="center" vertical="center" shrinkToFit="1"/>
    </xf>
    <xf numFmtId="167" fontId="4" fillId="11" borderId="26" xfId="0" applyNumberFormat="1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18" sqref="R18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1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3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8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4277</v>
      </c>
      <c r="C5" s="59" t="s">
        <v>34</v>
      </c>
      <c r="D5" s="190" t="s">
        <v>35</v>
      </c>
      <c r="E5" s="171" t="s">
        <v>36</v>
      </c>
      <c r="F5" s="160">
        <v>815</v>
      </c>
      <c r="G5" s="109" t="s">
        <v>20</v>
      </c>
      <c r="H5" s="82"/>
      <c r="I5" s="115"/>
      <c r="J5" s="120">
        <v>90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66" t="s">
        <v>37</v>
      </c>
      <c r="P5" s="367"/>
      <c r="Q5" s="368"/>
      <c r="R5" s="32" t="s">
        <v>5</v>
      </c>
      <c r="S5" s="30">
        <v>0.33333333333333331</v>
      </c>
      <c r="T5" s="31">
        <v>0.73958333333333337</v>
      </c>
      <c r="U5" s="83">
        <f t="shared" ref="U5:U15" si="0">(T5-S5)*24</f>
        <v>9.7500000000000018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249">
        <v>2</v>
      </c>
      <c r="B6" s="250">
        <v>4278</v>
      </c>
      <c r="C6" s="251" t="s">
        <v>39</v>
      </c>
      <c r="D6" s="252" t="s">
        <v>40</v>
      </c>
      <c r="E6" s="253" t="s">
        <v>41</v>
      </c>
      <c r="F6" s="254">
        <v>911</v>
      </c>
      <c r="G6" s="255" t="s">
        <v>42</v>
      </c>
      <c r="H6" s="256"/>
      <c r="I6" s="256"/>
      <c r="J6" s="256" t="str">
        <f t="shared" ref="J6:J20" si="1">IF(G6="RSL","45","0")</f>
        <v>0</v>
      </c>
      <c r="K6" s="256">
        <v>125</v>
      </c>
      <c r="L6" s="257"/>
      <c r="M6" s="257">
        <v>750</v>
      </c>
      <c r="N6" s="258" t="s">
        <v>5</v>
      </c>
      <c r="O6" s="369" t="s">
        <v>43</v>
      </c>
      <c r="P6" s="370"/>
      <c r="Q6" s="371"/>
      <c r="R6" s="122" t="s">
        <v>44</v>
      </c>
      <c r="S6" s="30">
        <v>0.33333333333333331</v>
      </c>
      <c r="T6" s="31">
        <v>0.73958333333333337</v>
      </c>
      <c r="U6" s="83">
        <f t="shared" si="0"/>
        <v>9.7500000000000018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4279</v>
      </c>
      <c r="C7" s="58" t="s">
        <v>45</v>
      </c>
      <c r="D7" s="190" t="s">
        <v>46</v>
      </c>
      <c r="E7" s="171" t="s">
        <v>41</v>
      </c>
      <c r="F7" s="161">
        <v>945</v>
      </c>
      <c r="G7" s="109" t="s">
        <v>47</v>
      </c>
      <c r="H7" s="82"/>
      <c r="I7" s="115">
        <v>85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5</v>
      </c>
      <c r="O7" s="294"/>
      <c r="P7" s="293"/>
      <c r="Q7" s="295"/>
      <c r="R7" s="124" t="s">
        <v>48</v>
      </c>
      <c r="S7" s="30">
        <v>0.375</v>
      </c>
      <c r="T7" s="31">
        <v>0.73958333333333337</v>
      </c>
      <c r="U7" s="83">
        <f t="shared" si="0"/>
        <v>8.75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4280</v>
      </c>
      <c r="C8" s="26" t="s">
        <v>49</v>
      </c>
      <c r="D8" s="190" t="s">
        <v>50</v>
      </c>
      <c r="E8" s="171" t="s">
        <v>41</v>
      </c>
      <c r="F8" s="161">
        <v>1000</v>
      </c>
      <c r="G8" s="109" t="s">
        <v>51</v>
      </c>
      <c r="H8" s="82"/>
      <c r="I8" s="115">
        <v>110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5</v>
      </c>
      <c r="O8" s="324"/>
      <c r="P8" s="325"/>
      <c r="Q8" s="326"/>
      <c r="R8" s="25" t="s">
        <v>52</v>
      </c>
      <c r="S8" s="30">
        <v>0.39583333333333331</v>
      </c>
      <c r="T8" s="31">
        <v>0.72916666666666663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4281</v>
      </c>
      <c r="C9" s="54" t="s">
        <v>53</v>
      </c>
      <c r="D9" s="191" t="s">
        <v>54</v>
      </c>
      <c r="E9" s="171" t="s">
        <v>36</v>
      </c>
      <c r="F9" s="162">
        <v>1005</v>
      </c>
      <c r="G9" s="110" t="s">
        <v>20</v>
      </c>
      <c r="H9" s="82">
        <v>15</v>
      </c>
      <c r="I9" s="82"/>
      <c r="J9" s="120" t="str">
        <f t="shared" si="1"/>
        <v>45</v>
      </c>
      <c r="K9" s="120" t="str">
        <f t="shared" si="2"/>
        <v>0</v>
      </c>
      <c r="L9" s="121"/>
      <c r="M9" s="121"/>
      <c r="N9" s="124" t="s">
        <v>5</v>
      </c>
      <c r="O9" s="324">
        <v>202110059</v>
      </c>
      <c r="P9" s="325"/>
      <c r="Q9" s="326"/>
      <c r="R9" s="25" t="s">
        <v>55</v>
      </c>
      <c r="S9" s="30">
        <v>0.375</v>
      </c>
      <c r="T9" s="31">
        <v>0.73958333333333337</v>
      </c>
      <c r="U9" s="83">
        <f t="shared" si="0"/>
        <v>8.75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4282</v>
      </c>
      <c r="C10" s="27" t="s">
        <v>57</v>
      </c>
      <c r="D10" s="192" t="s">
        <v>58</v>
      </c>
      <c r="E10" s="171" t="s">
        <v>41</v>
      </c>
      <c r="F10" s="163">
        <v>1045</v>
      </c>
      <c r="G10" s="111" t="s">
        <v>59</v>
      </c>
      <c r="H10" s="114"/>
      <c r="I10" s="116">
        <v>60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5</v>
      </c>
      <c r="O10" s="316"/>
      <c r="P10" s="317"/>
      <c r="Q10" s="318"/>
      <c r="R10" s="25" t="s">
        <v>60</v>
      </c>
      <c r="S10" s="30">
        <v>0.39583333333333331</v>
      </c>
      <c r="T10" s="31">
        <v>0.55208333333333337</v>
      </c>
      <c r="U10" s="83">
        <f t="shared" si="0"/>
        <v>3.7500000000000013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4283</v>
      </c>
      <c r="C11" s="17" t="s">
        <v>61</v>
      </c>
      <c r="D11" s="193" t="s">
        <v>62</v>
      </c>
      <c r="E11" s="171" t="s">
        <v>36</v>
      </c>
      <c r="F11" s="57">
        <v>1140</v>
      </c>
      <c r="G11" s="112" t="s">
        <v>51</v>
      </c>
      <c r="H11" s="114"/>
      <c r="I11" s="115">
        <v>140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5</v>
      </c>
      <c r="O11" s="294"/>
      <c r="P11" s="293"/>
      <c r="Q11" s="295"/>
      <c r="R11" s="25" t="s">
        <v>63</v>
      </c>
      <c r="S11" s="30">
        <v>0.5625</v>
      </c>
      <c r="T11" s="31">
        <v>0.72916666666666663</v>
      </c>
      <c r="U11" s="83">
        <f t="shared" si="0"/>
        <v>3.9999999999999991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4284</v>
      </c>
      <c r="C12" s="55" t="s">
        <v>64</v>
      </c>
      <c r="D12" s="194" t="s">
        <v>65</v>
      </c>
      <c r="E12" s="171" t="s">
        <v>36</v>
      </c>
      <c r="F12" s="163">
        <v>1145</v>
      </c>
      <c r="G12" s="110" t="s">
        <v>66</v>
      </c>
      <c r="H12" s="114">
        <v>100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5</v>
      </c>
      <c r="O12" s="294"/>
      <c r="P12" s="293"/>
      <c r="Q12" s="295"/>
      <c r="R12" s="25" t="s">
        <v>67</v>
      </c>
      <c r="S12" s="30">
        <v>0.41666666666666669</v>
      </c>
      <c r="T12" s="31">
        <v>0.70833333333333337</v>
      </c>
      <c r="U12" s="83">
        <f t="shared" si="0"/>
        <v>7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4285</v>
      </c>
      <c r="C13" s="55" t="s">
        <v>68</v>
      </c>
      <c r="D13" s="194" t="s">
        <v>69</v>
      </c>
      <c r="E13" s="171" t="s">
        <v>41</v>
      </c>
      <c r="F13" s="163">
        <v>1150</v>
      </c>
      <c r="G13" s="110" t="s">
        <v>70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5</v>
      </c>
      <c r="O13" s="294"/>
      <c r="P13" s="293"/>
      <c r="Q13" s="295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4286</v>
      </c>
      <c r="C14" s="56" t="s">
        <v>71</v>
      </c>
      <c r="D14" s="195" t="s">
        <v>72</v>
      </c>
      <c r="E14" s="171" t="s">
        <v>36</v>
      </c>
      <c r="F14" s="164">
        <v>1150</v>
      </c>
      <c r="G14" s="113" t="s">
        <v>70</v>
      </c>
      <c r="H14" s="114"/>
      <c r="I14" s="116">
        <v>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5</v>
      </c>
      <c r="O14" s="294"/>
      <c r="P14" s="293"/>
      <c r="Q14" s="295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4287</v>
      </c>
      <c r="C15" s="56" t="s">
        <v>73</v>
      </c>
      <c r="D15" s="195" t="s">
        <v>74</v>
      </c>
      <c r="E15" s="171" t="s">
        <v>36</v>
      </c>
      <c r="F15" s="164">
        <v>1200</v>
      </c>
      <c r="G15" s="113" t="s">
        <v>75</v>
      </c>
      <c r="H15" s="114"/>
      <c r="I15" s="115">
        <v>380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5</v>
      </c>
      <c r="O15" s="294"/>
      <c r="P15" s="293"/>
      <c r="Q15" s="29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4288</v>
      </c>
      <c r="C16" s="56" t="s">
        <v>76</v>
      </c>
      <c r="D16" s="195" t="s">
        <v>77</v>
      </c>
      <c r="E16" s="171" t="s">
        <v>36</v>
      </c>
      <c r="F16" s="164">
        <v>1205</v>
      </c>
      <c r="G16" s="113" t="s">
        <v>47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5</v>
      </c>
      <c r="O16" s="294"/>
      <c r="P16" s="293"/>
      <c r="Q16" s="295"/>
      <c r="R16" s="73">
        <f>H32/U16</f>
        <v>0.41841004184100417</v>
      </c>
      <c r="S16" s="74">
        <f>H32/(U16-U5)</f>
        <v>0.5</v>
      </c>
      <c r="T16" s="74">
        <f>C32/U16</f>
        <v>44.490376569037657</v>
      </c>
      <c r="U16" s="74">
        <f>SUM(U5:U15)</f>
        <v>59.75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4289</v>
      </c>
      <c r="C17" s="17" t="s">
        <v>78</v>
      </c>
      <c r="D17" s="193" t="s">
        <v>79</v>
      </c>
      <c r="E17" s="171" t="s">
        <v>41</v>
      </c>
      <c r="F17" s="57">
        <v>1210</v>
      </c>
      <c r="G17" s="112" t="s">
        <v>70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5</v>
      </c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4290</v>
      </c>
      <c r="C18" s="17" t="s">
        <v>84</v>
      </c>
      <c r="D18" s="193" t="s">
        <v>85</v>
      </c>
      <c r="E18" s="171" t="s">
        <v>36</v>
      </c>
      <c r="F18" s="57">
        <v>1300</v>
      </c>
      <c r="G18" s="19" t="s">
        <v>42</v>
      </c>
      <c r="H18" s="114"/>
      <c r="I18" s="115"/>
      <c r="J18" s="120" t="str">
        <f t="shared" si="1"/>
        <v>0</v>
      </c>
      <c r="K18" s="120">
        <v>58.3</v>
      </c>
      <c r="L18" s="121"/>
      <c r="M18" s="121"/>
      <c r="N18" s="124" t="s">
        <v>5</v>
      </c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4291</v>
      </c>
      <c r="C19" s="17" t="s">
        <v>90</v>
      </c>
      <c r="D19" s="193" t="s">
        <v>91</v>
      </c>
      <c r="E19" s="171" t="s">
        <v>41</v>
      </c>
      <c r="F19" s="57">
        <v>1300</v>
      </c>
      <c r="G19" s="112" t="s">
        <v>75</v>
      </c>
      <c r="H19" s="114">
        <v>250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5</v>
      </c>
      <c r="O19" s="294"/>
      <c r="P19" s="293"/>
      <c r="Q19" s="293"/>
      <c r="R19" s="84" t="s">
        <v>21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4292</v>
      </c>
      <c r="C20" s="17" t="s">
        <v>92</v>
      </c>
      <c r="D20" s="193" t="s">
        <v>93</v>
      </c>
      <c r="E20" s="171" t="s">
        <v>41</v>
      </c>
      <c r="F20" s="57">
        <v>1315</v>
      </c>
      <c r="G20" s="112" t="s">
        <v>51</v>
      </c>
      <c r="H20" s="114"/>
      <c r="I20" s="115">
        <v>150</v>
      </c>
      <c r="J20" s="211" t="str">
        <f t="shared" si="1"/>
        <v>0</v>
      </c>
      <c r="K20" s="211" t="str">
        <f t="shared" si="2"/>
        <v>0</v>
      </c>
      <c r="L20" s="210"/>
      <c r="M20" s="210"/>
      <c r="N20" s="124" t="s">
        <v>5</v>
      </c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4293</v>
      </c>
      <c r="C21" s="17" t="s">
        <v>94</v>
      </c>
      <c r="D21" s="193" t="s">
        <v>95</v>
      </c>
      <c r="E21" s="171" t="s">
        <v>41</v>
      </c>
      <c r="F21" s="57">
        <v>1316</v>
      </c>
      <c r="G21" s="19" t="s">
        <v>47</v>
      </c>
      <c r="H21" s="114">
        <v>75</v>
      </c>
      <c r="I21" s="115"/>
      <c r="J21" s="120" t="str">
        <f>IF(G21="RSL","45","0")</f>
        <v>0</v>
      </c>
      <c r="K21" s="120" t="str">
        <f t="shared" si="2"/>
        <v>0</v>
      </c>
      <c r="L21" s="121"/>
      <c r="M21" s="121"/>
      <c r="N21" s="124" t="s">
        <v>5</v>
      </c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4294</v>
      </c>
      <c r="C22" s="21" t="s">
        <v>96</v>
      </c>
      <c r="D22" s="196" t="s">
        <v>97</v>
      </c>
      <c r="E22" s="171" t="s">
        <v>36</v>
      </c>
      <c r="F22" s="165">
        <v>13330</v>
      </c>
      <c r="G22" s="204" t="s">
        <v>47</v>
      </c>
      <c r="H22" s="80"/>
      <c r="I22" s="131">
        <v>95</v>
      </c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 t="s">
        <v>5</v>
      </c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4295</v>
      </c>
      <c r="C23" s="126" t="s">
        <v>99</v>
      </c>
      <c r="D23" s="197" t="s">
        <v>100</v>
      </c>
      <c r="E23" s="171" t="s">
        <v>36</v>
      </c>
      <c r="F23" s="166">
        <v>1400</v>
      </c>
      <c r="G23" s="155" t="s">
        <v>47</v>
      </c>
      <c r="H23" s="80"/>
      <c r="I23" s="131">
        <v>75</v>
      </c>
      <c r="J23" s="120" t="str">
        <f t="shared" si="3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>
        <v>4296</v>
      </c>
      <c r="C24" s="21" t="s">
        <v>101</v>
      </c>
      <c r="D24" s="196" t="s">
        <v>102</v>
      </c>
      <c r="E24" s="171" t="s">
        <v>41</v>
      </c>
      <c r="F24" s="165">
        <v>1430</v>
      </c>
      <c r="G24" s="204" t="s">
        <v>47</v>
      </c>
      <c r="H24" s="80"/>
      <c r="I24" s="131">
        <v>100</v>
      </c>
      <c r="J24" s="120" t="str">
        <f t="shared" si="3"/>
        <v>0</v>
      </c>
      <c r="K24" s="120" t="str">
        <f t="shared" si="2"/>
        <v>0</v>
      </c>
      <c r="L24" s="60"/>
      <c r="M24" s="60"/>
      <c r="N24" s="124" t="s">
        <v>5</v>
      </c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>
        <v>4297</v>
      </c>
      <c r="C25" s="122" t="s">
        <v>110</v>
      </c>
      <c r="D25" s="198" t="s">
        <v>111</v>
      </c>
      <c r="E25" s="171" t="s">
        <v>41</v>
      </c>
      <c r="F25" s="165">
        <v>1430</v>
      </c>
      <c r="G25" s="204" t="s">
        <v>51</v>
      </c>
      <c r="H25" s="81"/>
      <c r="I25" s="81">
        <v>150</v>
      </c>
      <c r="J25" s="120" t="str">
        <f t="shared" si="3"/>
        <v>0</v>
      </c>
      <c r="K25" s="120" t="str">
        <f t="shared" si="2"/>
        <v>0</v>
      </c>
      <c r="L25" s="60"/>
      <c r="M25" s="60"/>
      <c r="N25" s="124" t="s">
        <v>5</v>
      </c>
      <c r="O25" s="294"/>
      <c r="P25" s="293"/>
      <c r="Q25" s="29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1</v>
      </c>
      <c r="U25" s="364">
        <f>((C32+(R26+S26+T26)*0.5))</f>
        <v>2683.3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>
        <v>4298</v>
      </c>
      <c r="C26" s="26" t="s">
        <v>112</v>
      </c>
      <c r="D26" s="199" t="s">
        <v>113</v>
      </c>
      <c r="E26" s="171" t="s">
        <v>36</v>
      </c>
      <c r="F26" s="167">
        <v>1430</v>
      </c>
      <c r="G26" s="19" t="s">
        <v>51</v>
      </c>
      <c r="H26" s="80"/>
      <c r="I26" s="131">
        <v>120</v>
      </c>
      <c r="J26" s="120" t="str">
        <f t="shared" si="3"/>
        <v>0</v>
      </c>
      <c r="K26" s="120" t="str">
        <f t="shared" si="2"/>
        <v>0</v>
      </c>
      <c r="L26" s="60"/>
      <c r="M26" s="60"/>
      <c r="N26" s="124" t="s">
        <v>5</v>
      </c>
      <c r="O26" s="294"/>
      <c r="P26" s="293"/>
      <c r="Q26" s="295"/>
      <c r="R26" s="103">
        <f>R25*37.5</f>
        <v>0</v>
      </c>
      <c r="S26" s="93">
        <f>S25*41.5</f>
        <v>0</v>
      </c>
      <c r="T26" s="93">
        <f>T25*50</f>
        <v>50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>
        <v>4299</v>
      </c>
      <c r="C27" s="26" t="s">
        <v>115</v>
      </c>
      <c r="D27" s="199" t="s">
        <v>116</v>
      </c>
      <c r="E27" s="171" t="s">
        <v>41</v>
      </c>
      <c r="F27" s="167">
        <v>1500</v>
      </c>
      <c r="G27" s="19" t="s">
        <v>117</v>
      </c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 t="s">
        <v>5</v>
      </c>
      <c r="O27" s="294" t="s">
        <v>118</v>
      </c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>
        <v>4300</v>
      </c>
      <c r="C28" s="26" t="s">
        <v>121</v>
      </c>
      <c r="D28" s="199" t="s">
        <v>122</v>
      </c>
      <c r="E28" s="171" t="s">
        <v>36</v>
      </c>
      <c r="F28" s="167">
        <v>1504</v>
      </c>
      <c r="G28" s="19" t="s">
        <v>20</v>
      </c>
      <c r="H28" s="80">
        <v>15</v>
      </c>
      <c r="I28" s="131"/>
      <c r="J28" s="120" t="str">
        <f t="shared" si="3"/>
        <v>45</v>
      </c>
      <c r="K28" s="120" t="str">
        <f t="shared" si="2"/>
        <v>0</v>
      </c>
      <c r="L28" s="60"/>
      <c r="M28" s="60"/>
      <c r="N28" s="124" t="s">
        <v>5</v>
      </c>
      <c r="O28" s="294">
        <v>202110170</v>
      </c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>
        <v>4601</v>
      </c>
      <c r="C29" s="33" t="s">
        <v>123</v>
      </c>
      <c r="D29" s="200" t="s">
        <v>124</v>
      </c>
      <c r="E29" s="172" t="s">
        <v>41</v>
      </c>
      <c r="F29" s="167">
        <v>1610</v>
      </c>
      <c r="G29" s="19" t="s">
        <v>47</v>
      </c>
      <c r="H29" s="80">
        <v>75</v>
      </c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 t="s">
        <v>5</v>
      </c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530</v>
      </c>
      <c r="I30" s="96">
        <f>SUM(I5:I29)</f>
        <v>1765</v>
      </c>
      <c r="J30" s="96">
        <f>J5+J6+J7+J8+J9+J10+J11+J12+J13+J14+J15+J16+J18+J19+J17+J20+J22+J23+J21+J24+J25+J26+J27+J28+J29</f>
        <v>180</v>
      </c>
      <c r="K30" s="96">
        <f>K5+K6+K7+K8+K9+K10+K11+K12+K13+K14+K15+K16+K18+K19+K17+K20+K22+K23+K21+K24+K25+K26+K27+K28+K29</f>
        <v>183.3</v>
      </c>
      <c r="L30" s="97">
        <f t="shared" si="4"/>
        <v>0</v>
      </c>
      <c r="M30" s="97">
        <f t="shared" si="4"/>
        <v>750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530</v>
      </c>
      <c r="I31" s="94">
        <f t="shared" si="5"/>
        <v>1765</v>
      </c>
      <c r="J31" s="94">
        <f t="shared" si="5"/>
        <v>180</v>
      </c>
      <c r="K31" s="94">
        <f>K30+K62+K94</f>
        <v>183.3</v>
      </c>
      <c r="L31" s="88">
        <f>L30+L62+L94</f>
        <v>0</v>
      </c>
      <c r="M31" s="88">
        <f>M30+M62+M94</f>
        <v>750</v>
      </c>
      <c r="N31" s="207">
        <f>COUNT(H5:H29,H37:H61,H69:H93)</f>
        <v>6</v>
      </c>
      <c r="O31" s="95">
        <f>COUNT(I5:I29,I37:I61,I69:I93)</f>
        <v>15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3</v>
      </c>
      <c r="R31" s="89" t="s">
        <v>128</v>
      </c>
      <c r="S31" s="102">
        <f>H31+L31-U28-U29-U30</f>
        <v>530</v>
      </c>
      <c r="T31" s="333">
        <f>H31+I31+L31+M31</f>
        <v>3045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2658.3</v>
      </c>
      <c r="D32" s="186"/>
      <c r="E32" s="98"/>
      <c r="F32" s="355" t="s">
        <v>131</v>
      </c>
      <c r="G32" s="355"/>
      <c r="H32" s="100">
        <f>COUNT(B5:B29,B37:B61,B69:B93)</f>
        <v>25</v>
      </c>
      <c r="I32" s="356" t="s">
        <v>132</v>
      </c>
      <c r="J32" s="356"/>
      <c r="K32" s="99">
        <f>C32/H32</f>
        <v>106.33200000000001</v>
      </c>
      <c r="L32" s="208"/>
      <c r="M32" s="208"/>
      <c r="N32" s="208">
        <f>H31/C32</f>
        <v>0.19937554075913178</v>
      </c>
      <c r="O32" s="208">
        <f>I31/C32</f>
        <v>0.66395816875446712</v>
      </c>
      <c r="P32" s="208">
        <f>K31/C32</f>
        <v>6.8953842681412927E-2</v>
      </c>
      <c r="Q32" s="101">
        <f>J31/C32</f>
        <v>6.7712447804988141E-2</v>
      </c>
      <c r="R32" s="90" t="s">
        <v>133</v>
      </c>
      <c r="S32" s="203">
        <f>I31+M31</f>
        <v>2515</v>
      </c>
      <c r="T32" s="335"/>
      <c r="U32" s="336"/>
      <c r="V32" s="39"/>
      <c r="W32" s="39"/>
      <c r="X32" s="48" t="s">
        <v>134</v>
      </c>
      <c r="Y32" s="48"/>
      <c r="Z32" s="47">
        <f>I31</f>
        <v>1765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-980</v>
      </c>
      <c r="AG33" s="35"/>
    </row>
    <row r="34" spans="1:33" ht="17.25" thickBot="1">
      <c r="A34" s="327" t="str">
        <f>A2</f>
        <v>27-12-2021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CLOUDY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8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27-12-2021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CLOUDY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8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9" sqref="R9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140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141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7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4602</v>
      </c>
      <c r="C5" s="59" t="s">
        <v>142</v>
      </c>
      <c r="D5" s="190" t="s">
        <v>143</v>
      </c>
      <c r="E5" s="171" t="s">
        <v>36</v>
      </c>
      <c r="F5" s="160">
        <v>951</v>
      </c>
      <c r="G5" s="109" t="s">
        <v>70</v>
      </c>
      <c r="H5" s="82">
        <v>75</v>
      </c>
      <c r="I5" s="115"/>
      <c r="J5" s="120" t="str">
        <f t="shared" ref="J5:J20" si="0">IF(G5="RSL","45","0")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66"/>
      <c r="P5" s="367"/>
      <c r="Q5" s="368"/>
      <c r="R5" s="32" t="s">
        <v>5</v>
      </c>
      <c r="S5" s="30">
        <v>0.33333333333333331</v>
      </c>
      <c r="T5" s="31">
        <v>0.70833333333333337</v>
      </c>
      <c r="U5" s="83">
        <f t="shared" ref="U5:U15" si="1">(T5-S5)*24</f>
        <v>9.0000000000000018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4603</v>
      </c>
      <c r="C6" s="58" t="s">
        <v>144</v>
      </c>
      <c r="D6" s="190" t="s">
        <v>145</v>
      </c>
      <c r="E6" s="171" t="s">
        <v>36</v>
      </c>
      <c r="F6" s="161">
        <v>1100</v>
      </c>
      <c r="G6" s="109" t="s">
        <v>146</v>
      </c>
      <c r="H6" s="82"/>
      <c r="I6" s="115"/>
      <c r="J6" s="120" t="str">
        <f t="shared" si="0"/>
        <v>0</v>
      </c>
      <c r="K6" s="120">
        <v>70.8</v>
      </c>
      <c r="L6" s="121"/>
      <c r="M6" s="121"/>
      <c r="N6" s="124" t="s">
        <v>5</v>
      </c>
      <c r="O6" s="321" t="s">
        <v>147</v>
      </c>
      <c r="P6" s="322"/>
      <c r="Q6" s="323"/>
      <c r="R6" s="122" t="s">
        <v>44</v>
      </c>
      <c r="S6" s="30">
        <v>0.33333333333333331</v>
      </c>
      <c r="T6" s="31">
        <v>0.70833333333333337</v>
      </c>
      <c r="U6" s="83">
        <f t="shared" si="1"/>
        <v>9.0000000000000018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4604</v>
      </c>
      <c r="C7" s="58" t="s">
        <v>148</v>
      </c>
      <c r="D7" s="190" t="s">
        <v>149</v>
      </c>
      <c r="E7" s="171" t="s">
        <v>41</v>
      </c>
      <c r="F7" s="161">
        <v>1120</v>
      </c>
      <c r="G7" s="109" t="s">
        <v>47</v>
      </c>
      <c r="H7" s="82"/>
      <c r="I7" s="115">
        <v>75</v>
      </c>
      <c r="J7" s="120" t="str">
        <f t="shared" si="0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5</v>
      </c>
      <c r="O7" s="294"/>
      <c r="P7" s="293"/>
      <c r="Q7" s="295"/>
      <c r="R7" s="124" t="s">
        <v>48</v>
      </c>
      <c r="S7" s="30">
        <v>0.38541666666666669</v>
      </c>
      <c r="T7" s="31">
        <v>0.70833333333333337</v>
      </c>
      <c r="U7" s="83">
        <f t="shared" si="1"/>
        <v>7.75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4605</v>
      </c>
      <c r="C8" s="26" t="s">
        <v>150</v>
      </c>
      <c r="D8" s="190" t="s">
        <v>151</v>
      </c>
      <c r="E8" s="171" t="s">
        <v>36</v>
      </c>
      <c r="F8" s="161">
        <v>1205</v>
      </c>
      <c r="G8" s="109" t="s">
        <v>152</v>
      </c>
      <c r="H8" s="82"/>
      <c r="I8" s="115"/>
      <c r="J8" s="120" t="str">
        <f t="shared" si="0"/>
        <v>0</v>
      </c>
      <c r="K8" s="120" t="str">
        <f t="shared" si="2"/>
        <v>0</v>
      </c>
      <c r="L8" s="121"/>
      <c r="M8" s="121"/>
      <c r="N8" s="124" t="s">
        <v>5</v>
      </c>
      <c r="O8" s="324" t="s">
        <v>153</v>
      </c>
      <c r="P8" s="325"/>
      <c r="Q8" s="326"/>
      <c r="R8" s="25" t="s">
        <v>55</v>
      </c>
      <c r="S8" s="30">
        <v>0.375</v>
      </c>
      <c r="T8" s="31">
        <v>0.70833333333333337</v>
      </c>
      <c r="U8" s="83">
        <f t="shared" si="1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4606</v>
      </c>
      <c r="C9" s="54" t="s">
        <v>154</v>
      </c>
      <c r="D9" s="191" t="s">
        <v>155</v>
      </c>
      <c r="E9" s="171" t="s">
        <v>36</v>
      </c>
      <c r="F9" s="162">
        <v>1235</v>
      </c>
      <c r="G9" s="110" t="s">
        <v>47</v>
      </c>
      <c r="H9" s="82">
        <v>95</v>
      </c>
      <c r="I9" s="82"/>
      <c r="J9" s="120" t="str">
        <f t="shared" si="0"/>
        <v>0</v>
      </c>
      <c r="K9" s="120" t="str">
        <f t="shared" si="2"/>
        <v>0</v>
      </c>
      <c r="L9" s="121"/>
      <c r="M9" s="121"/>
      <c r="N9" s="124" t="s">
        <v>5</v>
      </c>
      <c r="O9" s="324"/>
      <c r="P9" s="325"/>
      <c r="Q9" s="326"/>
      <c r="R9" s="25" t="s">
        <v>156</v>
      </c>
      <c r="S9" s="30">
        <v>0.39583333333333331</v>
      </c>
      <c r="T9" s="31">
        <v>0.58333333333333337</v>
      </c>
      <c r="U9" s="83">
        <f t="shared" si="1"/>
        <v>4.5000000000000018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4607</v>
      </c>
      <c r="C10" s="27" t="s">
        <v>157</v>
      </c>
      <c r="D10" s="192" t="s">
        <v>158</v>
      </c>
      <c r="E10" s="171" t="s">
        <v>36</v>
      </c>
      <c r="F10" s="163">
        <v>1235</v>
      </c>
      <c r="G10" s="111" t="s">
        <v>70</v>
      </c>
      <c r="H10" s="114"/>
      <c r="I10" s="116">
        <v>60</v>
      </c>
      <c r="J10" s="120" t="str">
        <f t="shared" si="0"/>
        <v>0</v>
      </c>
      <c r="K10" s="120" t="str">
        <f t="shared" si="2"/>
        <v>0</v>
      </c>
      <c r="L10" s="121"/>
      <c r="M10" s="121"/>
      <c r="N10" s="124" t="s">
        <v>5</v>
      </c>
      <c r="O10" s="316"/>
      <c r="P10" s="317"/>
      <c r="Q10" s="318"/>
      <c r="R10" s="25" t="s">
        <v>159</v>
      </c>
      <c r="S10" s="30">
        <v>0.44791666666666669</v>
      </c>
      <c r="T10" s="31">
        <v>0.58333333333333337</v>
      </c>
      <c r="U10" s="83">
        <f t="shared" si="1"/>
        <v>3.2500000000000004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4608</v>
      </c>
      <c r="C11" s="17" t="s">
        <v>160</v>
      </c>
      <c r="D11" s="193" t="s">
        <v>161</v>
      </c>
      <c r="E11" s="171" t="s">
        <v>41</v>
      </c>
      <c r="F11" s="57">
        <v>1415</v>
      </c>
      <c r="G11" s="112" t="s">
        <v>51</v>
      </c>
      <c r="H11" s="114"/>
      <c r="I11" s="115">
        <v>150</v>
      </c>
      <c r="J11" s="120" t="str">
        <f t="shared" si="0"/>
        <v>0</v>
      </c>
      <c r="K11" s="120" t="str">
        <f t="shared" si="2"/>
        <v>0</v>
      </c>
      <c r="L11" s="121"/>
      <c r="M11" s="121"/>
      <c r="N11" s="124" t="s">
        <v>5</v>
      </c>
      <c r="O11" s="294"/>
      <c r="P11" s="293"/>
      <c r="Q11" s="295"/>
      <c r="R11" s="25" t="s">
        <v>162</v>
      </c>
      <c r="S11" s="30">
        <v>0.45833333333333331</v>
      </c>
      <c r="T11" s="31">
        <v>0.5625</v>
      </c>
      <c r="U11" s="83">
        <f t="shared" si="1"/>
        <v>2.5000000000000004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4609</v>
      </c>
      <c r="C12" s="55" t="s">
        <v>163</v>
      </c>
      <c r="D12" s="194" t="s">
        <v>164</v>
      </c>
      <c r="E12" s="171" t="s">
        <v>36</v>
      </c>
      <c r="F12" s="163">
        <v>1453</v>
      </c>
      <c r="G12" s="110" t="s">
        <v>47</v>
      </c>
      <c r="H12" s="114"/>
      <c r="I12" s="116">
        <v>95</v>
      </c>
      <c r="J12" s="120" t="str">
        <f t="shared" si="0"/>
        <v>0</v>
      </c>
      <c r="K12" s="120" t="str">
        <f t="shared" si="2"/>
        <v>0</v>
      </c>
      <c r="L12" s="121"/>
      <c r="M12" s="121"/>
      <c r="N12" s="124" t="s">
        <v>5</v>
      </c>
      <c r="O12" s="294"/>
      <c r="P12" s="293"/>
      <c r="Q12" s="295"/>
      <c r="R12" s="25"/>
      <c r="S12" s="30"/>
      <c r="T12" s="31"/>
      <c r="U12" s="83">
        <f t="shared" si="1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259">
        <v>4610</v>
      </c>
      <c r="C13" s="260" t="s">
        <v>165</v>
      </c>
      <c r="D13" s="261" t="s">
        <v>166</v>
      </c>
      <c r="E13" s="262" t="s">
        <v>36</v>
      </c>
      <c r="F13" s="263">
        <v>1518</v>
      </c>
      <c r="G13" s="264" t="s">
        <v>20</v>
      </c>
      <c r="H13" s="265">
        <v>10</v>
      </c>
      <c r="I13" s="266"/>
      <c r="J13" s="267" t="str">
        <f t="shared" si="0"/>
        <v>45</v>
      </c>
      <c r="K13" s="267" t="str">
        <f t="shared" si="2"/>
        <v>0</v>
      </c>
      <c r="L13" s="268"/>
      <c r="M13" s="268"/>
      <c r="N13" s="269" t="s">
        <v>5</v>
      </c>
      <c r="O13" s="372" t="s">
        <v>167</v>
      </c>
      <c r="P13" s="373"/>
      <c r="Q13" s="374"/>
      <c r="R13" s="32"/>
      <c r="S13" s="30"/>
      <c r="T13" s="31"/>
      <c r="U13" s="83">
        <f t="shared" si="1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4611</v>
      </c>
      <c r="C14" s="56" t="s">
        <v>168</v>
      </c>
      <c r="D14" s="195" t="s">
        <v>113</v>
      </c>
      <c r="E14" s="171" t="s">
        <v>36</v>
      </c>
      <c r="F14" s="164">
        <v>1550</v>
      </c>
      <c r="G14" s="113" t="s">
        <v>70</v>
      </c>
      <c r="H14" s="114"/>
      <c r="I14" s="116">
        <v>55</v>
      </c>
      <c r="J14" s="120" t="str">
        <f t="shared" si="0"/>
        <v>0</v>
      </c>
      <c r="K14" s="120" t="str">
        <f t="shared" si="2"/>
        <v>0</v>
      </c>
      <c r="L14" s="121"/>
      <c r="M14" s="121"/>
      <c r="N14" s="124" t="s">
        <v>5</v>
      </c>
      <c r="O14" s="294"/>
      <c r="P14" s="293"/>
      <c r="Q14" s="295"/>
      <c r="R14" s="25"/>
      <c r="S14" s="30"/>
      <c r="T14" s="31"/>
      <c r="U14" s="83">
        <f t="shared" si="1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0"/>
        <v>0</v>
      </c>
      <c r="K15" s="120" t="str">
        <f t="shared" si="2"/>
        <v>0</v>
      </c>
      <c r="L15" s="121"/>
      <c r="M15" s="121"/>
      <c r="N15" s="124"/>
      <c r="O15" s="294"/>
      <c r="P15" s="293"/>
      <c r="Q15" s="295"/>
      <c r="R15" s="25"/>
      <c r="S15" s="30"/>
      <c r="T15" s="31"/>
      <c r="U15" s="83">
        <f t="shared" si="1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0"/>
        <v>0</v>
      </c>
      <c r="K16" s="120" t="str">
        <f t="shared" si="2"/>
        <v>0</v>
      </c>
      <c r="L16" s="121"/>
      <c r="M16" s="121"/>
      <c r="N16" s="124"/>
      <c r="O16" s="294"/>
      <c r="P16" s="293"/>
      <c r="Q16" s="295"/>
      <c r="R16" s="73">
        <f>H32/U16</f>
        <v>0.22727272727272727</v>
      </c>
      <c r="S16" s="74">
        <f>H32/(U16-U5)</f>
        <v>0.2857142857142857</v>
      </c>
      <c r="T16" s="74">
        <f>C32/U16</f>
        <v>16.609090909090909</v>
      </c>
      <c r="U16" s="74">
        <f>SUM(U5:U15)</f>
        <v>44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0"/>
        <v>0</v>
      </c>
      <c r="K17" s="120" t="str">
        <f t="shared" si="2"/>
        <v>0</v>
      </c>
      <c r="L17" s="121"/>
      <c r="M17" s="121"/>
      <c r="N17" s="124"/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0"/>
        <v>0</v>
      </c>
      <c r="K18" s="120" t="str">
        <f t="shared" si="2"/>
        <v>0</v>
      </c>
      <c r="L18" s="121"/>
      <c r="M18" s="121"/>
      <c r="N18" s="124"/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0"/>
        <v>0</v>
      </c>
      <c r="K19" s="120" t="str">
        <f t="shared" si="2"/>
        <v>0</v>
      </c>
      <c r="L19" s="121"/>
      <c r="M19" s="121"/>
      <c r="N19" s="124"/>
      <c r="O19" s="294"/>
      <c r="P19" s="293"/>
      <c r="Q19" s="293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211" t="str">
        <f t="shared" si="0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>IF(G21="RSL","45","0")</f>
        <v>0</v>
      </c>
      <c r="K21" s="120" t="str">
        <f t="shared" si="2"/>
        <v>0</v>
      </c>
      <c r="L21" s="121"/>
      <c r="M21" s="121"/>
      <c r="N21" s="124"/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/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3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3"/>
        <v>0</v>
      </c>
      <c r="K24" s="120" t="str">
        <f t="shared" si="2"/>
        <v>0</v>
      </c>
      <c r="L24" s="60"/>
      <c r="M24" s="60"/>
      <c r="N24" s="124"/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3"/>
        <v>0</v>
      </c>
      <c r="K25" s="120" t="str">
        <f t="shared" si="2"/>
        <v>0</v>
      </c>
      <c r="L25" s="60"/>
      <c r="M25" s="60"/>
      <c r="N25" s="124"/>
      <c r="O25" s="294"/>
      <c r="P25" s="293"/>
      <c r="Q25" s="295"/>
      <c r="R25" s="91">
        <f>COUNTIF(G5:G29,"GV1")+COUNTIF(G37:G61,"GV1")+COUNTIF(G69:G93,"GV1")</f>
        <v>1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749.55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3"/>
        <v>0</v>
      </c>
      <c r="K26" s="120" t="str">
        <f t="shared" si="2"/>
        <v>0</v>
      </c>
      <c r="L26" s="60"/>
      <c r="M26" s="60"/>
      <c r="N26" s="124"/>
      <c r="O26" s="294"/>
      <c r="P26" s="293"/>
      <c r="Q26" s="295"/>
      <c r="R26" s="103">
        <f>R25*37.5</f>
        <v>37.5</v>
      </c>
      <c r="S26" s="93">
        <f>S25*41.5</f>
        <v>0</v>
      </c>
      <c r="T26" s="93">
        <f>T25*50</f>
        <v>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/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3"/>
        <v>0</v>
      </c>
      <c r="K28" s="120" t="str">
        <f t="shared" si="2"/>
        <v>0</v>
      </c>
      <c r="L28" s="60"/>
      <c r="M28" s="60"/>
      <c r="N28" s="124"/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/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180</v>
      </c>
      <c r="I30" s="96">
        <f>SUM(I5:I29)</f>
        <v>435</v>
      </c>
      <c r="J30" s="96">
        <f>J5+J6+J7+J8+J9+J10+J11+J12+J13+J14+J15+J16+J18+J19+J17+J20+J22+J23+J21+J24+J25+J26+J27+J28+J29</f>
        <v>45</v>
      </c>
      <c r="K30" s="96">
        <f>K5+K6+K7+K8+K9+K10+K11+K12+K13+K14+K15+K16+K18+K19+K17+K20+K22+K23+K21+K24+K25+K26+K27+K28+K29</f>
        <v>70.8</v>
      </c>
      <c r="L30" s="97">
        <f t="shared" si="4"/>
        <v>0</v>
      </c>
      <c r="M30" s="97">
        <f t="shared" si="4"/>
        <v>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180</v>
      </c>
      <c r="I31" s="94">
        <f t="shared" si="5"/>
        <v>435</v>
      </c>
      <c r="J31" s="94">
        <f t="shared" si="5"/>
        <v>45</v>
      </c>
      <c r="K31" s="94">
        <f>K30+K62+K94</f>
        <v>70.8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1</v>
      </c>
      <c r="R31" s="89" t="s">
        <v>128</v>
      </c>
      <c r="S31" s="102">
        <f>H31+L31-U28-U29-U30</f>
        <v>180</v>
      </c>
      <c r="T31" s="333">
        <f>H31+I31+L31+M31</f>
        <v>615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730.8</v>
      </c>
      <c r="D32" s="186"/>
      <c r="E32" s="98"/>
      <c r="F32" s="355" t="s">
        <v>131</v>
      </c>
      <c r="G32" s="355"/>
      <c r="H32" s="100">
        <f>COUNT(B5:B29,B37:B61,B69:B93)</f>
        <v>10</v>
      </c>
      <c r="I32" s="356" t="s">
        <v>132</v>
      </c>
      <c r="J32" s="356"/>
      <c r="K32" s="99">
        <f>C32/H32</f>
        <v>73.08</v>
      </c>
      <c r="L32" s="208"/>
      <c r="M32" s="208"/>
      <c r="N32" s="208">
        <f>H31/C32</f>
        <v>0.24630541871921183</v>
      </c>
      <c r="O32" s="208">
        <f>I31/C32</f>
        <v>0.59523809523809523</v>
      </c>
      <c r="P32" s="208">
        <f>K31/C32</f>
        <v>9.688013136288999E-2</v>
      </c>
      <c r="Q32" s="101">
        <f>J31/C32</f>
        <v>6.1576354679802957E-2</v>
      </c>
      <c r="R32" s="90" t="s">
        <v>133</v>
      </c>
      <c r="S32" s="203">
        <f>I31+M31</f>
        <v>435</v>
      </c>
      <c r="T32" s="335"/>
      <c r="U32" s="336"/>
      <c r="V32" s="39"/>
      <c r="W32" s="39"/>
      <c r="X32" s="48" t="s">
        <v>134</v>
      </c>
      <c r="Y32" s="48"/>
      <c r="Z32" s="47">
        <f>I31</f>
        <v>435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-2310</v>
      </c>
      <c r="AG33" s="35"/>
    </row>
    <row r="34" spans="1:33" ht="17.25" thickBot="1">
      <c r="A34" s="327" t="str">
        <f>A2</f>
        <v>28-12-2021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SHOWER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7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28-12-2021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SHOWER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7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disablePrompts="1" count="1">
    <dataValidation type="list" allowBlank="1" showInputMessage="1" showErrorMessage="1" sqref="X7 W5 E69:E93 E37:E61 E5:E29" xr:uid="{8740BE9E-92F4-4FE4-A38E-8A5B7764E316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S8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169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170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6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4612</v>
      </c>
      <c r="C5" s="59" t="s">
        <v>171</v>
      </c>
      <c r="D5" s="190" t="s">
        <v>172</v>
      </c>
      <c r="E5" s="171" t="s">
        <v>36</v>
      </c>
      <c r="F5" s="160">
        <v>920</v>
      </c>
      <c r="G5" s="109" t="s">
        <v>47</v>
      </c>
      <c r="H5" s="82">
        <v>160</v>
      </c>
      <c r="I5" s="115"/>
      <c r="J5" s="120" t="str">
        <f t="shared" ref="J5:J20" si="0">IF(G5="RSL","45","0")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66"/>
      <c r="P5" s="367"/>
      <c r="Q5" s="368"/>
      <c r="R5" s="32" t="s">
        <v>5</v>
      </c>
      <c r="S5" s="30">
        <v>0.33333333333333331</v>
      </c>
      <c r="T5" s="31">
        <v>0.71875</v>
      </c>
      <c r="U5" s="83">
        <f t="shared" ref="U5:U15" si="1">(T5-S5)*24</f>
        <v>9.25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4613</v>
      </c>
      <c r="C6" s="58" t="s">
        <v>173</v>
      </c>
      <c r="D6" s="190" t="s">
        <v>174</v>
      </c>
      <c r="E6" s="171" t="s">
        <v>41</v>
      </c>
      <c r="F6" s="161">
        <v>950</v>
      </c>
      <c r="G6" s="109" t="s">
        <v>47</v>
      </c>
      <c r="H6" s="82"/>
      <c r="I6" s="115">
        <v>95</v>
      </c>
      <c r="J6" s="120" t="str">
        <f t="shared" si="0"/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1"/>
      <c r="P6" s="322"/>
      <c r="Q6" s="323"/>
      <c r="R6" s="122" t="s">
        <v>44</v>
      </c>
      <c r="S6" s="30">
        <v>0.33333333333333331</v>
      </c>
      <c r="T6" s="31">
        <v>0.71875</v>
      </c>
      <c r="U6" s="83">
        <f t="shared" si="1"/>
        <v>9.25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4614</v>
      </c>
      <c r="C7" s="58" t="s">
        <v>175</v>
      </c>
      <c r="D7" s="190" t="s">
        <v>176</v>
      </c>
      <c r="E7" s="171" t="s">
        <v>41</v>
      </c>
      <c r="F7" s="161">
        <v>100</v>
      </c>
      <c r="G7" s="109" t="s">
        <v>177</v>
      </c>
      <c r="H7" s="82"/>
      <c r="I7" s="115">
        <v>180</v>
      </c>
      <c r="J7" s="120" t="str">
        <f t="shared" si="0"/>
        <v>0</v>
      </c>
      <c r="K7" s="120" t="str">
        <f t="shared" si="2"/>
        <v>0</v>
      </c>
      <c r="L7" s="121"/>
      <c r="M7" s="121"/>
      <c r="N7" s="124" t="s">
        <v>5</v>
      </c>
      <c r="O7" s="294"/>
      <c r="P7" s="293"/>
      <c r="Q7" s="295"/>
      <c r="R7" s="124" t="s">
        <v>48</v>
      </c>
      <c r="S7" s="30">
        <v>0.375</v>
      </c>
      <c r="T7" s="31">
        <v>0.67708333333333337</v>
      </c>
      <c r="U7" s="83">
        <f t="shared" si="1"/>
        <v>7.2500000000000009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4615</v>
      </c>
      <c r="C8" s="26" t="s">
        <v>178</v>
      </c>
      <c r="D8" s="190" t="s">
        <v>179</v>
      </c>
      <c r="E8" s="171" t="s">
        <v>41</v>
      </c>
      <c r="F8" s="161">
        <v>1035</v>
      </c>
      <c r="G8" s="109" t="s">
        <v>47</v>
      </c>
      <c r="H8" s="82"/>
      <c r="I8" s="115">
        <v>130</v>
      </c>
      <c r="J8" s="120" t="str">
        <f t="shared" si="0"/>
        <v>0</v>
      </c>
      <c r="K8" s="120" t="str">
        <f t="shared" si="2"/>
        <v>0</v>
      </c>
      <c r="L8" s="121"/>
      <c r="M8" s="121"/>
      <c r="N8" s="124" t="s">
        <v>5</v>
      </c>
      <c r="O8" s="324"/>
      <c r="P8" s="325"/>
      <c r="Q8" s="326"/>
      <c r="R8" s="25" t="s">
        <v>55</v>
      </c>
      <c r="S8" s="30">
        <v>0.375</v>
      </c>
      <c r="T8" s="31">
        <v>0.71875</v>
      </c>
      <c r="U8" s="83">
        <f t="shared" si="1"/>
        <v>8.25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4616</v>
      </c>
      <c r="C9" s="54" t="s">
        <v>180</v>
      </c>
      <c r="D9" s="191" t="s">
        <v>181</v>
      </c>
      <c r="E9" s="171" t="s">
        <v>36</v>
      </c>
      <c r="F9" s="162">
        <v>1040</v>
      </c>
      <c r="G9" s="110" t="s">
        <v>117</v>
      </c>
      <c r="H9" s="82"/>
      <c r="I9" s="82"/>
      <c r="J9" s="120" t="str">
        <f t="shared" si="0"/>
        <v>0</v>
      </c>
      <c r="K9" s="120" t="str">
        <f t="shared" si="2"/>
        <v>0</v>
      </c>
      <c r="L9" s="121"/>
      <c r="M9" s="121"/>
      <c r="N9" s="124" t="s">
        <v>5</v>
      </c>
      <c r="O9" s="324" t="s">
        <v>182</v>
      </c>
      <c r="P9" s="325"/>
      <c r="Q9" s="326"/>
      <c r="R9" s="25" t="s">
        <v>156</v>
      </c>
      <c r="S9" s="30">
        <v>0.39583333333333331</v>
      </c>
      <c r="T9" s="31">
        <v>0.71875</v>
      </c>
      <c r="U9" s="83">
        <f t="shared" si="1"/>
        <v>7.75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4617</v>
      </c>
      <c r="C10" s="27" t="s">
        <v>183</v>
      </c>
      <c r="D10" s="192" t="s">
        <v>184</v>
      </c>
      <c r="E10" s="171" t="s">
        <v>36</v>
      </c>
      <c r="F10" s="163">
        <v>1100</v>
      </c>
      <c r="G10" s="111" t="s">
        <v>185</v>
      </c>
      <c r="H10" s="114">
        <v>250</v>
      </c>
      <c r="I10" s="116"/>
      <c r="J10" s="120" t="str">
        <f t="shared" si="0"/>
        <v>0</v>
      </c>
      <c r="K10" s="120" t="str">
        <f t="shared" si="2"/>
        <v>0</v>
      </c>
      <c r="L10" s="121"/>
      <c r="M10" s="121"/>
      <c r="N10" s="124" t="s">
        <v>5</v>
      </c>
      <c r="O10" s="316"/>
      <c r="P10" s="317"/>
      <c r="Q10" s="318"/>
      <c r="R10" s="25" t="s">
        <v>186</v>
      </c>
      <c r="S10" s="30">
        <v>0.42708333333333331</v>
      </c>
      <c r="T10" s="31">
        <v>0.71875</v>
      </c>
      <c r="U10" s="83">
        <f t="shared" si="1"/>
        <v>7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4618</v>
      </c>
      <c r="C11" s="17" t="s">
        <v>187</v>
      </c>
      <c r="D11" s="193" t="s">
        <v>188</v>
      </c>
      <c r="E11" s="171" t="s">
        <v>36</v>
      </c>
      <c r="F11" s="57">
        <v>1135</v>
      </c>
      <c r="G11" s="112" t="s">
        <v>185</v>
      </c>
      <c r="H11" s="114"/>
      <c r="I11" s="115">
        <v>250</v>
      </c>
      <c r="J11" s="120" t="str">
        <f t="shared" si="0"/>
        <v>0</v>
      </c>
      <c r="K11" s="120" t="str">
        <f t="shared" si="2"/>
        <v>0</v>
      </c>
      <c r="L11" s="121"/>
      <c r="M11" s="121"/>
      <c r="N11" s="124" t="s">
        <v>5</v>
      </c>
      <c r="O11" s="294"/>
      <c r="P11" s="293"/>
      <c r="Q11" s="295"/>
      <c r="R11" s="25"/>
      <c r="S11" s="30"/>
      <c r="T11" s="31"/>
      <c r="U11" s="83">
        <f t="shared" si="1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4619</v>
      </c>
      <c r="C12" s="55" t="s">
        <v>189</v>
      </c>
      <c r="D12" s="194" t="s">
        <v>190</v>
      </c>
      <c r="E12" s="171" t="s">
        <v>41</v>
      </c>
      <c r="F12" s="163">
        <v>1140</v>
      </c>
      <c r="G12" s="110" t="s">
        <v>47</v>
      </c>
      <c r="H12" s="114">
        <v>95</v>
      </c>
      <c r="I12" s="116"/>
      <c r="J12" s="120" t="str">
        <f t="shared" si="0"/>
        <v>0</v>
      </c>
      <c r="K12" s="120" t="str">
        <f t="shared" si="2"/>
        <v>0</v>
      </c>
      <c r="L12" s="121"/>
      <c r="M12" s="121"/>
      <c r="N12" s="124" t="s">
        <v>5</v>
      </c>
      <c r="O12" s="294"/>
      <c r="P12" s="293"/>
      <c r="Q12" s="295"/>
      <c r="R12" s="25"/>
      <c r="S12" s="30"/>
      <c r="T12" s="31"/>
      <c r="U12" s="83">
        <f t="shared" si="1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4620</v>
      </c>
      <c r="C13" s="55" t="s">
        <v>191</v>
      </c>
      <c r="D13" s="194" t="s">
        <v>192</v>
      </c>
      <c r="E13" s="171" t="s">
        <v>36</v>
      </c>
      <c r="F13" s="163">
        <v>1140</v>
      </c>
      <c r="G13" s="110" t="s">
        <v>47</v>
      </c>
      <c r="H13" s="159">
        <v>75</v>
      </c>
      <c r="I13" s="158"/>
      <c r="J13" s="120" t="str">
        <f t="shared" si="0"/>
        <v>0</v>
      </c>
      <c r="K13" s="120" t="str">
        <f t="shared" si="2"/>
        <v>0</v>
      </c>
      <c r="L13" s="121"/>
      <c r="M13" s="121"/>
      <c r="N13" s="124" t="s">
        <v>5</v>
      </c>
      <c r="O13" s="294" t="s">
        <v>193</v>
      </c>
      <c r="P13" s="293"/>
      <c r="Q13" s="295"/>
      <c r="R13" s="32"/>
      <c r="S13" s="30"/>
      <c r="T13" s="31"/>
      <c r="U13" s="83">
        <f t="shared" si="1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4621</v>
      </c>
      <c r="C14" s="56" t="s">
        <v>194</v>
      </c>
      <c r="D14" s="195" t="s">
        <v>195</v>
      </c>
      <c r="E14" s="171" t="s">
        <v>41</v>
      </c>
      <c r="F14" s="164">
        <v>1220</v>
      </c>
      <c r="G14" s="113" t="s">
        <v>20</v>
      </c>
      <c r="H14" s="114">
        <v>30</v>
      </c>
      <c r="I14" s="116"/>
      <c r="J14" s="120" t="str">
        <f t="shared" si="0"/>
        <v>45</v>
      </c>
      <c r="K14" s="120" t="str">
        <f t="shared" si="2"/>
        <v>0</v>
      </c>
      <c r="L14" s="121"/>
      <c r="M14" s="121"/>
      <c r="N14" s="124" t="s">
        <v>5</v>
      </c>
      <c r="O14" s="294">
        <v>202110043</v>
      </c>
      <c r="P14" s="293"/>
      <c r="Q14" s="295"/>
      <c r="R14" s="25"/>
      <c r="S14" s="30"/>
      <c r="T14" s="31"/>
      <c r="U14" s="83">
        <f t="shared" si="1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4622</v>
      </c>
      <c r="C15" s="56" t="s">
        <v>196</v>
      </c>
      <c r="D15" s="195" t="s">
        <v>197</v>
      </c>
      <c r="E15" s="171" t="s">
        <v>36</v>
      </c>
      <c r="F15" s="164">
        <v>1310</v>
      </c>
      <c r="G15" s="113" t="s">
        <v>47</v>
      </c>
      <c r="H15" s="114"/>
      <c r="I15" s="115">
        <v>95</v>
      </c>
      <c r="J15" s="120" t="str">
        <f t="shared" si="0"/>
        <v>0</v>
      </c>
      <c r="K15" s="120" t="str">
        <f t="shared" si="2"/>
        <v>0</v>
      </c>
      <c r="L15" s="121"/>
      <c r="M15" s="121"/>
      <c r="N15" s="124" t="s">
        <v>5</v>
      </c>
      <c r="O15" s="294"/>
      <c r="P15" s="293"/>
      <c r="Q15" s="295"/>
      <c r="R15" s="25"/>
      <c r="S15" s="30"/>
      <c r="T15" s="31"/>
      <c r="U15" s="83">
        <f t="shared" si="1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4623</v>
      </c>
      <c r="C16" s="56" t="s">
        <v>198</v>
      </c>
      <c r="D16" s="195" t="s">
        <v>199</v>
      </c>
      <c r="E16" s="171" t="s">
        <v>36</v>
      </c>
      <c r="F16" s="164">
        <v>1400</v>
      </c>
      <c r="G16" s="113" t="s">
        <v>47</v>
      </c>
      <c r="H16" s="114"/>
      <c r="I16" s="115">
        <v>95</v>
      </c>
      <c r="J16" s="120" t="str">
        <f t="shared" si="0"/>
        <v>0</v>
      </c>
      <c r="K16" s="120" t="str">
        <f t="shared" si="2"/>
        <v>0</v>
      </c>
      <c r="L16" s="121"/>
      <c r="M16" s="121"/>
      <c r="N16" s="124" t="s">
        <v>5</v>
      </c>
      <c r="O16" s="294"/>
      <c r="P16" s="293"/>
      <c r="Q16" s="295"/>
      <c r="R16" s="73">
        <f>H32/U16</f>
        <v>0.30769230769230771</v>
      </c>
      <c r="S16" s="74">
        <f>H32/(U16-U5)</f>
        <v>0.379746835443038</v>
      </c>
      <c r="T16" s="74">
        <f>C32/U16</f>
        <v>41.948717948717949</v>
      </c>
      <c r="U16" s="74">
        <f>SUM(U5:U15)</f>
        <v>48.75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4624</v>
      </c>
      <c r="C17" s="17" t="s">
        <v>200</v>
      </c>
      <c r="D17" s="193" t="s">
        <v>201</v>
      </c>
      <c r="E17" s="171" t="s">
        <v>36</v>
      </c>
      <c r="F17" s="57">
        <v>1410</v>
      </c>
      <c r="G17" s="112" t="s">
        <v>47</v>
      </c>
      <c r="H17" s="114"/>
      <c r="I17" s="115">
        <v>95</v>
      </c>
      <c r="J17" s="120" t="str">
        <f t="shared" si="0"/>
        <v>0</v>
      </c>
      <c r="K17" s="120" t="str">
        <f t="shared" si="2"/>
        <v>0</v>
      </c>
      <c r="L17" s="121"/>
      <c r="M17" s="121"/>
      <c r="N17" s="124" t="s">
        <v>5</v>
      </c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4625</v>
      </c>
      <c r="C18" s="17" t="s">
        <v>202</v>
      </c>
      <c r="D18" s="193" t="s">
        <v>203</v>
      </c>
      <c r="E18" s="171" t="s">
        <v>41</v>
      </c>
      <c r="F18" s="57">
        <v>1525</v>
      </c>
      <c r="G18" s="19" t="s">
        <v>204</v>
      </c>
      <c r="H18" s="114">
        <v>300</v>
      </c>
      <c r="I18" s="115"/>
      <c r="J18" s="120" t="str">
        <f t="shared" si="0"/>
        <v>0</v>
      </c>
      <c r="K18" s="120" t="str">
        <f t="shared" si="2"/>
        <v>0</v>
      </c>
      <c r="L18" s="121"/>
      <c r="M18" s="121"/>
      <c r="N18" s="124" t="s">
        <v>5</v>
      </c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4626</v>
      </c>
      <c r="C19" s="17" t="s">
        <v>205</v>
      </c>
      <c r="D19" s="193" t="s">
        <v>206</v>
      </c>
      <c r="E19" s="171" t="s">
        <v>41</v>
      </c>
      <c r="F19" s="57">
        <v>1610</v>
      </c>
      <c r="G19" s="112" t="s">
        <v>51</v>
      </c>
      <c r="H19" s="114"/>
      <c r="I19" s="115">
        <v>150</v>
      </c>
      <c r="J19" s="120" t="str">
        <f t="shared" si="0"/>
        <v>0</v>
      </c>
      <c r="K19" s="120" t="str">
        <f t="shared" si="2"/>
        <v>0</v>
      </c>
      <c r="L19" s="121"/>
      <c r="M19" s="121"/>
      <c r="N19" s="124" t="s">
        <v>5</v>
      </c>
      <c r="O19" s="294"/>
      <c r="P19" s="293"/>
      <c r="Q19" s="293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211" t="str">
        <f t="shared" si="0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>IF(G21="RSL","45","0")</f>
        <v>0</v>
      </c>
      <c r="K21" s="120" t="str">
        <f t="shared" si="2"/>
        <v>0</v>
      </c>
      <c r="L21" s="121"/>
      <c r="M21" s="121"/>
      <c r="N21" s="124"/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/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3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3"/>
        <v>0</v>
      </c>
      <c r="K24" s="120" t="str">
        <f t="shared" si="2"/>
        <v>0</v>
      </c>
      <c r="L24" s="60"/>
      <c r="M24" s="60"/>
      <c r="N24" s="124"/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3"/>
        <v>0</v>
      </c>
      <c r="K25" s="120" t="str">
        <f t="shared" si="2"/>
        <v>0</v>
      </c>
      <c r="L25" s="60"/>
      <c r="M25" s="60"/>
      <c r="N25" s="124"/>
      <c r="O25" s="294"/>
      <c r="P25" s="293"/>
      <c r="Q25" s="29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1</v>
      </c>
      <c r="U25" s="364">
        <f>((C32+(R26+S26+T26)*0.5))</f>
        <v>2070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3"/>
        <v>0</v>
      </c>
      <c r="K26" s="120" t="str">
        <f t="shared" si="2"/>
        <v>0</v>
      </c>
      <c r="L26" s="60"/>
      <c r="M26" s="60"/>
      <c r="N26" s="124"/>
      <c r="O26" s="294"/>
      <c r="P26" s="293"/>
      <c r="Q26" s="295"/>
      <c r="R26" s="103">
        <f>R25*37.5</f>
        <v>0</v>
      </c>
      <c r="S26" s="93">
        <f>S25*41.5</f>
        <v>0</v>
      </c>
      <c r="T26" s="93">
        <f>T25*50</f>
        <v>50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/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3"/>
        <v>0</v>
      </c>
      <c r="K28" s="120" t="str">
        <f t="shared" si="2"/>
        <v>0</v>
      </c>
      <c r="L28" s="60"/>
      <c r="M28" s="60"/>
      <c r="N28" s="124"/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/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910</v>
      </c>
      <c r="I30" s="96">
        <f>SUM(I5:I29)</f>
        <v>1090</v>
      </c>
      <c r="J30" s="96">
        <f>J5+J6+J7+J8+J9+J10+J11+J12+J13+J14+J15+J16+J18+J19+J17+J20+J22+J23+J21+J24+J25+J26+J27+J28+J29</f>
        <v>45</v>
      </c>
      <c r="K30" s="96">
        <f>K5+K6+K7+K8+K9+K10+K11+K12+K13+K14+K15+K16+K18+K19+K17+K20+K22+K23+K21+K24+K25+K26+K27+K28+K29</f>
        <v>0</v>
      </c>
      <c r="L30" s="97">
        <f t="shared" si="4"/>
        <v>0</v>
      </c>
      <c r="M30" s="97">
        <f t="shared" si="4"/>
        <v>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910</v>
      </c>
      <c r="I31" s="94">
        <f t="shared" si="5"/>
        <v>1090</v>
      </c>
      <c r="J31" s="94">
        <f t="shared" si="5"/>
        <v>45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6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1</v>
      </c>
      <c r="R31" s="89" t="s">
        <v>128</v>
      </c>
      <c r="S31" s="102">
        <f>H31+L31-U28-U29-U30</f>
        <v>910</v>
      </c>
      <c r="T31" s="333">
        <f>H31+I31+L31+M31</f>
        <v>2000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2045</v>
      </c>
      <c r="D32" s="186"/>
      <c r="E32" s="98"/>
      <c r="F32" s="355" t="s">
        <v>131</v>
      </c>
      <c r="G32" s="355"/>
      <c r="H32" s="100">
        <f>COUNT(B5:B29,B37:B61,B69:B93)</f>
        <v>15</v>
      </c>
      <c r="I32" s="356" t="s">
        <v>132</v>
      </c>
      <c r="J32" s="356"/>
      <c r="K32" s="99">
        <f>C32/H32</f>
        <v>136.33333333333334</v>
      </c>
      <c r="L32" s="208"/>
      <c r="M32" s="208"/>
      <c r="N32" s="208">
        <f>H31/C32</f>
        <v>0.44498777506112469</v>
      </c>
      <c r="O32" s="208">
        <f>I31/C32</f>
        <v>0.5330073349633252</v>
      </c>
      <c r="P32" s="208">
        <f>K31/C32</f>
        <v>0</v>
      </c>
      <c r="Q32" s="101">
        <f>J31/C32</f>
        <v>2.2004889975550123E-2</v>
      </c>
      <c r="R32" s="90" t="s">
        <v>133</v>
      </c>
      <c r="S32" s="203">
        <f>I31+M31</f>
        <v>1090</v>
      </c>
      <c r="T32" s="335"/>
      <c r="U32" s="336"/>
      <c r="V32" s="39"/>
      <c r="W32" s="39"/>
      <c r="X32" s="48" t="s">
        <v>134</v>
      </c>
      <c r="Y32" s="48"/>
      <c r="Z32" s="47">
        <f>I31</f>
        <v>1090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-1655</v>
      </c>
      <c r="AG33" s="35"/>
    </row>
    <row r="34" spans="1:33" ht="17.25" thickBot="1">
      <c r="A34" s="327" t="str">
        <f>A2</f>
        <v>29-12-2021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RAIN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6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29-12-2021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RAIN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6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C43CA04B-BF40-4717-9688-0638EEC972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5" sqref="R5:R8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207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208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10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4627</v>
      </c>
      <c r="C5" s="59" t="s">
        <v>209</v>
      </c>
      <c r="D5" s="190" t="s">
        <v>210</v>
      </c>
      <c r="E5" s="171" t="s">
        <v>36</v>
      </c>
      <c r="F5" s="160">
        <v>752</v>
      </c>
      <c r="G5" s="109" t="s">
        <v>20</v>
      </c>
      <c r="H5" s="82"/>
      <c r="I5" s="115"/>
      <c r="J5" s="120">
        <v>135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66" t="s">
        <v>211</v>
      </c>
      <c r="P5" s="367"/>
      <c r="Q5" s="368"/>
      <c r="R5" s="32" t="s">
        <v>5</v>
      </c>
      <c r="S5" s="30">
        <v>0.33333333333333331</v>
      </c>
      <c r="T5" s="31">
        <v>0.73958333333333337</v>
      </c>
      <c r="U5" s="83">
        <f t="shared" ref="U5:U15" si="0">(T5-S5)*24</f>
        <v>9.7500000000000018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4628</v>
      </c>
      <c r="C6" s="58" t="s">
        <v>212</v>
      </c>
      <c r="D6" s="190" t="s">
        <v>213</v>
      </c>
      <c r="E6" s="171" t="s">
        <v>41</v>
      </c>
      <c r="F6" s="161">
        <v>845</v>
      </c>
      <c r="G6" s="109" t="s">
        <v>20</v>
      </c>
      <c r="H6" s="82">
        <v>25</v>
      </c>
      <c r="I6" s="115"/>
      <c r="J6" s="120">
        <v>50</v>
      </c>
      <c r="K6" s="120" t="str">
        <f t="shared" ref="K6:K29" si="1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1">
        <v>202112064</v>
      </c>
      <c r="P6" s="322"/>
      <c r="Q6" s="323"/>
      <c r="R6" s="122" t="s">
        <v>44</v>
      </c>
      <c r="S6" s="30">
        <v>0.33333333333333331</v>
      </c>
      <c r="T6" s="31">
        <v>0.73958333333333337</v>
      </c>
      <c r="U6" s="83">
        <f t="shared" si="0"/>
        <v>9.7500000000000018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4629</v>
      </c>
      <c r="C7" s="58" t="s">
        <v>214</v>
      </c>
      <c r="D7" s="190" t="s">
        <v>215</v>
      </c>
      <c r="E7" s="171" t="s">
        <v>41</v>
      </c>
      <c r="F7" s="161">
        <v>920</v>
      </c>
      <c r="G7" s="109" t="s">
        <v>47</v>
      </c>
      <c r="H7" s="82"/>
      <c r="I7" s="115">
        <v>75</v>
      </c>
      <c r="J7" s="120" t="str">
        <f t="shared" ref="J7:J20" si="2">IF(G7="RSL","45","0")</f>
        <v>0</v>
      </c>
      <c r="K7" s="120" t="str">
        <f t="shared" si="1"/>
        <v>0</v>
      </c>
      <c r="L7" s="121"/>
      <c r="M7" s="121"/>
      <c r="N7" s="124" t="s">
        <v>5</v>
      </c>
      <c r="O7" s="294" t="s">
        <v>193</v>
      </c>
      <c r="P7" s="293"/>
      <c r="Q7" s="295"/>
      <c r="R7" s="124" t="s">
        <v>48</v>
      </c>
      <c r="S7" s="30">
        <v>0.375</v>
      </c>
      <c r="T7" s="31">
        <v>0.67708333333333337</v>
      </c>
      <c r="U7" s="83">
        <f t="shared" si="0"/>
        <v>7.2500000000000009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4630</v>
      </c>
      <c r="C8" s="26" t="s">
        <v>216</v>
      </c>
      <c r="D8" s="190" t="s">
        <v>217</v>
      </c>
      <c r="E8" s="171" t="s">
        <v>41</v>
      </c>
      <c r="F8" s="161">
        <v>920</v>
      </c>
      <c r="G8" s="109" t="s">
        <v>70</v>
      </c>
      <c r="H8" s="82">
        <v>75</v>
      </c>
      <c r="I8" s="115"/>
      <c r="J8" s="120" t="str">
        <f t="shared" si="2"/>
        <v>0</v>
      </c>
      <c r="K8" s="120" t="str">
        <f t="shared" si="1"/>
        <v>0</v>
      </c>
      <c r="L8" s="121"/>
      <c r="M8" s="121"/>
      <c r="N8" s="124" t="s">
        <v>5</v>
      </c>
      <c r="O8" s="324"/>
      <c r="P8" s="325"/>
      <c r="Q8" s="326"/>
      <c r="R8" s="25" t="s">
        <v>55</v>
      </c>
      <c r="S8" s="30">
        <v>0.375</v>
      </c>
      <c r="T8" s="31">
        <v>0.73958333333333337</v>
      </c>
      <c r="U8" s="83">
        <f t="shared" si="0"/>
        <v>8.75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4631</v>
      </c>
      <c r="C9" s="54" t="s">
        <v>218</v>
      </c>
      <c r="D9" s="191" t="s">
        <v>219</v>
      </c>
      <c r="E9" s="171" t="s">
        <v>41</v>
      </c>
      <c r="F9" s="162">
        <v>930</v>
      </c>
      <c r="G9" s="110" t="s">
        <v>47</v>
      </c>
      <c r="H9" s="82"/>
      <c r="I9" s="82">
        <v>85</v>
      </c>
      <c r="J9" s="120" t="str">
        <f t="shared" si="2"/>
        <v>0</v>
      </c>
      <c r="K9" s="120" t="str">
        <f t="shared" si="1"/>
        <v>0</v>
      </c>
      <c r="L9" s="121"/>
      <c r="M9" s="121"/>
      <c r="N9" s="124" t="s">
        <v>5</v>
      </c>
      <c r="O9" s="324"/>
      <c r="P9" s="325"/>
      <c r="Q9" s="326"/>
      <c r="R9" s="25" t="s">
        <v>220</v>
      </c>
      <c r="S9" s="30">
        <v>0.41666666666666669</v>
      </c>
      <c r="T9" s="31">
        <v>0.72916666666666663</v>
      </c>
      <c r="U9" s="83">
        <f t="shared" si="0"/>
        <v>7.4999999999999982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270">
        <v>6</v>
      </c>
      <c r="B10" s="250">
        <v>4632</v>
      </c>
      <c r="C10" s="271" t="s">
        <v>221</v>
      </c>
      <c r="D10" s="272" t="s">
        <v>222</v>
      </c>
      <c r="E10" s="253" t="s">
        <v>41</v>
      </c>
      <c r="F10" s="273">
        <v>934</v>
      </c>
      <c r="G10" s="274" t="s">
        <v>223</v>
      </c>
      <c r="H10" s="275"/>
      <c r="I10" s="275"/>
      <c r="J10" s="256" t="str">
        <f t="shared" si="2"/>
        <v>0</v>
      </c>
      <c r="K10" s="256">
        <v>79.099999999999994</v>
      </c>
      <c r="L10" s="257"/>
      <c r="M10" s="257">
        <v>475</v>
      </c>
      <c r="N10" s="258" t="s">
        <v>5</v>
      </c>
      <c r="O10" s="375" t="s">
        <v>224</v>
      </c>
      <c r="P10" s="376"/>
      <c r="Q10" s="377"/>
      <c r="R10" s="25" t="s">
        <v>186</v>
      </c>
      <c r="S10" s="30">
        <v>0.42708333333333331</v>
      </c>
      <c r="T10" s="31">
        <v>0.72916666666666663</v>
      </c>
      <c r="U10" s="83">
        <f t="shared" si="0"/>
        <v>7.25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4633</v>
      </c>
      <c r="C11" s="17" t="s">
        <v>225</v>
      </c>
      <c r="D11" s="193" t="s">
        <v>226</v>
      </c>
      <c r="E11" s="171" t="s">
        <v>41</v>
      </c>
      <c r="F11" s="57">
        <v>1000</v>
      </c>
      <c r="G11" s="112" t="s">
        <v>47</v>
      </c>
      <c r="H11" s="114"/>
      <c r="I11" s="115">
        <v>120</v>
      </c>
      <c r="J11" s="120" t="str">
        <f t="shared" si="2"/>
        <v>0</v>
      </c>
      <c r="K11" s="120" t="str">
        <f t="shared" si="1"/>
        <v>0</v>
      </c>
      <c r="L11" s="121"/>
      <c r="M11" s="121"/>
      <c r="N11" s="124" t="s">
        <v>5</v>
      </c>
      <c r="O11" s="294"/>
      <c r="P11" s="293"/>
      <c r="Q11" s="295"/>
      <c r="R11" s="25" t="s">
        <v>162</v>
      </c>
      <c r="S11" s="30">
        <v>0.4375</v>
      </c>
      <c r="T11" s="31">
        <v>0.73958333333333337</v>
      </c>
      <c r="U11" s="83">
        <f t="shared" si="0"/>
        <v>7.2500000000000009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4634</v>
      </c>
      <c r="C12" s="55" t="s">
        <v>227</v>
      </c>
      <c r="D12" s="194" t="s">
        <v>228</v>
      </c>
      <c r="E12" s="171" t="s">
        <v>41</v>
      </c>
      <c r="F12" s="163">
        <v>1000</v>
      </c>
      <c r="G12" s="110" t="s">
        <v>117</v>
      </c>
      <c r="H12" s="114"/>
      <c r="I12" s="116"/>
      <c r="J12" s="120" t="str">
        <f t="shared" si="2"/>
        <v>0</v>
      </c>
      <c r="K12" s="120" t="str">
        <f t="shared" si="1"/>
        <v>0</v>
      </c>
      <c r="L12" s="121"/>
      <c r="M12" s="121"/>
      <c r="N12" s="124" t="s">
        <v>5</v>
      </c>
      <c r="O12" s="294" t="s">
        <v>229</v>
      </c>
      <c r="P12" s="293"/>
      <c r="Q12" s="295"/>
      <c r="R12" s="25" t="s">
        <v>67</v>
      </c>
      <c r="S12" s="30">
        <v>0.4375</v>
      </c>
      <c r="T12" s="31">
        <v>0.72916666666666663</v>
      </c>
      <c r="U12" s="83">
        <f t="shared" si="0"/>
        <v>6.9999999999999991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4635</v>
      </c>
      <c r="C13" s="55" t="s">
        <v>230</v>
      </c>
      <c r="D13" s="194" t="s">
        <v>231</v>
      </c>
      <c r="E13" s="171" t="s">
        <v>41</v>
      </c>
      <c r="F13" s="163">
        <v>1000</v>
      </c>
      <c r="G13" s="110" t="s">
        <v>70</v>
      </c>
      <c r="H13" s="159"/>
      <c r="I13" s="158">
        <v>75</v>
      </c>
      <c r="J13" s="120" t="str">
        <f t="shared" si="2"/>
        <v>0</v>
      </c>
      <c r="K13" s="120" t="str">
        <f t="shared" si="1"/>
        <v>0</v>
      </c>
      <c r="L13" s="121"/>
      <c r="M13" s="121"/>
      <c r="N13" s="124" t="s">
        <v>5</v>
      </c>
      <c r="O13" s="294" t="s">
        <v>232</v>
      </c>
      <c r="P13" s="293"/>
      <c r="Q13" s="295"/>
      <c r="R13" s="32" t="s">
        <v>233</v>
      </c>
      <c r="S13" s="30">
        <v>0.45833333333333331</v>
      </c>
      <c r="T13" s="31">
        <v>0.72916666666666663</v>
      </c>
      <c r="U13" s="83">
        <f t="shared" si="0"/>
        <v>6.5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4636</v>
      </c>
      <c r="C14" s="56" t="s">
        <v>234</v>
      </c>
      <c r="D14" s="195" t="s">
        <v>235</v>
      </c>
      <c r="E14" s="171" t="s">
        <v>41</v>
      </c>
      <c r="F14" s="164">
        <v>1030</v>
      </c>
      <c r="G14" s="113" t="s">
        <v>223</v>
      </c>
      <c r="H14" s="114"/>
      <c r="I14" s="116"/>
      <c r="J14" s="120" t="str">
        <f t="shared" si="2"/>
        <v>0</v>
      </c>
      <c r="K14" s="120" t="str">
        <f t="shared" si="1"/>
        <v>58.3</v>
      </c>
      <c r="L14" s="121"/>
      <c r="M14" s="121"/>
      <c r="N14" s="124" t="s">
        <v>5</v>
      </c>
      <c r="O14" s="294"/>
      <c r="P14" s="293"/>
      <c r="Q14" s="295"/>
      <c r="R14" s="25" t="s">
        <v>236</v>
      </c>
      <c r="S14" s="30">
        <v>0.47916666666666669</v>
      </c>
      <c r="T14" s="31">
        <v>0.58333333333333337</v>
      </c>
      <c r="U14" s="83">
        <f t="shared" si="0"/>
        <v>2.5000000000000004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4637</v>
      </c>
      <c r="C15" s="56" t="s">
        <v>237</v>
      </c>
      <c r="D15" s="195" t="s">
        <v>238</v>
      </c>
      <c r="E15" s="171" t="s">
        <v>36</v>
      </c>
      <c r="F15" s="164">
        <v>1115</v>
      </c>
      <c r="G15" s="113" t="s">
        <v>70</v>
      </c>
      <c r="H15" s="114">
        <v>55</v>
      </c>
      <c r="I15" s="115"/>
      <c r="J15" s="120" t="str">
        <f t="shared" si="2"/>
        <v>0</v>
      </c>
      <c r="K15" s="120" t="str">
        <f t="shared" si="1"/>
        <v>0</v>
      </c>
      <c r="L15" s="121"/>
      <c r="M15" s="121"/>
      <c r="N15" s="124" t="s">
        <v>5</v>
      </c>
      <c r="O15" s="294"/>
      <c r="P15" s="293"/>
      <c r="Q15" s="295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276">
        <v>12</v>
      </c>
      <c r="B16" s="264">
        <v>4638</v>
      </c>
      <c r="C16" s="277" t="s">
        <v>239</v>
      </c>
      <c r="D16" s="278" t="s">
        <v>240</v>
      </c>
      <c r="E16" s="262" t="s">
        <v>41</v>
      </c>
      <c r="F16" s="279">
        <v>1120</v>
      </c>
      <c r="G16" s="259" t="s">
        <v>20</v>
      </c>
      <c r="H16" s="280"/>
      <c r="I16" s="267">
        <v>30</v>
      </c>
      <c r="J16" s="267" t="str">
        <f t="shared" si="2"/>
        <v>45</v>
      </c>
      <c r="K16" s="267" t="str">
        <f t="shared" si="1"/>
        <v>0</v>
      </c>
      <c r="L16" s="268"/>
      <c r="M16" s="268"/>
      <c r="N16" s="269" t="s">
        <v>5</v>
      </c>
      <c r="O16" s="372">
        <v>202110126</v>
      </c>
      <c r="P16" s="373"/>
      <c r="Q16" s="374"/>
      <c r="R16" s="73">
        <f>H32/U16</f>
        <v>0.47619047619047616</v>
      </c>
      <c r="S16" s="74">
        <f>H32/(U16-U5)</f>
        <v>0.5490196078431373</v>
      </c>
      <c r="T16" s="74">
        <f>C32/U16</f>
        <v>34.929251700680275</v>
      </c>
      <c r="U16" s="74">
        <f>SUM(U5:U15)</f>
        <v>73.5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4639</v>
      </c>
      <c r="C17" s="17" t="s">
        <v>241</v>
      </c>
      <c r="D17" s="193" t="s">
        <v>242</v>
      </c>
      <c r="E17" s="171" t="s">
        <v>41</v>
      </c>
      <c r="F17" s="57">
        <v>1130</v>
      </c>
      <c r="G17" s="112" t="s">
        <v>47</v>
      </c>
      <c r="H17" s="114"/>
      <c r="I17" s="115">
        <v>95</v>
      </c>
      <c r="J17" s="120" t="str">
        <f t="shared" si="2"/>
        <v>0</v>
      </c>
      <c r="K17" s="120" t="str">
        <f t="shared" si="1"/>
        <v>0</v>
      </c>
      <c r="L17" s="121"/>
      <c r="M17" s="121"/>
      <c r="N17" s="124" t="s">
        <v>5</v>
      </c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4640</v>
      </c>
      <c r="C18" s="17" t="s">
        <v>243</v>
      </c>
      <c r="D18" s="193" t="s">
        <v>244</v>
      </c>
      <c r="E18" s="171" t="s">
        <v>41</v>
      </c>
      <c r="F18" s="57">
        <v>1200</v>
      </c>
      <c r="G18" s="19" t="s">
        <v>51</v>
      </c>
      <c r="H18" s="114"/>
      <c r="I18" s="115">
        <v>150</v>
      </c>
      <c r="J18" s="120" t="str">
        <f t="shared" si="2"/>
        <v>0</v>
      </c>
      <c r="K18" s="120" t="str">
        <f t="shared" si="1"/>
        <v>0</v>
      </c>
      <c r="L18" s="121"/>
      <c r="M18" s="121"/>
      <c r="N18" s="124" t="s">
        <v>5</v>
      </c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4641</v>
      </c>
      <c r="C19" s="17" t="s">
        <v>245</v>
      </c>
      <c r="D19" s="193" t="s">
        <v>246</v>
      </c>
      <c r="E19" s="171" t="s">
        <v>41</v>
      </c>
      <c r="F19" s="57">
        <v>1217</v>
      </c>
      <c r="G19" s="112" t="s">
        <v>47</v>
      </c>
      <c r="H19" s="114"/>
      <c r="I19" s="115">
        <v>95</v>
      </c>
      <c r="J19" s="120" t="str">
        <f t="shared" si="2"/>
        <v>0</v>
      </c>
      <c r="K19" s="120" t="str">
        <f t="shared" si="1"/>
        <v>0</v>
      </c>
      <c r="L19" s="121"/>
      <c r="M19" s="121"/>
      <c r="N19" s="124" t="s">
        <v>5</v>
      </c>
      <c r="O19" s="294"/>
      <c r="P19" s="293"/>
      <c r="Q19" s="293"/>
      <c r="R19" s="84" t="s">
        <v>21</v>
      </c>
      <c r="S19" s="85">
        <f>COUNT(L5:M29,L37:M61,L69:M93)</f>
        <v>2</v>
      </c>
      <c r="T19" s="107">
        <f>SUM(L5:M29,L37:M61,L69:M93)</f>
        <v>1225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4642</v>
      </c>
      <c r="C20" s="17" t="s">
        <v>247</v>
      </c>
      <c r="D20" s="193" t="s">
        <v>248</v>
      </c>
      <c r="E20" s="171" t="s">
        <v>41</v>
      </c>
      <c r="F20" s="57">
        <v>1220</v>
      </c>
      <c r="G20" s="112" t="s">
        <v>51</v>
      </c>
      <c r="H20" s="114"/>
      <c r="I20" s="115">
        <v>120</v>
      </c>
      <c r="J20" s="211" t="str">
        <f t="shared" si="2"/>
        <v>0</v>
      </c>
      <c r="K20" s="211" t="str">
        <f t="shared" si="1"/>
        <v>0</v>
      </c>
      <c r="L20" s="210"/>
      <c r="M20" s="210"/>
      <c r="N20" s="124" t="s">
        <v>5</v>
      </c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4643</v>
      </c>
      <c r="C21" s="17" t="s">
        <v>249</v>
      </c>
      <c r="D21" s="193" t="s">
        <v>250</v>
      </c>
      <c r="E21" s="171" t="s">
        <v>36</v>
      </c>
      <c r="F21" s="57">
        <v>1240</v>
      </c>
      <c r="G21" s="19" t="s">
        <v>70</v>
      </c>
      <c r="H21" s="114"/>
      <c r="I21" s="115">
        <v>55</v>
      </c>
      <c r="J21" s="120" t="str">
        <f>IF(G21="RSL","45","0")</f>
        <v>0</v>
      </c>
      <c r="K21" s="120" t="str">
        <f t="shared" si="1"/>
        <v>0</v>
      </c>
      <c r="L21" s="121"/>
      <c r="M21" s="121"/>
      <c r="N21" s="124" t="s">
        <v>5</v>
      </c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4644</v>
      </c>
      <c r="C22" s="21" t="s">
        <v>251</v>
      </c>
      <c r="D22" s="196" t="s">
        <v>252</v>
      </c>
      <c r="E22" s="171" t="s">
        <v>41</v>
      </c>
      <c r="F22" s="165">
        <v>1245</v>
      </c>
      <c r="G22" s="204" t="s">
        <v>70</v>
      </c>
      <c r="H22" s="80">
        <v>55</v>
      </c>
      <c r="I22" s="131"/>
      <c r="J22" s="120" t="str">
        <f t="shared" ref="J22:J29" si="3">IF(G22="RSL","45","0")</f>
        <v>0</v>
      </c>
      <c r="K22" s="120" t="str">
        <f t="shared" si="1"/>
        <v>0</v>
      </c>
      <c r="L22" s="60"/>
      <c r="M22" s="60"/>
      <c r="N22" s="124" t="s">
        <v>5</v>
      </c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4645</v>
      </c>
      <c r="C23" s="126" t="s">
        <v>253</v>
      </c>
      <c r="D23" s="197" t="s">
        <v>145</v>
      </c>
      <c r="E23" s="171" t="s">
        <v>41</v>
      </c>
      <c r="F23" s="166">
        <v>1300</v>
      </c>
      <c r="G23" s="155" t="s">
        <v>146</v>
      </c>
      <c r="H23" s="80"/>
      <c r="I23" s="131"/>
      <c r="J23" s="120" t="str">
        <f t="shared" si="3"/>
        <v>0</v>
      </c>
      <c r="K23" s="120">
        <v>70.8</v>
      </c>
      <c r="L23" s="117"/>
      <c r="M23" s="117"/>
      <c r="N23" s="124" t="s">
        <v>5</v>
      </c>
      <c r="O23" s="294" t="s">
        <v>254</v>
      </c>
      <c r="P23" s="293"/>
      <c r="Q23" s="295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>
        <v>4646</v>
      </c>
      <c r="C24" s="21" t="s">
        <v>255</v>
      </c>
      <c r="D24" s="196" t="s">
        <v>256</v>
      </c>
      <c r="E24" s="171" t="s">
        <v>41</v>
      </c>
      <c r="F24" s="165">
        <v>1320</v>
      </c>
      <c r="G24" s="204" t="s">
        <v>47</v>
      </c>
      <c r="H24" s="80"/>
      <c r="I24" s="131">
        <v>75</v>
      </c>
      <c r="J24" s="120" t="str">
        <f t="shared" si="3"/>
        <v>0</v>
      </c>
      <c r="K24" s="120" t="str">
        <f t="shared" si="1"/>
        <v>0</v>
      </c>
      <c r="L24" s="60"/>
      <c r="M24" s="60"/>
      <c r="N24" s="124" t="s">
        <v>44</v>
      </c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>
        <v>4647</v>
      </c>
      <c r="C25" s="122" t="s">
        <v>257</v>
      </c>
      <c r="D25" s="198" t="s">
        <v>258</v>
      </c>
      <c r="E25" s="171" t="s">
        <v>41</v>
      </c>
      <c r="F25" s="165">
        <v>1330</v>
      </c>
      <c r="G25" s="204" t="s">
        <v>117</v>
      </c>
      <c r="H25" s="81"/>
      <c r="I25" s="81"/>
      <c r="J25" s="120" t="str">
        <f t="shared" si="3"/>
        <v>0</v>
      </c>
      <c r="K25" s="120" t="str">
        <f t="shared" si="1"/>
        <v>0</v>
      </c>
      <c r="L25" s="60"/>
      <c r="M25" s="60"/>
      <c r="N25" s="124" t="s">
        <v>44</v>
      </c>
      <c r="O25" s="294" t="s">
        <v>259</v>
      </c>
      <c r="P25" s="293"/>
      <c r="Q25" s="295"/>
      <c r="R25" s="91">
        <f>COUNTIF(G5:G29,"GV1")+COUNTIF(G37:G61,"GV1")+COUNTIF(G69:G93,"GV1")</f>
        <v>1</v>
      </c>
      <c r="S25" s="92">
        <f>COUNTIF(G5:G29,"GV2")+COUNTIF(G37:G61,"GV2")+COUNTIF(G69:G93,"GV2")</f>
        <v>0</v>
      </c>
      <c r="T25" s="92">
        <f>COUNTIF(G5:G29,"GV3")+COUNTIF(G37:G61,"GV3")+COUNTIF(G69:G93,"GV3")</f>
        <v>3</v>
      </c>
      <c r="U25" s="364">
        <f>((C32+(R26+S26+T26)*0.5))</f>
        <v>2661.05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>
        <v>4648</v>
      </c>
      <c r="C26" s="26" t="s">
        <v>260</v>
      </c>
      <c r="D26" s="199" t="s">
        <v>261</v>
      </c>
      <c r="E26" s="171" t="s">
        <v>36</v>
      </c>
      <c r="F26" s="167">
        <v>1345</v>
      </c>
      <c r="G26" s="19" t="s">
        <v>223</v>
      </c>
      <c r="H26" s="80"/>
      <c r="I26" s="131"/>
      <c r="J26" s="120" t="str">
        <f t="shared" si="3"/>
        <v>0</v>
      </c>
      <c r="K26" s="120">
        <v>79.099999999999994</v>
      </c>
      <c r="L26" s="60"/>
      <c r="M26" s="60"/>
      <c r="N26" s="124" t="s">
        <v>44</v>
      </c>
      <c r="O26" s="294" t="s">
        <v>262</v>
      </c>
      <c r="P26" s="293"/>
      <c r="Q26" s="295"/>
      <c r="R26" s="103">
        <f>R25*37.5</f>
        <v>37.5</v>
      </c>
      <c r="S26" s="93">
        <f>S25*41.5</f>
        <v>0</v>
      </c>
      <c r="T26" s="93">
        <f>T25*50</f>
        <v>150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>
        <v>4649</v>
      </c>
      <c r="C27" s="26" t="s">
        <v>263</v>
      </c>
      <c r="D27" s="199" t="s">
        <v>264</v>
      </c>
      <c r="E27" s="171" t="s">
        <v>36</v>
      </c>
      <c r="F27" s="167">
        <v>1350</v>
      </c>
      <c r="G27" s="19" t="s">
        <v>70</v>
      </c>
      <c r="H27" s="80">
        <v>55</v>
      </c>
      <c r="I27" s="131"/>
      <c r="J27" s="120" t="str">
        <f t="shared" si="3"/>
        <v>0</v>
      </c>
      <c r="K27" s="120" t="str">
        <f t="shared" si="1"/>
        <v>0</v>
      </c>
      <c r="L27" s="60"/>
      <c r="M27" s="60"/>
      <c r="N27" s="124" t="s">
        <v>5</v>
      </c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>
        <v>4650</v>
      </c>
      <c r="C28" s="26" t="s">
        <v>265</v>
      </c>
      <c r="D28" s="199" t="s">
        <v>266</v>
      </c>
      <c r="E28" s="171" t="s">
        <v>41</v>
      </c>
      <c r="F28" s="167">
        <v>1350</v>
      </c>
      <c r="G28" s="19" t="s">
        <v>70</v>
      </c>
      <c r="H28" s="80"/>
      <c r="I28" s="131">
        <v>55</v>
      </c>
      <c r="J28" s="120" t="str">
        <f t="shared" si="3"/>
        <v>0</v>
      </c>
      <c r="K28" s="120" t="str">
        <f t="shared" si="1"/>
        <v>0</v>
      </c>
      <c r="L28" s="60"/>
      <c r="M28" s="60"/>
      <c r="N28" s="124" t="s">
        <v>5</v>
      </c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>
        <v>4651</v>
      </c>
      <c r="C29" s="33" t="s">
        <v>267</v>
      </c>
      <c r="D29" s="200" t="s">
        <v>268</v>
      </c>
      <c r="E29" s="172" t="s">
        <v>41</v>
      </c>
      <c r="F29" s="167">
        <v>1410</v>
      </c>
      <c r="G29" s="19" t="s">
        <v>47</v>
      </c>
      <c r="H29" s="80"/>
      <c r="I29" s="80">
        <v>75</v>
      </c>
      <c r="J29" s="120" t="str">
        <f t="shared" si="3"/>
        <v>0</v>
      </c>
      <c r="K29" s="120" t="str">
        <f t="shared" si="1"/>
        <v>0</v>
      </c>
      <c r="L29" s="60"/>
      <c r="M29" s="60"/>
      <c r="N29" s="124" t="s">
        <v>5</v>
      </c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265</v>
      </c>
      <c r="I30" s="96">
        <f>SUM(I5:I29)</f>
        <v>1105</v>
      </c>
      <c r="J30" s="96">
        <f>J5+J6+J7+J8+J9+J10+J11+J12+J13+J14+J15+J16+J18+J19+J17+J20+J22+J23+J21+J24+J25+J26+J27+J28+J29</f>
        <v>230</v>
      </c>
      <c r="K30" s="96">
        <f>K5+K6+K7+K8+K9+K10+K11+K12+K13+K14+K15+K16+K18+K19+K17+K20+K22+K23+K21+K24+K25+K26+K27+K28+K29</f>
        <v>287.29999999999995</v>
      </c>
      <c r="L30" s="97">
        <f t="shared" si="4"/>
        <v>0</v>
      </c>
      <c r="M30" s="97">
        <f t="shared" si="4"/>
        <v>475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285</v>
      </c>
      <c r="I31" s="94">
        <f t="shared" si="5"/>
        <v>1530</v>
      </c>
      <c r="J31" s="94">
        <f t="shared" si="5"/>
        <v>365</v>
      </c>
      <c r="K31" s="94">
        <f>K30+K62+K94</f>
        <v>387.29999999999995</v>
      </c>
      <c r="L31" s="88">
        <f>L30+L62+L94</f>
        <v>0</v>
      </c>
      <c r="M31" s="88">
        <f>M30+M62+M94</f>
        <v>1225</v>
      </c>
      <c r="N31" s="207">
        <f>COUNT(H5:H29,H37:H61,H69:H93)</f>
        <v>7</v>
      </c>
      <c r="O31" s="95">
        <f>COUNT(I5:I29,I37:I61,I69:I93)</f>
        <v>18</v>
      </c>
      <c r="P31" s="95">
        <f>COUNTIF(G5:G29,"G*")+COUNTIF(G37:G61,"G*")+COUNTIF(G69:G93,"G*")+COUNTIF(G5:G29,"P*")+COUNTIF(G37:G61,"P*")+COUNTIF(G69:G93,"P*")</f>
        <v>9</v>
      </c>
      <c r="Q31" s="108">
        <f>COUNTIF(G5:G29,"RSL")+COUNTIF(G37:G61,"RSL")+COUNTIF(G69:G93,"RSL")</f>
        <v>6</v>
      </c>
      <c r="R31" s="89" t="s">
        <v>128</v>
      </c>
      <c r="S31" s="102">
        <f>H31+L31-U28-U29-U30</f>
        <v>285</v>
      </c>
      <c r="T31" s="333">
        <f>H31+I31+L31+M31</f>
        <v>3040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2567.3000000000002</v>
      </c>
      <c r="D32" s="186"/>
      <c r="E32" s="98"/>
      <c r="F32" s="355" t="s">
        <v>131</v>
      </c>
      <c r="G32" s="355"/>
      <c r="H32" s="100">
        <f>COUNT(B5:B29,B37:B61,B69:B93)</f>
        <v>35</v>
      </c>
      <c r="I32" s="356" t="s">
        <v>132</v>
      </c>
      <c r="J32" s="356"/>
      <c r="K32" s="99">
        <f>C32/H32</f>
        <v>73.351428571428571</v>
      </c>
      <c r="L32" s="208"/>
      <c r="M32" s="208"/>
      <c r="N32" s="208">
        <f>H31/C32</f>
        <v>0.11101156857398822</v>
      </c>
      <c r="O32" s="208">
        <f>I31/C32</f>
        <v>0.59595684181825259</v>
      </c>
      <c r="P32" s="208">
        <f>K31/C32</f>
        <v>0.1508588789779145</v>
      </c>
      <c r="Q32" s="101">
        <f>J31/C32</f>
        <v>0.14217271062984457</v>
      </c>
      <c r="R32" s="90" t="s">
        <v>133</v>
      </c>
      <c r="S32" s="203">
        <f>I31+M31</f>
        <v>2755</v>
      </c>
      <c r="T32" s="335"/>
      <c r="U32" s="336"/>
      <c r="V32" s="39"/>
      <c r="W32" s="39"/>
      <c r="X32" s="48" t="s">
        <v>134</v>
      </c>
      <c r="Y32" s="48"/>
      <c r="Z32" s="47">
        <f>I31</f>
        <v>1530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-1215</v>
      </c>
      <c r="AG33" s="35"/>
    </row>
    <row r="34" spans="1:33" ht="17.25" thickBot="1">
      <c r="A34" s="327" t="str">
        <f>A2</f>
        <v>30-12-2021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SUNNY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10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>
        <v>4652</v>
      </c>
      <c r="C37" s="59">
        <v>338</v>
      </c>
      <c r="D37" s="248" t="s">
        <v>269</v>
      </c>
      <c r="E37" s="171" t="s">
        <v>36</v>
      </c>
      <c r="F37" s="164">
        <v>1415</v>
      </c>
      <c r="G37" s="109" t="s">
        <v>20</v>
      </c>
      <c r="H37" s="82"/>
      <c r="I37" s="115">
        <v>30</v>
      </c>
      <c r="J37" s="120" t="str">
        <f t="shared" ref="J37:J51" si="6">IF(G37="RSL","45","0")</f>
        <v>45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 t="s">
        <v>5</v>
      </c>
      <c r="O37" s="294">
        <v>202110103</v>
      </c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>
        <v>4653</v>
      </c>
      <c r="C38" s="58" t="s">
        <v>270</v>
      </c>
      <c r="D38" s="185" t="s">
        <v>271</v>
      </c>
      <c r="E38" s="171" t="s">
        <v>36</v>
      </c>
      <c r="F38" s="169">
        <v>1426</v>
      </c>
      <c r="G38" s="109" t="s">
        <v>42</v>
      </c>
      <c r="H38" s="82"/>
      <c r="I38" s="115"/>
      <c r="J38" s="120" t="str">
        <f t="shared" si="6"/>
        <v>0</v>
      </c>
      <c r="K38" s="120">
        <v>100</v>
      </c>
      <c r="L38" s="121"/>
      <c r="M38" s="121"/>
      <c r="N38" s="60" t="s">
        <v>5</v>
      </c>
      <c r="O38" s="321" t="s">
        <v>272</v>
      </c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>
        <v>4654</v>
      </c>
      <c r="C39" s="26" t="s">
        <v>273</v>
      </c>
      <c r="D39" s="173" t="s">
        <v>274</v>
      </c>
      <c r="E39" s="171" t="s">
        <v>41</v>
      </c>
      <c r="F39" s="169">
        <v>1500</v>
      </c>
      <c r="G39" s="109" t="s">
        <v>47</v>
      </c>
      <c r="H39" s="82"/>
      <c r="I39" s="115">
        <v>95</v>
      </c>
      <c r="J39" s="120" t="str">
        <f t="shared" si="6"/>
        <v>0</v>
      </c>
      <c r="K39" s="120" t="str">
        <f t="shared" si="7"/>
        <v>0</v>
      </c>
      <c r="L39" s="121"/>
      <c r="M39" s="121"/>
      <c r="N39" s="60" t="s">
        <v>5</v>
      </c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>
        <v>4655</v>
      </c>
      <c r="C40" s="54" t="s">
        <v>275</v>
      </c>
      <c r="D40" s="174" t="s">
        <v>276</v>
      </c>
      <c r="E40" s="171" t="s">
        <v>41</v>
      </c>
      <c r="F40" s="170">
        <v>1500</v>
      </c>
      <c r="G40" s="110" t="s">
        <v>47</v>
      </c>
      <c r="H40" s="82"/>
      <c r="I40" s="82">
        <v>95</v>
      </c>
      <c r="J40" s="120" t="str">
        <f t="shared" si="6"/>
        <v>0</v>
      </c>
      <c r="K40" s="120" t="str">
        <f t="shared" si="7"/>
        <v>0</v>
      </c>
      <c r="L40" s="121"/>
      <c r="M40" s="121"/>
      <c r="N40" s="60" t="s">
        <v>5</v>
      </c>
      <c r="O40" s="324" t="s">
        <v>193</v>
      </c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>
        <v>4656</v>
      </c>
      <c r="C41" s="54" t="s">
        <v>277</v>
      </c>
      <c r="D41" s="174" t="s">
        <v>278</v>
      </c>
      <c r="E41" s="171" t="s">
        <v>36</v>
      </c>
      <c r="F41" s="170">
        <v>1530</v>
      </c>
      <c r="G41" s="110" t="s">
        <v>70</v>
      </c>
      <c r="H41" s="82"/>
      <c r="I41" s="82">
        <v>55</v>
      </c>
      <c r="J41" s="120" t="str">
        <f t="shared" si="6"/>
        <v>0</v>
      </c>
      <c r="K41" s="120" t="str">
        <f t="shared" si="7"/>
        <v>0</v>
      </c>
      <c r="L41" s="121"/>
      <c r="M41" s="121"/>
      <c r="N41" s="60" t="s">
        <v>5</v>
      </c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>
        <v>4657</v>
      </c>
      <c r="C42" s="27" t="s">
        <v>279</v>
      </c>
      <c r="D42" s="175" t="s">
        <v>280</v>
      </c>
      <c r="E42" s="171" t="s">
        <v>41</v>
      </c>
      <c r="F42" s="163">
        <v>1540</v>
      </c>
      <c r="G42" s="111" t="s">
        <v>117</v>
      </c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 t="s">
        <v>5</v>
      </c>
      <c r="O42" s="316" t="s">
        <v>281</v>
      </c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>
        <v>4658</v>
      </c>
      <c r="C43" s="17" t="s">
        <v>282</v>
      </c>
      <c r="D43" s="181"/>
      <c r="E43" s="171" t="s">
        <v>41</v>
      </c>
      <c r="F43" s="57">
        <v>1545</v>
      </c>
      <c r="G43" s="109" t="s">
        <v>20</v>
      </c>
      <c r="H43" s="114">
        <v>10</v>
      </c>
      <c r="I43" s="115"/>
      <c r="J43" s="120" t="str">
        <f t="shared" si="6"/>
        <v>45</v>
      </c>
      <c r="K43" s="120" t="str">
        <f t="shared" si="7"/>
        <v>0</v>
      </c>
      <c r="L43" s="121"/>
      <c r="M43" s="121"/>
      <c r="N43" s="60" t="s">
        <v>5</v>
      </c>
      <c r="O43" s="294">
        <v>202110036</v>
      </c>
      <c r="P43" s="293"/>
      <c r="Q43" s="295"/>
      <c r="R43" s="69"/>
      <c r="S43" s="62"/>
      <c r="T43" s="62"/>
      <c r="U43" s="63"/>
    </row>
    <row r="44" spans="1:33">
      <c r="A44" s="249">
        <f t="shared" si="8"/>
        <v>33</v>
      </c>
      <c r="B44" s="250">
        <v>4659</v>
      </c>
      <c r="C44" s="271" t="s">
        <v>283</v>
      </c>
      <c r="D44" s="272" t="s">
        <v>284</v>
      </c>
      <c r="E44" s="253" t="s">
        <v>36</v>
      </c>
      <c r="F44" s="273">
        <v>1550</v>
      </c>
      <c r="G44" s="250" t="s">
        <v>51</v>
      </c>
      <c r="H44" s="275"/>
      <c r="I44" s="275">
        <v>150</v>
      </c>
      <c r="J44" s="256" t="str">
        <f t="shared" si="6"/>
        <v>0</v>
      </c>
      <c r="K44" s="256" t="str">
        <f t="shared" si="7"/>
        <v>0</v>
      </c>
      <c r="L44" s="257"/>
      <c r="M44" s="257">
        <v>750</v>
      </c>
      <c r="N44" s="256" t="s">
        <v>5</v>
      </c>
      <c r="O44" s="375" t="s">
        <v>285</v>
      </c>
      <c r="P44" s="376"/>
      <c r="Q44" s="377"/>
      <c r="R44" s="5"/>
      <c r="S44" s="62"/>
      <c r="T44" s="62"/>
      <c r="U44" s="63"/>
    </row>
    <row r="45" spans="1:33">
      <c r="A45" s="118">
        <f t="shared" si="8"/>
        <v>34</v>
      </c>
      <c r="B45" s="109">
        <v>4660</v>
      </c>
      <c r="C45" s="55" t="s">
        <v>286</v>
      </c>
      <c r="D45" s="176" t="s">
        <v>287</v>
      </c>
      <c r="E45" s="171" t="s">
        <v>41</v>
      </c>
      <c r="F45" s="163">
        <v>1550</v>
      </c>
      <c r="G45" s="110" t="s">
        <v>152</v>
      </c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 t="s">
        <v>5</v>
      </c>
      <c r="O45" s="294" t="s">
        <v>288</v>
      </c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>
        <v>4661</v>
      </c>
      <c r="C46" s="56" t="s">
        <v>289</v>
      </c>
      <c r="D46" s="177" t="s">
        <v>290</v>
      </c>
      <c r="E46" s="171" t="s">
        <v>36</v>
      </c>
      <c r="F46" s="160">
        <v>1603</v>
      </c>
      <c r="G46" s="113" t="s">
        <v>20</v>
      </c>
      <c r="H46" s="114">
        <v>10</v>
      </c>
      <c r="I46" s="115"/>
      <c r="J46" s="120" t="str">
        <f t="shared" si="6"/>
        <v>45</v>
      </c>
      <c r="K46" s="120" t="str">
        <f t="shared" si="7"/>
        <v>0</v>
      </c>
      <c r="L46" s="121"/>
      <c r="M46" s="121"/>
      <c r="N46" s="60" t="s">
        <v>5</v>
      </c>
      <c r="O46" s="294">
        <v>202110090</v>
      </c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20</v>
      </c>
      <c r="I62" s="306">
        <f t="shared" si="10"/>
        <v>425</v>
      </c>
      <c r="J62" s="306">
        <f>J61+J60+J59+J58+J57+J56+J55+J54+J53+J52+J51+J50+J49+J48+J47+J46+J45+J44+J43+J42+J41+J40+J39+J38+J37</f>
        <v>135</v>
      </c>
      <c r="K62" s="306">
        <f>K61+K60+K59+K58+K57+K56+K55+K54+K53+K52+K51+K50+K49+K48+K47+K46+K45+K44+K43+K42+K41+K40+K39+K38+K37</f>
        <v>100</v>
      </c>
      <c r="L62" s="309">
        <f t="shared" si="10"/>
        <v>0</v>
      </c>
      <c r="M62" s="312">
        <f t="shared" si="10"/>
        <v>750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30-12-2021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SUNNY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10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2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23:Q23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5:E29 E37:E61" xr:uid="{AAC359DA-CA18-40F0-A7AC-E0C4C6B963A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13" sqref="R1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291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208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9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4662</v>
      </c>
      <c r="C5" s="59" t="s">
        <v>292</v>
      </c>
      <c r="D5" s="190" t="s">
        <v>293</v>
      </c>
      <c r="E5" s="171" t="s">
        <v>41</v>
      </c>
      <c r="F5" s="160">
        <v>855</v>
      </c>
      <c r="G5" s="109" t="s">
        <v>70</v>
      </c>
      <c r="H5" s="82"/>
      <c r="I5" s="115">
        <v>55</v>
      </c>
      <c r="J5" s="120" t="str">
        <f t="shared" ref="J5:J20" si="0">IF(G5="RSL","45","0")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44</v>
      </c>
      <c r="O5" s="366"/>
      <c r="P5" s="367"/>
      <c r="Q5" s="368"/>
      <c r="R5" s="32" t="s">
        <v>5</v>
      </c>
      <c r="S5" s="30">
        <v>0.33333333333333331</v>
      </c>
      <c r="T5" s="31">
        <v>0.6875</v>
      </c>
      <c r="U5" s="83">
        <f t="shared" ref="U5:U15" si="1">(T5-S5)*24</f>
        <v>8.5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4663</v>
      </c>
      <c r="C6" s="58" t="s">
        <v>294</v>
      </c>
      <c r="D6" s="190" t="s">
        <v>295</v>
      </c>
      <c r="E6" s="171" t="s">
        <v>41</v>
      </c>
      <c r="F6" s="161">
        <v>930</v>
      </c>
      <c r="G6" s="109" t="s">
        <v>42</v>
      </c>
      <c r="H6" s="82"/>
      <c r="I6" s="115"/>
      <c r="J6" s="120" t="str">
        <f t="shared" si="0"/>
        <v>0</v>
      </c>
      <c r="K6" s="120" t="str">
        <f t="shared" ref="K6:K29" si="2">IF(G6="GVS","37.5",IF(G6="GVM","41.5",IF(G6="GVL","50",IF(G6="PCS","45.8",IF(G6="PCM","50",IF(G6="PCL","58.3","0"))))))</f>
        <v>45.8</v>
      </c>
      <c r="L6" s="121"/>
      <c r="M6" s="121"/>
      <c r="N6" s="124" t="s">
        <v>296</v>
      </c>
      <c r="O6" s="321" t="s">
        <v>297</v>
      </c>
      <c r="P6" s="322"/>
      <c r="Q6" s="323"/>
      <c r="R6" s="122" t="s">
        <v>44</v>
      </c>
      <c r="S6" s="30">
        <v>0.33333333333333331</v>
      </c>
      <c r="T6" s="31">
        <v>0.6875</v>
      </c>
      <c r="U6" s="83">
        <f t="shared" si="1"/>
        <v>8.5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4664</v>
      </c>
      <c r="C7" s="58" t="s">
        <v>298</v>
      </c>
      <c r="D7" s="190"/>
      <c r="E7" s="171" t="s">
        <v>36</v>
      </c>
      <c r="F7" s="161">
        <v>935</v>
      </c>
      <c r="G7" s="109" t="s">
        <v>47</v>
      </c>
      <c r="H7" s="82">
        <v>100</v>
      </c>
      <c r="I7" s="115"/>
      <c r="J7" s="120" t="str">
        <f t="shared" si="0"/>
        <v>0</v>
      </c>
      <c r="K7" s="120" t="str">
        <f t="shared" si="2"/>
        <v>0</v>
      </c>
      <c r="L7" s="121"/>
      <c r="M7" s="121"/>
      <c r="N7" s="124" t="s">
        <v>55</v>
      </c>
      <c r="O7" s="294"/>
      <c r="P7" s="293"/>
      <c r="Q7" s="295"/>
      <c r="R7" s="25" t="s">
        <v>55</v>
      </c>
      <c r="S7" s="30">
        <v>0.375</v>
      </c>
      <c r="T7" s="31">
        <v>0.6875</v>
      </c>
      <c r="U7" s="83">
        <f t="shared" si="1"/>
        <v>7.5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4665</v>
      </c>
      <c r="C8" s="26" t="s">
        <v>299</v>
      </c>
      <c r="D8" s="190" t="s">
        <v>300</v>
      </c>
      <c r="E8" s="171" t="s">
        <v>36</v>
      </c>
      <c r="F8" s="161">
        <v>1010</v>
      </c>
      <c r="G8" s="109" t="s">
        <v>47</v>
      </c>
      <c r="H8" s="82"/>
      <c r="I8" s="115">
        <v>95</v>
      </c>
      <c r="J8" s="120" t="str">
        <f t="shared" si="0"/>
        <v>0</v>
      </c>
      <c r="K8" s="120" t="str">
        <f t="shared" si="2"/>
        <v>0</v>
      </c>
      <c r="L8" s="121"/>
      <c r="M8" s="121"/>
      <c r="N8" s="124" t="s">
        <v>5</v>
      </c>
      <c r="O8" s="324"/>
      <c r="P8" s="325"/>
      <c r="Q8" s="326"/>
      <c r="R8" s="25" t="s">
        <v>162</v>
      </c>
      <c r="S8" s="30">
        <v>0.375</v>
      </c>
      <c r="T8" s="31">
        <v>0.6875</v>
      </c>
      <c r="U8" s="83">
        <f t="shared" si="1"/>
        <v>7.5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4666</v>
      </c>
      <c r="C9" s="54" t="s">
        <v>301</v>
      </c>
      <c r="D9" s="191" t="s">
        <v>302</v>
      </c>
      <c r="E9" s="171" t="s">
        <v>41</v>
      </c>
      <c r="F9" s="162">
        <v>1030</v>
      </c>
      <c r="G9" s="110" t="s">
        <v>51</v>
      </c>
      <c r="H9" s="82"/>
      <c r="I9" s="82">
        <v>150</v>
      </c>
      <c r="J9" s="120" t="str">
        <f t="shared" si="0"/>
        <v>0</v>
      </c>
      <c r="K9" s="120" t="str">
        <f t="shared" si="2"/>
        <v>0</v>
      </c>
      <c r="L9" s="121"/>
      <c r="M9" s="121"/>
      <c r="N9" s="124" t="s">
        <v>5</v>
      </c>
      <c r="O9" s="324" t="s">
        <v>193</v>
      </c>
      <c r="P9" s="325"/>
      <c r="Q9" s="326"/>
      <c r="R9" s="25" t="s">
        <v>156</v>
      </c>
      <c r="S9" s="30">
        <v>0.41666666666666669</v>
      </c>
      <c r="T9" s="31">
        <v>0.6875</v>
      </c>
      <c r="U9" s="83">
        <f t="shared" si="1"/>
        <v>6.5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4667</v>
      </c>
      <c r="C10" s="27" t="s">
        <v>303</v>
      </c>
      <c r="D10" s="192" t="s">
        <v>304</v>
      </c>
      <c r="E10" s="171" t="s">
        <v>41</v>
      </c>
      <c r="F10" s="163">
        <v>1100</v>
      </c>
      <c r="G10" s="111" t="s">
        <v>305</v>
      </c>
      <c r="H10" s="114"/>
      <c r="I10" s="116"/>
      <c r="J10" s="120" t="str">
        <f t="shared" si="0"/>
        <v>0</v>
      </c>
      <c r="K10" s="120" t="str">
        <f t="shared" si="2"/>
        <v>0</v>
      </c>
      <c r="L10" s="121"/>
      <c r="M10" s="121"/>
      <c r="N10" s="124" t="s">
        <v>5</v>
      </c>
      <c r="O10" s="316" t="s">
        <v>306</v>
      </c>
      <c r="P10" s="317"/>
      <c r="Q10" s="318"/>
      <c r="R10" s="25" t="s">
        <v>296</v>
      </c>
      <c r="S10" s="30">
        <v>0.375</v>
      </c>
      <c r="T10" s="31">
        <v>0.45833333333333331</v>
      </c>
      <c r="U10" s="83">
        <f t="shared" si="1"/>
        <v>1.9999999999999996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4668</v>
      </c>
      <c r="C11" s="17" t="s">
        <v>307</v>
      </c>
      <c r="D11" s="193" t="s">
        <v>308</v>
      </c>
      <c r="E11" s="171" t="s">
        <v>41</v>
      </c>
      <c r="F11" s="57">
        <v>1120</v>
      </c>
      <c r="G11" s="112" t="s">
        <v>47</v>
      </c>
      <c r="H11" s="114"/>
      <c r="I11" s="115">
        <v>85</v>
      </c>
      <c r="J11" s="120" t="str">
        <f t="shared" si="0"/>
        <v>0</v>
      </c>
      <c r="K11" s="120" t="str">
        <f t="shared" si="2"/>
        <v>0</v>
      </c>
      <c r="L11" s="121"/>
      <c r="M11" s="121"/>
      <c r="N11" s="124" t="s">
        <v>5</v>
      </c>
      <c r="O11" s="378"/>
      <c r="P11" s="293"/>
      <c r="Q11" s="295"/>
      <c r="R11" s="25" t="s">
        <v>309</v>
      </c>
      <c r="S11" s="30">
        <v>0.5</v>
      </c>
      <c r="T11" s="31">
        <v>0.66666666666666663</v>
      </c>
      <c r="U11" s="83">
        <f t="shared" si="1"/>
        <v>3.9999999999999991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4669</v>
      </c>
      <c r="C12" s="55" t="s">
        <v>310</v>
      </c>
      <c r="D12" s="194" t="s">
        <v>311</v>
      </c>
      <c r="E12" s="171" t="s">
        <v>36</v>
      </c>
      <c r="F12" s="163">
        <v>1120</v>
      </c>
      <c r="G12" s="110" t="s">
        <v>70</v>
      </c>
      <c r="H12" s="114"/>
      <c r="I12" s="116">
        <v>55</v>
      </c>
      <c r="J12" s="120" t="str">
        <f t="shared" si="0"/>
        <v>0</v>
      </c>
      <c r="K12" s="120" t="str">
        <f t="shared" si="2"/>
        <v>0</v>
      </c>
      <c r="L12" s="121"/>
      <c r="M12" s="121"/>
      <c r="N12" s="124" t="s">
        <v>5</v>
      </c>
      <c r="O12" s="294"/>
      <c r="P12" s="293"/>
      <c r="Q12" s="295"/>
      <c r="R12" s="25" t="s">
        <v>312</v>
      </c>
      <c r="S12" s="30">
        <v>0.5</v>
      </c>
      <c r="T12" s="31">
        <v>0.66666666666666663</v>
      </c>
      <c r="U12" s="83">
        <f t="shared" si="1"/>
        <v>3.9999999999999991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4670</v>
      </c>
      <c r="C13" s="17" t="s">
        <v>313</v>
      </c>
      <c r="D13" s="193" t="s">
        <v>314</v>
      </c>
      <c r="E13" s="171" t="s">
        <v>36</v>
      </c>
      <c r="F13" s="57">
        <v>1140</v>
      </c>
      <c r="G13" s="112" t="s">
        <v>20</v>
      </c>
      <c r="H13" s="159"/>
      <c r="I13" s="158"/>
      <c r="J13" s="120">
        <v>90</v>
      </c>
      <c r="K13" s="120" t="str">
        <f t="shared" si="2"/>
        <v>0</v>
      </c>
      <c r="L13" s="121"/>
      <c r="M13" s="121"/>
      <c r="N13" s="124" t="s">
        <v>55</v>
      </c>
      <c r="O13" s="378" t="s">
        <v>315</v>
      </c>
      <c r="P13" s="293"/>
      <c r="Q13" s="295"/>
      <c r="R13" s="32" t="s">
        <v>316</v>
      </c>
      <c r="S13" s="30">
        <v>0.5</v>
      </c>
      <c r="T13" s="31">
        <v>0.66666666666666663</v>
      </c>
      <c r="U13" s="83">
        <f t="shared" si="1"/>
        <v>3.9999999999999991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4671</v>
      </c>
      <c r="C14" s="56" t="s">
        <v>317</v>
      </c>
      <c r="D14" s="195" t="s">
        <v>235</v>
      </c>
      <c r="E14" s="171" t="s">
        <v>41</v>
      </c>
      <c r="F14" s="164">
        <v>1145</v>
      </c>
      <c r="G14" s="113" t="s">
        <v>42</v>
      </c>
      <c r="H14" s="114"/>
      <c r="I14" s="116"/>
      <c r="J14" s="120" t="str">
        <f t="shared" si="0"/>
        <v>0</v>
      </c>
      <c r="K14" s="120" t="str">
        <f t="shared" si="2"/>
        <v>45.8</v>
      </c>
      <c r="L14" s="121"/>
      <c r="M14" s="121"/>
      <c r="N14" s="124" t="s">
        <v>55</v>
      </c>
      <c r="O14" s="294" t="s">
        <v>318</v>
      </c>
      <c r="P14" s="293"/>
      <c r="Q14" s="295"/>
      <c r="R14" s="25"/>
      <c r="S14" s="30"/>
      <c r="T14" s="31"/>
      <c r="U14" s="83">
        <f t="shared" si="1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4672</v>
      </c>
      <c r="C15" s="56" t="s">
        <v>319</v>
      </c>
      <c r="D15" s="195" t="s">
        <v>320</v>
      </c>
      <c r="E15" s="171" t="s">
        <v>41</v>
      </c>
      <c r="F15" s="164">
        <v>1150</v>
      </c>
      <c r="G15" s="113" t="s">
        <v>70</v>
      </c>
      <c r="H15" s="114"/>
      <c r="I15" s="115">
        <v>55</v>
      </c>
      <c r="J15" s="120" t="str">
        <f t="shared" si="0"/>
        <v>0</v>
      </c>
      <c r="K15" s="120" t="str">
        <f t="shared" si="2"/>
        <v>0</v>
      </c>
      <c r="L15" s="121"/>
      <c r="M15" s="121"/>
      <c r="N15" s="124" t="s">
        <v>55</v>
      </c>
      <c r="O15" s="294"/>
      <c r="P15" s="293"/>
      <c r="Q15" s="295"/>
      <c r="R15" s="25"/>
      <c r="S15" s="30"/>
      <c r="T15" s="31"/>
      <c r="U15" s="83">
        <f t="shared" si="1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4673</v>
      </c>
      <c r="C16" s="56" t="s">
        <v>321</v>
      </c>
      <c r="D16" s="195" t="s">
        <v>322</v>
      </c>
      <c r="E16" s="171" t="s">
        <v>36</v>
      </c>
      <c r="F16" s="164">
        <v>1200</v>
      </c>
      <c r="G16" s="113" t="s">
        <v>47</v>
      </c>
      <c r="H16" s="114"/>
      <c r="I16" s="115">
        <v>75</v>
      </c>
      <c r="J16" s="120" t="str">
        <f t="shared" si="0"/>
        <v>0</v>
      </c>
      <c r="K16" s="120" t="str">
        <f t="shared" si="2"/>
        <v>0</v>
      </c>
      <c r="L16" s="121"/>
      <c r="M16" s="121"/>
      <c r="N16" s="124" t="s">
        <v>55</v>
      </c>
      <c r="O16" s="294"/>
      <c r="P16" s="293"/>
      <c r="Q16" s="295"/>
      <c r="R16" s="73">
        <f>H32/U16</f>
        <v>0.3619047619047619</v>
      </c>
      <c r="S16" s="74">
        <f>H32/(U16-U5)</f>
        <v>0.43181818181818182</v>
      </c>
      <c r="T16" s="74">
        <f>C32/U16</f>
        <v>26.887619047619047</v>
      </c>
      <c r="U16" s="74">
        <f>SUM(U5:U15)</f>
        <v>52.5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4674</v>
      </c>
      <c r="C17" s="17" t="s">
        <v>323</v>
      </c>
      <c r="D17" s="193" t="s">
        <v>324</v>
      </c>
      <c r="E17" s="171" t="s">
        <v>36</v>
      </c>
      <c r="F17" s="57">
        <v>1220</v>
      </c>
      <c r="G17" s="112" t="s">
        <v>47</v>
      </c>
      <c r="H17" s="114"/>
      <c r="I17" s="115">
        <v>90</v>
      </c>
      <c r="J17" s="120" t="str">
        <f t="shared" si="0"/>
        <v>0</v>
      </c>
      <c r="K17" s="120" t="str">
        <f t="shared" si="2"/>
        <v>0</v>
      </c>
      <c r="L17" s="121"/>
      <c r="M17" s="121"/>
      <c r="N17" s="124" t="s">
        <v>5</v>
      </c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4675</v>
      </c>
      <c r="C18" s="17" t="s">
        <v>325</v>
      </c>
      <c r="D18" s="193" t="s">
        <v>326</v>
      </c>
      <c r="E18" s="171" t="s">
        <v>36</v>
      </c>
      <c r="F18" s="57">
        <v>1305</v>
      </c>
      <c r="G18" s="19" t="s">
        <v>47</v>
      </c>
      <c r="H18" s="114"/>
      <c r="I18" s="115">
        <v>75</v>
      </c>
      <c r="J18" s="120" t="str">
        <f t="shared" si="0"/>
        <v>0</v>
      </c>
      <c r="K18" s="120" t="str">
        <f t="shared" si="2"/>
        <v>0</v>
      </c>
      <c r="L18" s="121"/>
      <c r="M18" s="121"/>
      <c r="N18" s="124" t="s">
        <v>5</v>
      </c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4676</v>
      </c>
      <c r="C19" s="17" t="s">
        <v>327</v>
      </c>
      <c r="D19" s="193" t="s">
        <v>328</v>
      </c>
      <c r="E19" s="171" t="s">
        <v>41</v>
      </c>
      <c r="F19" s="57">
        <v>1350</v>
      </c>
      <c r="G19" s="112" t="s">
        <v>51</v>
      </c>
      <c r="H19" s="114"/>
      <c r="I19" s="115">
        <v>120</v>
      </c>
      <c r="J19" s="120" t="str">
        <f t="shared" si="0"/>
        <v>0</v>
      </c>
      <c r="K19" s="120" t="str">
        <f t="shared" si="2"/>
        <v>0</v>
      </c>
      <c r="L19" s="121"/>
      <c r="M19" s="121"/>
      <c r="N19" s="124" t="s">
        <v>5</v>
      </c>
      <c r="O19" s="294"/>
      <c r="P19" s="293"/>
      <c r="Q19" s="293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4677</v>
      </c>
      <c r="C20" s="17" t="s">
        <v>329</v>
      </c>
      <c r="D20" s="193" t="s">
        <v>330</v>
      </c>
      <c r="E20" s="171" t="s">
        <v>36</v>
      </c>
      <c r="F20" s="57">
        <v>1400</v>
      </c>
      <c r="G20" s="112" t="s">
        <v>117</v>
      </c>
      <c r="H20" s="114"/>
      <c r="I20" s="209"/>
      <c r="J20" s="211" t="str">
        <f t="shared" si="0"/>
        <v>0</v>
      </c>
      <c r="K20" s="211" t="str">
        <f t="shared" si="2"/>
        <v>0</v>
      </c>
      <c r="L20" s="210"/>
      <c r="M20" s="210"/>
      <c r="N20" s="124" t="s">
        <v>5</v>
      </c>
      <c r="O20" s="294" t="s">
        <v>331</v>
      </c>
      <c r="P20" s="293"/>
      <c r="Q20" s="29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>
        <v>4678</v>
      </c>
      <c r="C21" s="17" t="s">
        <v>332</v>
      </c>
      <c r="D21" s="193" t="s">
        <v>333</v>
      </c>
      <c r="E21" s="171" t="s">
        <v>36</v>
      </c>
      <c r="F21" s="57">
        <v>1441</v>
      </c>
      <c r="G21" s="19" t="s">
        <v>20</v>
      </c>
      <c r="H21" s="114">
        <v>15</v>
      </c>
      <c r="I21" s="115"/>
      <c r="J21" s="120" t="str">
        <f>IF(G21="RSL","45","0")</f>
        <v>45</v>
      </c>
      <c r="K21" s="120" t="str">
        <f t="shared" si="2"/>
        <v>0</v>
      </c>
      <c r="L21" s="121"/>
      <c r="M21" s="121"/>
      <c r="N21" s="124" t="s">
        <v>5</v>
      </c>
      <c r="O21" s="294">
        <v>202110065</v>
      </c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>
        <v>4679</v>
      </c>
      <c r="C22" s="21" t="s">
        <v>334</v>
      </c>
      <c r="D22" s="196" t="s">
        <v>335</v>
      </c>
      <c r="E22" s="171" t="s">
        <v>36</v>
      </c>
      <c r="F22" s="165">
        <v>1445</v>
      </c>
      <c r="G22" s="204" t="s">
        <v>51</v>
      </c>
      <c r="H22" s="80">
        <v>140</v>
      </c>
      <c r="I22" s="131"/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 t="s">
        <v>5</v>
      </c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>
        <v>4680</v>
      </c>
      <c r="C23" s="126" t="s">
        <v>336</v>
      </c>
      <c r="D23" s="197" t="s">
        <v>337</v>
      </c>
      <c r="E23" s="171" t="s">
        <v>41</v>
      </c>
      <c r="F23" s="166">
        <v>1450</v>
      </c>
      <c r="G23" s="155" t="s">
        <v>47</v>
      </c>
      <c r="H23" s="80"/>
      <c r="I23" s="131">
        <v>75</v>
      </c>
      <c r="J23" s="120" t="str">
        <f t="shared" si="3"/>
        <v>0</v>
      </c>
      <c r="K23" s="120" t="str">
        <f t="shared" si="2"/>
        <v>0</v>
      </c>
      <c r="L23" s="117"/>
      <c r="M23" s="117"/>
      <c r="N23" s="124" t="s">
        <v>5</v>
      </c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3"/>
        <v>0</v>
      </c>
      <c r="K24" s="120" t="str">
        <f t="shared" si="2"/>
        <v>0</v>
      </c>
      <c r="L24" s="60"/>
      <c r="M24" s="60"/>
      <c r="N24" s="124"/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3"/>
        <v>0</v>
      </c>
      <c r="K25" s="120" t="str">
        <f t="shared" si="2"/>
        <v>0</v>
      </c>
      <c r="L25" s="60"/>
      <c r="M25" s="60"/>
      <c r="N25" s="124"/>
      <c r="O25" s="294"/>
      <c r="P25" s="293"/>
      <c r="Q25" s="295"/>
      <c r="R25" s="91">
        <f>COUNTIF(G5:G29,"GV1")+COUNTIF(G37:G61,"GV1")+COUNTIF(G69:G93,"GV1")</f>
        <v>0</v>
      </c>
      <c r="S25" s="92">
        <f>COUNTIF(G5:G29,"GV2")+COUNTIF(G37:G61,"GV2")+COUNTIF(G69:G93,"GV2")</f>
        <v>1</v>
      </c>
      <c r="T25" s="92">
        <f>COUNTIF(G5:G29,"GV3")+COUNTIF(G37:G61,"GV3")+COUNTIF(G69:G93,"GV3")</f>
        <v>1</v>
      </c>
      <c r="U25" s="364">
        <f>((C32+(R26+S26+T26)*0.5))</f>
        <v>1457.35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3"/>
        <v>0</v>
      </c>
      <c r="K26" s="120" t="str">
        <f t="shared" si="2"/>
        <v>0</v>
      </c>
      <c r="L26" s="60"/>
      <c r="M26" s="60"/>
      <c r="N26" s="124"/>
      <c r="O26" s="294"/>
      <c r="P26" s="293"/>
      <c r="Q26" s="295"/>
      <c r="R26" s="103">
        <f>R25*37.5</f>
        <v>0</v>
      </c>
      <c r="S26" s="93">
        <f>S25*41.5</f>
        <v>41.5</v>
      </c>
      <c r="T26" s="93">
        <f>T25*50</f>
        <v>50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/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3"/>
        <v>0</v>
      </c>
      <c r="K28" s="120" t="str">
        <f t="shared" si="2"/>
        <v>0</v>
      </c>
      <c r="L28" s="60"/>
      <c r="M28" s="60"/>
      <c r="N28" s="124"/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/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255</v>
      </c>
      <c r="I30" s="96">
        <f>SUM(I5:I29)</f>
        <v>930</v>
      </c>
      <c r="J30" s="96">
        <f>J5+J6+J7+J8+J9+J10+J11+J12+J13+J14+J15+J16+J18+J19+J17+J20+J22+J23+J21+J24+J25+J26+J27+J28+J29</f>
        <v>135</v>
      </c>
      <c r="K30" s="96">
        <f>K5+K6+K7+K8+K9+K10+K11+K12+K13+K14+K15+K16+K18+K19+K17+K20+K22+K23+K21+K24+K25+K26+K27+K28+K29</f>
        <v>91.6</v>
      </c>
      <c r="L30" s="97">
        <f t="shared" si="4"/>
        <v>0</v>
      </c>
      <c r="M30" s="97">
        <f t="shared" si="4"/>
        <v>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255</v>
      </c>
      <c r="I31" s="94">
        <f t="shared" si="5"/>
        <v>930</v>
      </c>
      <c r="J31" s="94">
        <f t="shared" si="5"/>
        <v>135</v>
      </c>
      <c r="K31" s="94">
        <f>K30+K62+K94</f>
        <v>91.6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2</v>
      </c>
      <c r="R31" s="89" t="s">
        <v>128</v>
      </c>
      <c r="S31" s="102">
        <f>H31+L31-U28-U29-U30</f>
        <v>255</v>
      </c>
      <c r="T31" s="333">
        <f>H31+I31+L31+M31</f>
        <v>1185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1411.6</v>
      </c>
      <c r="D32" s="186"/>
      <c r="E32" s="98"/>
      <c r="F32" s="355" t="s">
        <v>131</v>
      </c>
      <c r="G32" s="355"/>
      <c r="H32" s="100">
        <f>COUNT(B5:B29,B37:B61,B69:B93)</f>
        <v>19</v>
      </c>
      <c r="I32" s="356" t="s">
        <v>132</v>
      </c>
      <c r="J32" s="356"/>
      <c r="K32" s="99">
        <f>C32/H32</f>
        <v>74.294736842105252</v>
      </c>
      <c r="L32" s="208"/>
      <c r="M32" s="208"/>
      <c r="N32" s="208">
        <f>H31/C32</f>
        <v>0.18064607537546049</v>
      </c>
      <c r="O32" s="208">
        <f>I31/C32</f>
        <v>0.65882686313403238</v>
      </c>
      <c r="P32" s="208">
        <f>K31/C32</f>
        <v>6.4890903938792863E-2</v>
      </c>
      <c r="Q32" s="101">
        <f>J31/C32</f>
        <v>9.5636157551714368E-2</v>
      </c>
      <c r="R32" s="90" t="s">
        <v>133</v>
      </c>
      <c r="S32" s="203">
        <f>I31+M31</f>
        <v>930</v>
      </c>
      <c r="T32" s="335"/>
      <c r="U32" s="336"/>
      <c r="V32" s="39"/>
      <c r="W32" s="39"/>
      <c r="X32" s="48" t="s">
        <v>134</v>
      </c>
      <c r="Y32" s="48"/>
      <c r="Z32" s="47">
        <f>I31</f>
        <v>930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-1815</v>
      </c>
      <c r="AG33" s="35"/>
    </row>
    <row r="34" spans="1:33" ht="17.25" thickBot="1">
      <c r="A34" s="327" t="str">
        <f>A2</f>
        <v>31-12-2021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SUNNY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9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31-12-2021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SUNNY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9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E9BF9075-FA0B-4736-9739-FD7EAF02A4F6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H16" sqref="H16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338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/>
      <c r="K2" s="329"/>
      <c r="L2" s="331" t="s">
        <v>4</v>
      </c>
      <c r="M2" s="332"/>
      <c r="N2" s="330"/>
      <c r="O2" s="328"/>
      <c r="P2" s="328"/>
      <c r="Q2" s="329"/>
      <c r="R2" s="331" t="s">
        <v>6</v>
      </c>
      <c r="S2" s="330"/>
      <c r="T2" s="319"/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 t="shared" ref="J5:J20" si="0">IF(G5="RSL","45","0")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66"/>
      <c r="P5" s="367"/>
      <c r="Q5" s="368"/>
      <c r="R5" s="32"/>
      <c r="S5" s="30"/>
      <c r="T5" s="31"/>
      <c r="U5" s="83">
        <f t="shared" ref="U5:U15" si="1">(T5-S5)*24</f>
        <v>0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si="0"/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321"/>
      <c r="P6" s="322"/>
      <c r="Q6" s="323"/>
      <c r="R6" s="122"/>
      <c r="S6" s="30"/>
      <c r="T6" s="31"/>
      <c r="U6" s="83">
        <f t="shared" si="1"/>
        <v>0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0"/>
        <v>0</v>
      </c>
      <c r="K7" s="120" t="str">
        <f t="shared" si="2"/>
        <v>0</v>
      </c>
      <c r="L7" s="121"/>
      <c r="M7" s="121"/>
      <c r="N7" s="124"/>
      <c r="O7" s="294"/>
      <c r="P7" s="293"/>
      <c r="Q7" s="295"/>
      <c r="R7" s="124"/>
      <c r="S7" s="30"/>
      <c r="T7" s="31"/>
      <c r="U7" s="83">
        <f t="shared" si="1"/>
        <v>0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0"/>
        <v>0</v>
      </c>
      <c r="K8" s="120" t="str">
        <f t="shared" si="2"/>
        <v>0</v>
      </c>
      <c r="L8" s="121"/>
      <c r="M8" s="121"/>
      <c r="N8" s="124"/>
      <c r="O8" s="324"/>
      <c r="P8" s="325"/>
      <c r="Q8" s="326"/>
      <c r="R8" s="25"/>
      <c r="S8" s="30"/>
      <c r="T8" s="31"/>
      <c r="U8" s="83">
        <f t="shared" si="1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0"/>
        <v>0</v>
      </c>
      <c r="K9" s="120" t="str">
        <f t="shared" si="2"/>
        <v>0</v>
      </c>
      <c r="L9" s="121"/>
      <c r="M9" s="121"/>
      <c r="N9" s="124"/>
      <c r="O9" s="324"/>
      <c r="P9" s="325"/>
      <c r="Q9" s="326"/>
      <c r="R9" s="25"/>
      <c r="S9" s="30"/>
      <c r="T9" s="31"/>
      <c r="U9" s="83">
        <f t="shared" si="1"/>
        <v>0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0"/>
        <v>0</v>
      </c>
      <c r="K10" s="120" t="str">
        <f t="shared" si="2"/>
        <v>0</v>
      </c>
      <c r="L10" s="121"/>
      <c r="M10" s="121"/>
      <c r="N10" s="124"/>
      <c r="O10" s="316"/>
      <c r="P10" s="317"/>
      <c r="Q10" s="318"/>
      <c r="R10" s="25"/>
      <c r="S10" s="30"/>
      <c r="T10" s="31"/>
      <c r="U10" s="83">
        <f t="shared" si="1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0"/>
        <v>0</v>
      </c>
      <c r="K11" s="120" t="str">
        <f t="shared" si="2"/>
        <v>0</v>
      </c>
      <c r="L11" s="121"/>
      <c r="M11" s="121"/>
      <c r="N11" s="124"/>
      <c r="O11" s="294"/>
      <c r="P11" s="293"/>
      <c r="Q11" s="295"/>
      <c r="R11" s="25"/>
      <c r="S11" s="30"/>
      <c r="T11" s="31"/>
      <c r="U11" s="83">
        <f t="shared" si="1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0"/>
        <v>0</v>
      </c>
      <c r="K12" s="120" t="str">
        <f t="shared" si="2"/>
        <v>0</v>
      </c>
      <c r="L12" s="121"/>
      <c r="M12" s="121"/>
      <c r="N12" s="124"/>
      <c r="O12" s="294"/>
      <c r="P12" s="293"/>
      <c r="Q12" s="295"/>
      <c r="R12" s="25"/>
      <c r="S12" s="30"/>
      <c r="T12" s="31"/>
      <c r="U12" s="83">
        <f t="shared" si="1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0"/>
        <v>0</v>
      </c>
      <c r="K13" s="120" t="str">
        <f t="shared" si="2"/>
        <v>0</v>
      </c>
      <c r="L13" s="121"/>
      <c r="M13" s="121"/>
      <c r="N13" s="124"/>
      <c r="O13" s="294"/>
      <c r="P13" s="293"/>
      <c r="Q13" s="295"/>
      <c r="R13" s="32"/>
      <c r="S13" s="30"/>
      <c r="T13" s="31"/>
      <c r="U13" s="83">
        <f t="shared" si="1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0"/>
        <v>0</v>
      </c>
      <c r="K14" s="120" t="str">
        <f t="shared" si="2"/>
        <v>0</v>
      </c>
      <c r="L14" s="121"/>
      <c r="M14" s="121"/>
      <c r="N14" s="124"/>
      <c r="O14" s="294"/>
      <c r="P14" s="293"/>
      <c r="Q14" s="295"/>
      <c r="R14" s="25"/>
      <c r="S14" s="30"/>
      <c r="T14" s="31"/>
      <c r="U14" s="83">
        <f t="shared" si="1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0"/>
        <v>0</v>
      </c>
      <c r="K15" s="120" t="str">
        <f t="shared" si="2"/>
        <v>0</v>
      </c>
      <c r="L15" s="121"/>
      <c r="M15" s="121"/>
      <c r="N15" s="124"/>
      <c r="O15" s="294"/>
      <c r="P15" s="293"/>
      <c r="Q15" s="295"/>
      <c r="R15" s="25"/>
      <c r="S15" s="30"/>
      <c r="T15" s="31"/>
      <c r="U15" s="83">
        <f t="shared" si="1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0"/>
        <v>0</v>
      </c>
      <c r="K16" s="120" t="str">
        <f t="shared" si="2"/>
        <v>0</v>
      </c>
      <c r="L16" s="121"/>
      <c r="M16" s="121"/>
      <c r="N16" s="124"/>
      <c r="O16" s="294"/>
      <c r="P16" s="293"/>
      <c r="Q16" s="295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0"/>
        <v>0</v>
      </c>
      <c r="K17" s="120" t="str">
        <f t="shared" si="2"/>
        <v>0</v>
      </c>
      <c r="L17" s="121"/>
      <c r="M17" s="121"/>
      <c r="N17" s="124"/>
      <c r="O17" s="294"/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0"/>
        <v>0</v>
      </c>
      <c r="K18" s="120" t="str">
        <f t="shared" si="2"/>
        <v>0</v>
      </c>
      <c r="L18" s="121"/>
      <c r="M18" s="121"/>
      <c r="N18" s="124"/>
      <c r="O18" s="294"/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0"/>
        <v>0</v>
      </c>
      <c r="K19" s="120" t="str">
        <f t="shared" si="2"/>
        <v>0</v>
      </c>
      <c r="L19" s="121"/>
      <c r="M19" s="121"/>
      <c r="N19" s="124"/>
      <c r="O19" s="294"/>
      <c r="P19" s="293"/>
      <c r="Q19" s="293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211" t="str">
        <f t="shared" si="0"/>
        <v>0</v>
      </c>
      <c r="K20" s="211" t="str">
        <f t="shared" si="2"/>
        <v>0</v>
      </c>
      <c r="L20" s="210"/>
      <c r="M20" s="210"/>
      <c r="N20" s="124"/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>IF(G21="RSL","45","0")</f>
        <v>0</v>
      </c>
      <c r="K21" s="120" t="str">
        <f t="shared" si="2"/>
        <v>0</v>
      </c>
      <c r="L21" s="121"/>
      <c r="M21" s="121"/>
      <c r="N21" s="124"/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/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3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3"/>
        <v>0</v>
      </c>
      <c r="K24" s="120" t="str">
        <f t="shared" si="2"/>
        <v>0</v>
      </c>
      <c r="L24" s="60"/>
      <c r="M24" s="60"/>
      <c r="N24" s="124"/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3"/>
        <v>0</v>
      </c>
      <c r="K25" s="120" t="str">
        <f t="shared" si="2"/>
        <v>0</v>
      </c>
      <c r="L25" s="60"/>
      <c r="M25" s="60"/>
      <c r="N25" s="124"/>
      <c r="O25" s="294"/>
      <c r="P25" s="293"/>
      <c r="Q25" s="295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4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3"/>
        <v>0</v>
      </c>
      <c r="K26" s="120" t="str">
        <f t="shared" si="2"/>
        <v>0</v>
      </c>
      <c r="L26" s="60"/>
      <c r="M26" s="60"/>
      <c r="N26" s="124"/>
      <c r="O26" s="294"/>
      <c r="P26" s="293"/>
      <c r="Q26" s="295"/>
      <c r="R26" s="103">
        <f>R25*37.5</f>
        <v>0</v>
      </c>
      <c r="S26" s="93">
        <f>S25*41.5</f>
        <v>0</v>
      </c>
      <c r="T26" s="93">
        <f>T25*50</f>
        <v>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/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3"/>
        <v>0</v>
      </c>
      <c r="K28" s="120" t="str">
        <f t="shared" si="2"/>
        <v>0</v>
      </c>
      <c r="L28" s="60"/>
      <c r="M28" s="60"/>
      <c r="N28" s="124"/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/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4"/>
        <v>0</v>
      </c>
      <c r="M30" s="97">
        <f t="shared" si="4"/>
        <v>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0</v>
      </c>
      <c r="I31" s="94">
        <f t="shared" si="5"/>
        <v>0</v>
      </c>
      <c r="J31" s="94">
        <f t="shared" si="5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128</v>
      </c>
      <c r="S31" s="102">
        <f>H31+L31-U28-U29-U30</f>
        <v>0</v>
      </c>
      <c r="T31" s="333">
        <f>H31+I31+L31+M31</f>
        <v>0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0</v>
      </c>
      <c r="D32" s="186"/>
      <c r="E32" s="98"/>
      <c r="F32" s="355" t="s">
        <v>131</v>
      </c>
      <c r="G32" s="355"/>
      <c r="H32" s="100">
        <f>COUNT(B5:B29,B37:B61,B69:B93)</f>
        <v>0</v>
      </c>
      <c r="I32" s="356" t="s">
        <v>132</v>
      </c>
      <c r="J32" s="356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133</v>
      </c>
      <c r="S32" s="203">
        <f>I31+M31</f>
        <v>0</v>
      </c>
      <c r="T32" s="335"/>
      <c r="U32" s="336"/>
      <c r="V32" s="39"/>
      <c r="W32" s="39"/>
      <c r="X32" s="48" t="s">
        <v>134</v>
      </c>
      <c r="Y32" s="48"/>
      <c r="Z32" s="47">
        <f>I31</f>
        <v>0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-2745</v>
      </c>
      <c r="AG33" s="35"/>
    </row>
    <row r="34" spans="1:33" ht="17.25" thickBot="1">
      <c r="A34" s="327" t="str">
        <f>A2</f>
        <v>01-01-2022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>
        <f>J2</f>
        <v>0</v>
      </c>
      <c r="K34" s="329"/>
      <c r="L34" s="331" t="s">
        <v>137</v>
      </c>
      <c r="M34" s="332"/>
      <c r="N34" s="330"/>
      <c r="O34" s="328">
        <f>O2</f>
        <v>0</v>
      </c>
      <c r="P34" s="328"/>
      <c r="Q34" s="329"/>
      <c r="R34" s="331" t="s">
        <v>6</v>
      </c>
      <c r="S34" s="330"/>
      <c r="T34" s="319">
        <f>T2</f>
        <v>0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01-01-2022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>
        <f>J34</f>
        <v>0</v>
      </c>
      <c r="K66" s="329"/>
      <c r="L66" s="331" t="s">
        <v>137</v>
      </c>
      <c r="M66" s="332"/>
      <c r="N66" s="330"/>
      <c r="O66" s="328">
        <f>O34</f>
        <v>0</v>
      </c>
      <c r="P66" s="328"/>
      <c r="Q66" s="329"/>
      <c r="R66" s="331" t="s">
        <v>6</v>
      </c>
      <c r="S66" s="330"/>
      <c r="T66" s="319">
        <f>T34</f>
        <v>0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A1192817-AD36-4515-BBF9-25152F476BDC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J3" sqref="J3"/>
    </sheetView>
  </sheetViews>
  <sheetFormatPr defaultColWidth="9" defaultRowHeight="16.5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9"/>
    </row>
    <row r="2" spans="1:44" ht="17.25" thickBot="1">
      <c r="A2" s="327" t="s">
        <v>339</v>
      </c>
      <c r="B2" s="328"/>
      <c r="C2" s="328"/>
      <c r="D2" s="328"/>
      <c r="E2" s="328"/>
      <c r="F2" s="328"/>
      <c r="G2" s="329"/>
      <c r="H2" s="330" t="s">
        <v>2</v>
      </c>
      <c r="I2" s="331"/>
      <c r="J2" s="327" t="s">
        <v>208</v>
      </c>
      <c r="K2" s="329"/>
      <c r="L2" s="331" t="s">
        <v>4</v>
      </c>
      <c r="M2" s="332"/>
      <c r="N2" s="330"/>
      <c r="O2" s="328" t="s">
        <v>5</v>
      </c>
      <c r="P2" s="328"/>
      <c r="Q2" s="329"/>
      <c r="R2" s="331" t="s">
        <v>6</v>
      </c>
      <c r="S2" s="330"/>
      <c r="T2" s="319">
        <v>9</v>
      </c>
      <c r="U2" s="319"/>
      <c r="X2" s="34" t="s">
        <v>7</v>
      </c>
      <c r="Y2" s="34"/>
      <c r="Z2" s="34"/>
      <c r="AA2" s="34" t="s">
        <v>8</v>
      </c>
      <c r="AB2" s="34"/>
      <c r="AI2" s="147" t="s">
        <v>9</v>
      </c>
      <c r="AJ2" s="147"/>
      <c r="AK2" s="147"/>
      <c r="AL2" s="147" t="s">
        <v>8</v>
      </c>
      <c r="AM2" s="147"/>
    </row>
    <row r="3" spans="1:44" ht="9" customHeight="1" thickBot="1">
      <c r="A3" s="15" t="s">
        <v>10</v>
      </c>
      <c r="H3" s="9"/>
      <c r="I3" s="18"/>
      <c r="T3" s="10"/>
      <c r="U3" s="11"/>
    </row>
    <row r="4" spans="1:44" ht="17.25" thickBot="1">
      <c r="A4" s="144" t="s">
        <v>11</v>
      </c>
      <c r="B4" s="205" t="s">
        <v>12</v>
      </c>
      <c r="C4" s="157" t="s">
        <v>13</v>
      </c>
      <c r="D4" s="184" t="s">
        <v>14</v>
      </c>
      <c r="E4" s="157" t="s">
        <v>15</v>
      </c>
      <c r="F4" s="205" t="s">
        <v>16</v>
      </c>
      <c r="G4" s="205" t="s">
        <v>17</v>
      </c>
      <c r="H4" s="205" t="s">
        <v>18</v>
      </c>
      <c r="I4" s="205" t="s">
        <v>19</v>
      </c>
      <c r="J4" s="205" t="s">
        <v>20</v>
      </c>
      <c r="K4" s="205" t="s">
        <v>21</v>
      </c>
      <c r="L4" s="205" t="s">
        <v>22</v>
      </c>
      <c r="M4" s="205" t="s">
        <v>23</v>
      </c>
      <c r="N4" s="205" t="s">
        <v>24</v>
      </c>
      <c r="O4" s="320" t="s">
        <v>25</v>
      </c>
      <c r="P4" s="320"/>
      <c r="Q4" s="320"/>
      <c r="R4" s="205" t="s">
        <v>26</v>
      </c>
      <c r="S4" s="145" t="s">
        <v>27</v>
      </c>
      <c r="T4" s="145" t="s">
        <v>28</v>
      </c>
      <c r="U4" s="146" t="s">
        <v>29</v>
      </c>
      <c r="Z4" s="14" t="s">
        <v>30</v>
      </c>
      <c r="AA4" s="14" t="s">
        <v>31</v>
      </c>
      <c r="AB4" s="14" t="s">
        <v>32</v>
      </c>
      <c r="AE4" s="14" t="s">
        <v>30</v>
      </c>
      <c r="AF4" s="14" t="s">
        <v>31</v>
      </c>
      <c r="AG4" s="14" t="s">
        <v>32</v>
      </c>
      <c r="AK4" s="14" t="s">
        <v>33</v>
      </c>
      <c r="AL4" s="14" t="s">
        <v>31</v>
      </c>
      <c r="AM4" s="14" t="s">
        <v>32</v>
      </c>
      <c r="AP4" s="14" t="s">
        <v>33</v>
      </c>
      <c r="AQ4" s="14" t="s">
        <v>31</v>
      </c>
      <c r="AR4" s="14" t="s">
        <v>32</v>
      </c>
    </row>
    <row r="5" spans="1:44" ht="16.5" customHeight="1">
      <c r="A5" s="118">
        <v>1</v>
      </c>
      <c r="B5" s="119">
        <v>4681</v>
      </c>
      <c r="C5" s="59" t="s">
        <v>340</v>
      </c>
      <c r="D5" s="190" t="s">
        <v>341</v>
      </c>
      <c r="E5" s="171" t="s">
        <v>36</v>
      </c>
      <c r="F5" s="160">
        <v>840</v>
      </c>
      <c r="G5" s="109" t="s">
        <v>342</v>
      </c>
      <c r="H5" s="82">
        <v>200</v>
      </c>
      <c r="I5" s="115"/>
      <c r="J5" s="120" t="str">
        <f t="shared" ref="J5:J20" si="0">IF(G5="RSL","45","0")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5</v>
      </c>
      <c r="O5" s="366"/>
      <c r="P5" s="367"/>
      <c r="Q5" s="368"/>
      <c r="R5" s="32" t="s">
        <v>5</v>
      </c>
      <c r="S5" s="30">
        <v>0.33333333333333331</v>
      </c>
      <c r="T5" s="31">
        <v>0.70833333333333337</v>
      </c>
      <c r="U5" s="83">
        <f t="shared" ref="U5:U15" si="1">(T5-S5)*24</f>
        <v>9.0000000000000018</v>
      </c>
      <c r="X5" s="156" t="s">
        <v>38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38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>
      <c r="A6" s="118">
        <v>2</v>
      </c>
      <c r="B6" s="123">
        <v>4682</v>
      </c>
      <c r="C6" s="58" t="s">
        <v>343</v>
      </c>
      <c r="D6" s="190" t="s">
        <v>344</v>
      </c>
      <c r="E6" s="171" t="s">
        <v>36</v>
      </c>
      <c r="F6" s="161">
        <v>1020</v>
      </c>
      <c r="G6" s="109" t="s">
        <v>59</v>
      </c>
      <c r="H6" s="82"/>
      <c r="I6" s="115">
        <v>50</v>
      </c>
      <c r="J6" s="120" t="str">
        <f t="shared" si="0"/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5</v>
      </c>
      <c r="O6" s="321"/>
      <c r="P6" s="322"/>
      <c r="Q6" s="323"/>
      <c r="R6" s="122" t="s">
        <v>44</v>
      </c>
      <c r="S6" s="30">
        <v>0.33333333333333331</v>
      </c>
      <c r="T6" s="31">
        <v>0.70833333333333337</v>
      </c>
      <c r="U6" s="83">
        <f t="shared" si="1"/>
        <v>9.0000000000000018</v>
      </c>
      <c r="W6" s="14" t="s">
        <v>36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>
      <c r="A7" s="118">
        <v>3</v>
      </c>
      <c r="B7" s="119">
        <v>4683</v>
      </c>
      <c r="C7" s="58" t="s">
        <v>345</v>
      </c>
      <c r="D7" s="190" t="s">
        <v>346</v>
      </c>
      <c r="E7" s="171" t="s">
        <v>36</v>
      </c>
      <c r="F7" s="161">
        <v>1028</v>
      </c>
      <c r="G7" s="109" t="s">
        <v>51</v>
      </c>
      <c r="H7" s="82"/>
      <c r="I7" s="115">
        <v>120</v>
      </c>
      <c r="J7" s="120" t="str">
        <f t="shared" si="0"/>
        <v>0</v>
      </c>
      <c r="K7" s="120" t="str">
        <f t="shared" si="2"/>
        <v>0</v>
      </c>
      <c r="L7" s="121"/>
      <c r="M7" s="121"/>
      <c r="N7" s="124" t="s">
        <v>5</v>
      </c>
      <c r="O7" s="294"/>
      <c r="P7" s="293"/>
      <c r="Q7" s="295"/>
      <c r="R7" s="25" t="s">
        <v>55</v>
      </c>
      <c r="S7" s="30">
        <v>0.375</v>
      </c>
      <c r="T7" s="31">
        <v>0.70833333333333337</v>
      </c>
      <c r="U7" s="83">
        <f t="shared" si="1"/>
        <v>8</v>
      </c>
      <c r="W7" s="14" t="s">
        <v>41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>
      <c r="A8" s="118">
        <v>4</v>
      </c>
      <c r="B8" s="123">
        <v>4684</v>
      </c>
      <c r="C8" s="26" t="s">
        <v>347</v>
      </c>
      <c r="D8" s="190" t="s">
        <v>348</v>
      </c>
      <c r="E8" s="171" t="s">
        <v>41</v>
      </c>
      <c r="F8" s="161">
        <v>1100</v>
      </c>
      <c r="G8" s="109" t="s">
        <v>70</v>
      </c>
      <c r="H8" s="82"/>
      <c r="I8" s="115">
        <v>60</v>
      </c>
      <c r="J8" s="120" t="str">
        <f t="shared" si="0"/>
        <v>0</v>
      </c>
      <c r="K8" s="120" t="str">
        <f t="shared" si="2"/>
        <v>0</v>
      </c>
      <c r="L8" s="121"/>
      <c r="M8" s="121"/>
      <c r="N8" s="124" t="s">
        <v>5</v>
      </c>
      <c r="O8" s="324"/>
      <c r="P8" s="325"/>
      <c r="Q8" s="326"/>
      <c r="R8" s="25" t="s">
        <v>162</v>
      </c>
      <c r="S8" s="30">
        <v>0.375</v>
      </c>
      <c r="T8" s="31">
        <v>0.70833333333333337</v>
      </c>
      <c r="U8" s="83">
        <f t="shared" si="1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>
      <c r="A9" s="125">
        <v>5</v>
      </c>
      <c r="B9" s="119">
        <v>4685</v>
      </c>
      <c r="C9" s="54" t="s">
        <v>349</v>
      </c>
      <c r="D9" s="191" t="s">
        <v>350</v>
      </c>
      <c r="E9" s="171" t="s">
        <v>36</v>
      </c>
      <c r="F9" s="162">
        <v>1100</v>
      </c>
      <c r="G9" s="110" t="s">
        <v>47</v>
      </c>
      <c r="H9" s="82"/>
      <c r="I9" s="82">
        <v>95</v>
      </c>
      <c r="J9" s="120" t="str">
        <f t="shared" si="0"/>
        <v>0</v>
      </c>
      <c r="K9" s="120" t="str">
        <f t="shared" si="2"/>
        <v>0</v>
      </c>
      <c r="L9" s="121"/>
      <c r="M9" s="121"/>
      <c r="N9" s="124" t="s">
        <v>5</v>
      </c>
      <c r="O9" s="324"/>
      <c r="P9" s="325"/>
      <c r="Q9" s="326"/>
      <c r="R9" s="25" t="s">
        <v>156</v>
      </c>
      <c r="S9" s="30">
        <v>0.41666666666666669</v>
      </c>
      <c r="T9" s="31">
        <v>0.70833333333333337</v>
      </c>
      <c r="U9" s="83">
        <f t="shared" si="1"/>
        <v>7</v>
      </c>
      <c r="X9" s="14" t="s">
        <v>56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>
      <c r="A10" s="125">
        <v>6</v>
      </c>
      <c r="B10" s="123">
        <v>4686</v>
      </c>
      <c r="C10" s="27" t="s">
        <v>351</v>
      </c>
      <c r="D10" s="192" t="s">
        <v>352</v>
      </c>
      <c r="E10" s="171" t="s">
        <v>36</v>
      </c>
      <c r="F10" s="163">
        <v>1155</v>
      </c>
      <c r="G10" s="111" t="s">
        <v>223</v>
      </c>
      <c r="H10" s="114"/>
      <c r="I10" s="116"/>
      <c r="J10" s="120" t="str">
        <f t="shared" si="0"/>
        <v>0</v>
      </c>
      <c r="K10" s="120" t="str">
        <f t="shared" si="2"/>
        <v>58.3</v>
      </c>
      <c r="L10" s="121"/>
      <c r="M10" s="121"/>
      <c r="N10" s="124" t="s">
        <v>5</v>
      </c>
      <c r="O10" s="316" t="s">
        <v>353</v>
      </c>
      <c r="P10" s="317"/>
      <c r="Q10" s="318"/>
      <c r="R10" s="25" t="s">
        <v>220</v>
      </c>
      <c r="S10" s="30">
        <v>0.41666666666666669</v>
      </c>
      <c r="T10" s="31">
        <v>0.55208333333333337</v>
      </c>
      <c r="U10" s="83">
        <f t="shared" si="1"/>
        <v>3.2500000000000004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>
      <c r="A11" s="125">
        <v>7</v>
      </c>
      <c r="B11" s="119">
        <v>4687</v>
      </c>
      <c r="C11" s="17" t="s">
        <v>354</v>
      </c>
      <c r="D11" s="193" t="s">
        <v>355</v>
      </c>
      <c r="E11" s="171" t="s">
        <v>41</v>
      </c>
      <c r="F11" s="57">
        <v>1220</v>
      </c>
      <c r="G11" s="112" t="s">
        <v>47</v>
      </c>
      <c r="H11" s="114">
        <v>95</v>
      </c>
      <c r="I11" s="115"/>
      <c r="J11" s="120" t="str">
        <f t="shared" si="0"/>
        <v>0</v>
      </c>
      <c r="K11" s="120" t="str">
        <f t="shared" si="2"/>
        <v>0</v>
      </c>
      <c r="L11" s="121"/>
      <c r="M11" s="121"/>
      <c r="N11" s="124" t="s">
        <v>5</v>
      </c>
      <c r="O11" s="294"/>
      <c r="P11" s="293"/>
      <c r="Q11" s="295"/>
      <c r="R11" s="25" t="s">
        <v>356</v>
      </c>
      <c r="S11" s="30">
        <v>0.41666666666666669</v>
      </c>
      <c r="T11" s="31">
        <v>0.58333333333333337</v>
      </c>
      <c r="U11" s="83">
        <f t="shared" si="1"/>
        <v>4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>
      <c r="A12" s="125">
        <v>8</v>
      </c>
      <c r="B12" s="123">
        <v>4688</v>
      </c>
      <c r="C12" s="55" t="s">
        <v>357</v>
      </c>
      <c r="D12" s="194" t="s">
        <v>358</v>
      </c>
      <c r="E12" s="171" t="s">
        <v>36</v>
      </c>
      <c r="F12" s="163">
        <v>1307</v>
      </c>
      <c r="G12" s="110" t="s">
        <v>47</v>
      </c>
      <c r="H12" s="114"/>
      <c r="I12" s="116">
        <v>95</v>
      </c>
      <c r="J12" s="120" t="str">
        <f t="shared" si="0"/>
        <v>0</v>
      </c>
      <c r="K12" s="120" t="str">
        <f t="shared" si="2"/>
        <v>0</v>
      </c>
      <c r="L12" s="121"/>
      <c r="M12" s="121"/>
      <c r="N12" s="124" t="s">
        <v>5</v>
      </c>
      <c r="O12" s="294"/>
      <c r="P12" s="293"/>
      <c r="Q12" s="295"/>
      <c r="R12" s="25" t="s">
        <v>309</v>
      </c>
      <c r="S12" s="30">
        <v>0.41666666666666669</v>
      </c>
      <c r="T12" s="31">
        <v>0.58333333333333337</v>
      </c>
      <c r="U12" s="83">
        <f t="shared" si="1"/>
        <v>4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>
      <c r="A13" s="125">
        <v>9</v>
      </c>
      <c r="B13" s="119">
        <v>4689</v>
      </c>
      <c r="C13" s="55" t="s">
        <v>359</v>
      </c>
      <c r="D13" s="194" t="s">
        <v>360</v>
      </c>
      <c r="E13" s="171" t="s">
        <v>36</v>
      </c>
      <c r="F13" s="163">
        <v>1315</v>
      </c>
      <c r="G13" s="110" t="s">
        <v>59</v>
      </c>
      <c r="H13" s="159">
        <v>50</v>
      </c>
      <c r="I13" s="158"/>
      <c r="J13" s="120" t="str">
        <f t="shared" si="0"/>
        <v>0</v>
      </c>
      <c r="K13" s="120" t="str">
        <f t="shared" si="2"/>
        <v>0</v>
      </c>
      <c r="L13" s="121"/>
      <c r="M13" s="121"/>
      <c r="N13" s="124" t="s">
        <v>5</v>
      </c>
      <c r="O13" s="294"/>
      <c r="P13" s="293"/>
      <c r="Q13" s="295"/>
      <c r="R13" s="32" t="s">
        <v>316</v>
      </c>
      <c r="S13" s="30">
        <v>0.41666666666666669</v>
      </c>
      <c r="T13" s="31">
        <v>0.58333333333333337</v>
      </c>
      <c r="U13" s="83">
        <f t="shared" si="1"/>
        <v>4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>
      <c r="A14" s="125">
        <v>10</v>
      </c>
      <c r="B14" s="123">
        <v>4690</v>
      </c>
      <c r="C14" s="56" t="s">
        <v>361</v>
      </c>
      <c r="D14" s="195" t="s">
        <v>362</v>
      </c>
      <c r="E14" s="171" t="s">
        <v>41</v>
      </c>
      <c r="F14" s="164">
        <v>1340</v>
      </c>
      <c r="G14" s="113" t="s">
        <v>70</v>
      </c>
      <c r="H14" s="114"/>
      <c r="I14" s="116">
        <v>75</v>
      </c>
      <c r="J14" s="120" t="str">
        <f t="shared" si="0"/>
        <v>0</v>
      </c>
      <c r="K14" s="120" t="str">
        <f t="shared" si="2"/>
        <v>0</v>
      </c>
      <c r="L14" s="121"/>
      <c r="M14" s="121"/>
      <c r="N14" s="124" t="s">
        <v>5</v>
      </c>
      <c r="O14" s="294"/>
      <c r="P14" s="293"/>
      <c r="Q14" s="295"/>
      <c r="R14" s="25"/>
      <c r="S14" s="30"/>
      <c r="T14" s="31"/>
      <c r="U14" s="83">
        <f t="shared" si="1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>
      <c r="A15" s="125">
        <v>11</v>
      </c>
      <c r="B15" s="119">
        <v>4691</v>
      </c>
      <c r="C15" s="56" t="s">
        <v>363</v>
      </c>
      <c r="D15" s="195" t="s">
        <v>364</v>
      </c>
      <c r="E15" s="171" t="s">
        <v>36</v>
      </c>
      <c r="F15" s="164">
        <v>1415</v>
      </c>
      <c r="G15" s="113" t="s">
        <v>223</v>
      </c>
      <c r="H15" s="114"/>
      <c r="I15" s="115"/>
      <c r="J15" s="120" t="str">
        <f t="shared" si="0"/>
        <v>0</v>
      </c>
      <c r="K15" s="120">
        <v>125</v>
      </c>
      <c r="L15" s="121"/>
      <c r="M15" s="121"/>
      <c r="N15" s="124" t="s">
        <v>5</v>
      </c>
      <c r="O15" s="294" t="s">
        <v>365</v>
      </c>
      <c r="P15" s="293"/>
      <c r="Q15" s="295"/>
      <c r="R15" s="25"/>
      <c r="S15" s="30"/>
      <c r="T15" s="31"/>
      <c r="U15" s="83">
        <f t="shared" si="1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>
      <c r="A16" s="125">
        <v>12</v>
      </c>
      <c r="B16" s="123">
        <v>4692</v>
      </c>
      <c r="C16" s="56" t="s">
        <v>366</v>
      </c>
      <c r="D16" s="195" t="s">
        <v>367</v>
      </c>
      <c r="E16" s="171" t="s">
        <v>41</v>
      </c>
      <c r="F16" s="164">
        <v>1430</v>
      </c>
      <c r="G16" s="113" t="s">
        <v>305</v>
      </c>
      <c r="H16" s="114"/>
      <c r="I16" s="115"/>
      <c r="J16" s="120" t="str">
        <f t="shared" si="0"/>
        <v>0</v>
      </c>
      <c r="K16" s="120" t="str">
        <f t="shared" si="2"/>
        <v>0</v>
      </c>
      <c r="L16" s="121"/>
      <c r="M16" s="121"/>
      <c r="N16" s="124" t="s">
        <v>5</v>
      </c>
      <c r="O16" s="294" t="s">
        <v>368</v>
      </c>
      <c r="P16" s="293"/>
      <c r="Q16" s="295"/>
      <c r="R16" s="73">
        <f>H32/U16</f>
        <v>0.28444444444444444</v>
      </c>
      <c r="S16" s="74">
        <f>H32/(U16-U5)</f>
        <v>0.33862433862433861</v>
      </c>
      <c r="T16" s="74">
        <f>C32/U16</f>
        <v>27.614222222222221</v>
      </c>
      <c r="U16" s="74">
        <f>SUM(U5:U15)</f>
        <v>56.25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>
      <c r="A17" s="125">
        <v>13</v>
      </c>
      <c r="B17" s="119">
        <v>4693</v>
      </c>
      <c r="C17" s="17" t="s">
        <v>369</v>
      </c>
      <c r="D17" s="193" t="s">
        <v>370</v>
      </c>
      <c r="E17" s="171" t="s">
        <v>36</v>
      </c>
      <c r="F17" s="57">
        <v>1500</v>
      </c>
      <c r="G17" s="112" t="s">
        <v>51</v>
      </c>
      <c r="H17" s="114"/>
      <c r="I17" s="115">
        <v>150</v>
      </c>
      <c r="J17" s="120" t="str">
        <f t="shared" si="0"/>
        <v>0</v>
      </c>
      <c r="K17" s="120" t="str">
        <f t="shared" si="2"/>
        <v>0</v>
      </c>
      <c r="L17" s="121"/>
      <c r="M17" s="121"/>
      <c r="N17" s="124" t="s">
        <v>5</v>
      </c>
      <c r="O17" s="294" t="s">
        <v>193</v>
      </c>
      <c r="P17" s="293"/>
      <c r="Q17" s="295"/>
      <c r="R17" s="75" t="s">
        <v>80</v>
      </c>
      <c r="S17" s="76" t="s">
        <v>81</v>
      </c>
      <c r="T17" s="76" t="s">
        <v>82</v>
      </c>
      <c r="U17" s="74" t="s">
        <v>83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>
      <c r="A18" s="125">
        <v>14</v>
      </c>
      <c r="B18" s="123">
        <v>4694</v>
      </c>
      <c r="C18" s="17" t="s">
        <v>371</v>
      </c>
      <c r="D18" s="193" t="s">
        <v>372</v>
      </c>
      <c r="E18" s="171" t="s">
        <v>36</v>
      </c>
      <c r="F18" s="57">
        <v>1507</v>
      </c>
      <c r="G18" s="19" t="s">
        <v>20</v>
      </c>
      <c r="H18" s="114">
        <v>5</v>
      </c>
      <c r="I18" s="115"/>
      <c r="J18" s="120">
        <v>50</v>
      </c>
      <c r="K18" s="120" t="str">
        <f t="shared" si="2"/>
        <v>0</v>
      </c>
      <c r="L18" s="121"/>
      <c r="M18" s="121"/>
      <c r="N18" s="124" t="s">
        <v>5</v>
      </c>
      <c r="O18" s="294">
        <v>202112059</v>
      </c>
      <c r="P18" s="293"/>
      <c r="Q18" s="295"/>
      <c r="R18" s="77" t="s">
        <v>86</v>
      </c>
      <c r="S18" s="78" t="s">
        <v>87</v>
      </c>
      <c r="T18" s="78" t="s">
        <v>88</v>
      </c>
      <c r="U18" s="79" t="s">
        <v>89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>
      <c r="A19" s="125">
        <v>15</v>
      </c>
      <c r="B19" s="119">
        <v>4695</v>
      </c>
      <c r="C19" s="17" t="s">
        <v>373</v>
      </c>
      <c r="D19" s="193" t="s">
        <v>374</v>
      </c>
      <c r="E19" s="171" t="s">
        <v>36</v>
      </c>
      <c r="F19" s="57">
        <v>1515</v>
      </c>
      <c r="G19" s="112" t="s">
        <v>47</v>
      </c>
      <c r="H19" s="114"/>
      <c r="I19" s="115">
        <v>95</v>
      </c>
      <c r="J19" s="120" t="str">
        <f t="shared" si="0"/>
        <v>0</v>
      </c>
      <c r="K19" s="120" t="str">
        <f t="shared" si="2"/>
        <v>0</v>
      </c>
      <c r="L19" s="121"/>
      <c r="M19" s="121"/>
      <c r="N19" s="124" t="s">
        <v>5</v>
      </c>
      <c r="O19" s="294" t="s">
        <v>193</v>
      </c>
      <c r="P19" s="293"/>
      <c r="Q19" s="293"/>
      <c r="R19" s="84" t="s">
        <v>21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>
      <c r="A20" s="125">
        <v>16</v>
      </c>
      <c r="B20" s="123">
        <v>4696</v>
      </c>
      <c r="C20" s="17" t="s">
        <v>375</v>
      </c>
      <c r="D20" s="193" t="s">
        <v>376</v>
      </c>
      <c r="E20" s="171" t="s">
        <v>36</v>
      </c>
      <c r="F20" s="57">
        <v>1525</v>
      </c>
      <c r="G20" s="112" t="s">
        <v>177</v>
      </c>
      <c r="H20" s="114"/>
      <c r="I20" s="115">
        <v>230</v>
      </c>
      <c r="J20" s="211" t="str">
        <f t="shared" si="0"/>
        <v>0</v>
      </c>
      <c r="K20" s="211" t="str">
        <f t="shared" si="2"/>
        <v>0</v>
      </c>
      <c r="L20" s="210"/>
      <c r="M20" s="210"/>
      <c r="N20" s="124" t="s">
        <v>5</v>
      </c>
      <c r="O20" s="362"/>
      <c r="P20" s="363"/>
      <c r="Q20" s="36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>IF(G21="RSL","45","0")</f>
        <v>0</v>
      </c>
      <c r="K21" s="120" t="str">
        <f t="shared" si="2"/>
        <v>0</v>
      </c>
      <c r="L21" s="121"/>
      <c r="M21" s="121"/>
      <c r="N21" s="124"/>
      <c r="O21" s="294"/>
      <c r="P21" s="293"/>
      <c r="Q21" s="293"/>
      <c r="R21" s="104"/>
      <c r="S21" s="151"/>
      <c r="T21" s="150"/>
      <c r="U21" s="106"/>
      <c r="X21" s="38"/>
      <c r="Z21" s="39"/>
      <c r="AK21" s="39"/>
    </row>
    <row r="22" spans="1:44" ht="16.5" customHeight="1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ref="J22:J29" si="3">IF(G22="RSL","45","0")</f>
        <v>0</v>
      </c>
      <c r="K22" s="120" t="str">
        <f t="shared" si="2"/>
        <v>0</v>
      </c>
      <c r="L22" s="60"/>
      <c r="M22" s="60"/>
      <c r="N22" s="124"/>
      <c r="O22" s="294"/>
      <c r="P22" s="293"/>
      <c r="Q22" s="295"/>
      <c r="R22" s="104"/>
      <c r="S22" s="105"/>
      <c r="T22" s="105"/>
      <c r="U22" s="106"/>
      <c r="AD22" s="14" t="s">
        <v>98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10</v>
      </c>
      <c r="AO22" s="14" t="s">
        <v>98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3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60"/>
      <c r="Y23" s="361"/>
      <c r="Z23" s="361"/>
    </row>
    <row r="24" spans="1:44" ht="16.5" customHeight="1" thickBot="1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3"/>
        <v>0</v>
      </c>
      <c r="K24" s="120" t="str">
        <f t="shared" si="2"/>
        <v>0</v>
      </c>
      <c r="L24" s="60"/>
      <c r="M24" s="60"/>
      <c r="N24" s="124"/>
      <c r="O24" s="294"/>
      <c r="P24" s="293"/>
      <c r="Q24" s="295"/>
      <c r="R24" s="133" t="s">
        <v>103</v>
      </c>
      <c r="S24" s="134" t="s">
        <v>104</v>
      </c>
      <c r="T24" s="134" t="s">
        <v>105</v>
      </c>
      <c r="U24" s="135" t="s">
        <v>106</v>
      </c>
      <c r="X24" s="38"/>
      <c r="AD24" s="23" t="s">
        <v>107</v>
      </c>
      <c r="AE24" s="21" t="s">
        <v>30</v>
      </c>
      <c r="AF24" s="21" t="s">
        <v>33</v>
      </c>
      <c r="AG24" s="21" t="s">
        <v>31</v>
      </c>
      <c r="AH24" s="21" t="s">
        <v>108</v>
      </c>
      <c r="AI24" s="21" t="s">
        <v>109</v>
      </c>
    </row>
    <row r="25" spans="1:44" ht="16.5" customHeight="1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3"/>
        <v>0</v>
      </c>
      <c r="K25" s="120" t="str">
        <f t="shared" si="2"/>
        <v>0</v>
      </c>
      <c r="L25" s="60"/>
      <c r="M25" s="60"/>
      <c r="N25" s="124"/>
      <c r="O25" s="294"/>
      <c r="P25" s="293"/>
      <c r="Q25" s="295"/>
      <c r="R25" s="91">
        <f>COUNTIF(G5:G29,"GV1")+COUNTIF(G37:G61,"GV1")+COUNTIF(G69:G93,"GV1")</f>
        <v>0</v>
      </c>
      <c r="S25" s="92">
        <f>COUNTIF(G5:G29,"GV2")+COUNTIF(G37:G61,"GV2")+COUNTIF(G69:G93,"GV2")</f>
        <v>1</v>
      </c>
      <c r="T25" s="92">
        <f>COUNTIF(G5:G29,"GV3")+COUNTIF(G37:G61,"GV3")+COUNTIF(G69:G93,"GV3")</f>
        <v>0</v>
      </c>
      <c r="U25" s="364">
        <f>((C32+(R26+S26+T26)*0.5))</f>
        <v>1574.05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3"/>
        <v>0</v>
      </c>
      <c r="K26" s="120" t="str">
        <f t="shared" si="2"/>
        <v>0</v>
      </c>
      <c r="L26" s="60"/>
      <c r="M26" s="60"/>
      <c r="N26" s="124"/>
      <c r="O26" s="294"/>
      <c r="P26" s="293"/>
      <c r="Q26" s="295"/>
      <c r="R26" s="103">
        <f>R25*37.5</f>
        <v>0</v>
      </c>
      <c r="S26" s="93">
        <f>S25*41.5</f>
        <v>41.5</v>
      </c>
      <c r="T26" s="93">
        <f>T25*50</f>
        <v>0</v>
      </c>
      <c r="U26" s="365"/>
      <c r="X26" s="41" t="s">
        <v>114</v>
      </c>
      <c r="Y26" s="41"/>
      <c r="Z26" s="41"/>
      <c r="AD26" s="42"/>
      <c r="AE26" s="43"/>
      <c r="AF26" s="44"/>
    </row>
    <row r="27" spans="1:44" ht="16.5" customHeight="1" thickBot="1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3"/>
        <v>0</v>
      </c>
      <c r="K27" s="120" t="str">
        <f t="shared" si="2"/>
        <v>0</v>
      </c>
      <c r="L27" s="60"/>
      <c r="M27" s="60"/>
      <c r="N27" s="124"/>
      <c r="O27" s="294"/>
      <c r="P27" s="293"/>
      <c r="Q27" s="295"/>
      <c r="R27" s="357" t="s">
        <v>119</v>
      </c>
      <c r="S27" s="358"/>
      <c r="T27" s="358"/>
      <c r="U27" s="359"/>
      <c r="V27" s="14" t="s">
        <v>120</v>
      </c>
      <c r="W27" s="14" t="s">
        <v>120</v>
      </c>
      <c r="X27" s="14">
        <v>1</v>
      </c>
      <c r="Y27" s="28"/>
      <c r="Z27" s="45">
        <v>-2745</v>
      </c>
    </row>
    <row r="28" spans="1:44" ht="16.5" customHeight="1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3"/>
        <v>0</v>
      </c>
      <c r="K28" s="120" t="str">
        <f t="shared" si="2"/>
        <v>0</v>
      </c>
      <c r="L28" s="60"/>
      <c r="M28" s="60"/>
      <c r="N28" s="124"/>
      <c r="O28" s="294"/>
      <c r="P28" s="293"/>
      <c r="Q28" s="295"/>
      <c r="R28" s="350"/>
      <c r="S28" s="351"/>
      <c r="T28" s="352"/>
      <c r="U28" s="136"/>
      <c r="X28" s="14">
        <v>2</v>
      </c>
      <c r="Z28" s="45"/>
      <c r="AE28" s="39"/>
    </row>
    <row r="29" spans="1:44" ht="16.5" customHeight="1" thickBot="1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3"/>
        <v>0</v>
      </c>
      <c r="K29" s="120" t="str">
        <f t="shared" si="2"/>
        <v>0</v>
      </c>
      <c r="L29" s="60"/>
      <c r="M29" s="60"/>
      <c r="N29" s="124"/>
      <c r="O29" s="337"/>
      <c r="P29" s="338"/>
      <c r="Q29" s="339"/>
      <c r="R29" s="340"/>
      <c r="S29" s="341"/>
      <c r="T29" s="342"/>
      <c r="U29" s="140"/>
      <c r="X29" s="14">
        <v>3</v>
      </c>
      <c r="Z29" s="45"/>
      <c r="AE29" s="39"/>
    </row>
    <row r="30" spans="1:44" ht="16.5" customHeight="1" thickBot="1">
      <c r="A30" s="343" t="s">
        <v>125</v>
      </c>
      <c r="B30" s="344"/>
      <c r="C30" s="344"/>
      <c r="D30" s="344"/>
      <c r="E30" s="345"/>
      <c r="F30" s="344"/>
      <c r="G30" s="344"/>
      <c r="H30" s="201">
        <f t="shared" ref="H30:M30" si="4">SUM(H5:H29)</f>
        <v>350</v>
      </c>
      <c r="I30" s="96">
        <f>SUM(I5:I29)</f>
        <v>970</v>
      </c>
      <c r="J30" s="96">
        <f>J5+J6+J7+J8+J9+J10+J11+J12+J13+J14+J15+J16+J18+J19+J17+J20+J22+J23+J21+J24+J25+J26+J27+J28+J29</f>
        <v>50</v>
      </c>
      <c r="K30" s="96">
        <f>K5+K6+K7+K8+K9+K10+K11+K12+K13+K14+K15+K16+K18+K19+K17+K20+K22+K23+K21+K24+K25+K26+K27+K28+K29</f>
        <v>183.3</v>
      </c>
      <c r="L30" s="97">
        <f t="shared" si="4"/>
        <v>0</v>
      </c>
      <c r="M30" s="97">
        <f t="shared" si="4"/>
        <v>0</v>
      </c>
      <c r="N30" s="206" t="s">
        <v>126</v>
      </c>
      <c r="O30" s="206" t="s">
        <v>19</v>
      </c>
      <c r="P30" s="206" t="s">
        <v>21</v>
      </c>
      <c r="Q30" s="87" t="s">
        <v>20</v>
      </c>
      <c r="R30" s="346"/>
      <c r="S30" s="346"/>
      <c r="T30" s="347"/>
      <c r="U30" s="141"/>
      <c r="X30" s="14">
        <v>4</v>
      </c>
      <c r="Z30" s="45"/>
      <c r="AD30" s="46"/>
    </row>
    <row r="31" spans="1:44">
      <c r="A31" s="348" t="s">
        <v>127</v>
      </c>
      <c r="B31" s="349"/>
      <c r="C31" s="349"/>
      <c r="D31" s="349"/>
      <c r="E31" s="349"/>
      <c r="F31" s="349"/>
      <c r="G31" s="349"/>
      <c r="H31" s="202">
        <f t="shared" ref="H31:J31" si="5">H30+H62+H94</f>
        <v>350</v>
      </c>
      <c r="I31" s="94">
        <f t="shared" si="5"/>
        <v>970</v>
      </c>
      <c r="J31" s="94">
        <f t="shared" si="5"/>
        <v>50</v>
      </c>
      <c r="K31" s="94">
        <f>K30+K62+K94</f>
        <v>183.3</v>
      </c>
      <c r="L31" s="88">
        <f>L30+L62+L94</f>
        <v>0</v>
      </c>
      <c r="M31" s="88">
        <f>M30+M62+M94</f>
        <v>0</v>
      </c>
      <c r="N31" s="207">
        <f>COUNT(H5:H29,H37:H61,H69:H93)</f>
        <v>4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1</v>
      </c>
      <c r="R31" s="89" t="s">
        <v>128</v>
      </c>
      <c r="S31" s="102">
        <f>H31+L31-U28-U29-U30</f>
        <v>350</v>
      </c>
      <c r="T31" s="333">
        <f>H31+I31+L31+M31</f>
        <v>1320</v>
      </c>
      <c r="U31" s="334"/>
      <c r="X31" s="47" t="s">
        <v>129</v>
      </c>
      <c r="Y31" s="47"/>
      <c r="Z31" s="47">
        <f>SUM(Z27:Z30)</f>
        <v>-2745</v>
      </c>
      <c r="AE31" s="39"/>
    </row>
    <row r="32" spans="1:44" ht="17.25" thickBot="1">
      <c r="A32" s="353" t="s">
        <v>130</v>
      </c>
      <c r="B32" s="354"/>
      <c r="C32" s="98">
        <f>H31+I31+J31+K31</f>
        <v>1553.3</v>
      </c>
      <c r="D32" s="186"/>
      <c r="E32" s="98"/>
      <c r="F32" s="355" t="s">
        <v>131</v>
      </c>
      <c r="G32" s="355"/>
      <c r="H32" s="100">
        <f>COUNT(B5:B29,B37:B61,B69:B93)</f>
        <v>16</v>
      </c>
      <c r="I32" s="356" t="s">
        <v>132</v>
      </c>
      <c r="J32" s="356"/>
      <c r="K32" s="99">
        <f>C32/H32</f>
        <v>97.081249999999997</v>
      </c>
      <c r="L32" s="208"/>
      <c r="M32" s="208"/>
      <c r="N32" s="208">
        <f>H31/C32</f>
        <v>0.22532672374943669</v>
      </c>
      <c r="O32" s="208">
        <f>I31/C32</f>
        <v>0.62447692010558165</v>
      </c>
      <c r="P32" s="208">
        <f>K31/C32</f>
        <v>0.11800682418077642</v>
      </c>
      <c r="Q32" s="101">
        <f>J31/C32</f>
        <v>3.2189531964205244E-2</v>
      </c>
      <c r="R32" s="90" t="s">
        <v>133</v>
      </c>
      <c r="S32" s="203">
        <f>I31+M31</f>
        <v>970</v>
      </c>
      <c r="T32" s="335"/>
      <c r="U32" s="336"/>
      <c r="V32" s="39"/>
      <c r="W32" s="39"/>
      <c r="X32" s="48" t="s">
        <v>134</v>
      </c>
      <c r="Y32" s="48"/>
      <c r="Z32" s="47">
        <f>I31</f>
        <v>970</v>
      </c>
    </row>
    <row r="33" spans="1:33" ht="17.25" thickBot="1">
      <c r="A33" s="287" t="s">
        <v>135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328"/>
      <c r="U33" s="329"/>
      <c r="X33" s="49" t="s">
        <v>136</v>
      </c>
      <c r="Y33" s="49"/>
      <c r="Z33" s="50">
        <f>SUM(Z31:Z32)</f>
        <v>-1775</v>
      </c>
      <c r="AG33" s="35"/>
    </row>
    <row r="34" spans="1:33" ht="17.25" thickBot="1">
      <c r="A34" s="327" t="str">
        <f>A2</f>
        <v>02-01-2022</v>
      </c>
      <c r="B34" s="328"/>
      <c r="C34" s="328"/>
      <c r="D34" s="328"/>
      <c r="E34" s="328"/>
      <c r="F34" s="328"/>
      <c r="G34" s="329"/>
      <c r="H34" s="330" t="s">
        <v>2</v>
      </c>
      <c r="I34" s="331"/>
      <c r="J34" s="327" t="str">
        <f>J2</f>
        <v>SUNNY</v>
      </c>
      <c r="K34" s="329"/>
      <c r="L34" s="331" t="s">
        <v>137</v>
      </c>
      <c r="M34" s="332"/>
      <c r="N34" s="330"/>
      <c r="O34" s="328" t="str">
        <f>O2</f>
        <v>JOHN</v>
      </c>
      <c r="P34" s="328"/>
      <c r="Q34" s="329"/>
      <c r="R34" s="331" t="s">
        <v>6</v>
      </c>
      <c r="S34" s="330"/>
      <c r="T34" s="319">
        <f>T2</f>
        <v>9</v>
      </c>
      <c r="U34" s="319"/>
      <c r="Z34" s="39"/>
    </row>
    <row r="35" spans="1:33" ht="17.25" thickBot="1">
      <c r="A35" s="15" t="s">
        <v>10</v>
      </c>
      <c r="H35" s="9"/>
      <c r="I35" s="18"/>
      <c r="T35" s="10"/>
      <c r="U35" s="11"/>
    </row>
    <row r="36" spans="1:33" ht="17.25" thickBot="1">
      <c r="A36" s="144" t="s">
        <v>11</v>
      </c>
      <c r="B36" s="205" t="s">
        <v>12</v>
      </c>
      <c r="C36" s="157" t="s">
        <v>13</v>
      </c>
      <c r="D36" s="184" t="s">
        <v>14</v>
      </c>
      <c r="E36" s="157" t="s">
        <v>15</v>
      </c>
      <c r="F36" s="205" t="s">
        <v>16</v>
      </c>
      <c r="G36" s="205" t="s">
        <v>17</v>
      </c>
      <c r="H36" s="205" t="s">
        <v>18</v>
      </c>
      <c r="I36" s="205" t="s">
        <v>19</v>
      </c>
      <c r="J36" s="205" t="s">
        <v>20</v>
      </c>
      <c r="K36" s="205" t="s">
        <v>21</v>
      </c>
      <c r="L36" s="205" t="s">
        <v>22</v>
      </c>
      <c r="M36" s="205" t="s">
        <v>23</v>
      </c>
      <c r="N36" s="205" t="s">
        <v>24</v>
      </c>
      <c r="O36" s="320" t="s">
        <v>25</v>
      </c>
      <c r="P36" s="320"/>
      <c r="Q36" s="320"/>
      <c r="R36" s="205" t="s">
        <v>26</v>
      </c>
      <c r="S36" s="145" t="s">
        <v>27</v>
      </c>
      <c r="T36" s="145" t="s">
        <v>28</v>
      </c>
      <c r="U36" s="146" t="s">
        <v>29</v>
      </c>
    </row>
    <row r="37" spans="1:3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 t="shared" ref="J37:J51" si="6">IF(G37="RSL","45","0")</f>
        <v>0</v>
      </c>
      <c r="K37" s="120" t="str">
        <f t="shared" ref="K37:K61" si="7">IF(G37="GVS","37.5",IF(G37="GVM","41.5",IF(G37="GVL","50",IF(G37="PCS","45.8",IF(G37="PCM","50",IF(G37="PCL","58.3","0"))))))</f>
        <v>0</v>
      </c>
      <c r="L37" s="121"/>
      <c r="M37" s="121"/>
      <c r="N37" s="60"/>
      <c r="O37" s="294"/>
      <c r="P37" s="293"/>
      <c r="Q37" s="295"/>
      <c r="R37" s="51"/>
      <c r="S37" s="52"/>
      <c r="T37" s="52"/>
      <c r="U37" s="61"/>
    </row>
    <row r="38" spans="1:3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si="6"/>
        <v>0</v>
      </c>
      <c r="K38" s="120" t="str">
        <f t="shared" si="7"/>
        <v>0</v>
      </c>
      <c r="L38" s="121"/>
      <c r="M38" s="121"/>
      <c r="N38" s="60"/>
      <c r="O38" s="321"/>
      <c r="P38" s="322"/>
      <c r="Q38" s="323"/>
      <c r="R38" s="69"/>
      <c r="S38" s="62"/>
      <c r="T38" s="16"/>
      <c r="U38" s="63"/>
    </row>
    <row r="39" spans="1:33">
      <c r="A39" s="118">
        <f t="shared" ref="A39:A61" si="8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7"/>
        <v>0</v>
      </c>
      <c r="L39" s="121"/>
      <c r="M39" s="121"/>
      <c r="N39" s="60"/>
      <c r="O39" s="294"/>
      <c r="P39" s="293"/>
      <c r="Q39" s="295"/>
      <c r="R39" s="70"/>
      <c r="S39" s="13"/>
      <c r="T39" s="12"/>
      <c r="U39" s="63"/>
    </row>
    <row r="40" spans="1:33">
      <c r="A40" s="118">
        <f t="shared" si="8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7"/>
        <v>0</v>
      </c>
      <c r="L40" s="121"/>
      <c r="M40" s="121"/>
      <c r="N40" s="60"/>
      <c r="O40" s="324"/>
      <c r="P40" s="325"/>
      <c r="Q40" s="326"/>
      <c r="R40" s="69"/>
      <c r="S40" s="62"/>
      <c r="T40" s="62"/>
      <c r="U40" s="63"/>
    </row>
    <row r="41" spans="1:33">
      <c r="A41" s="118">
        <f t="shared" si="8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7"/>
        <v>0</v>
      </c>
      <c r="L41" s="121"/>
      <c r="M41" s="121"/>
      <c r="N41" s="60"/>
      <c r="O41" s="324"/>
      <c r="P41" s="325"/>
      <c r="Q41" s="326"/>
      <c r="R41" s="71"/>
      <c r="S41" s="64"/>
      <c r="T41" s="64"/>
      <c r="U41" s="65"/>
    </row>
    <row r="42" spans="1:33">
      <c r="A42" s="118">
        <f t="shared" si="8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7"/>
        <v>0</v>
      </c>
      <c r="L42" s="121"/>
      <c r="M42" s="121"/>
      <c r="N42" s="60"/>
      <c r="O42" s="316"/>
      <c r="P42" s="317"/>
      <c r="Q42" s="318"/>
      <c r="R42" s="71"/>
      <c r="S42" s="64"/>
      <c r="T42" s="64"/>
      <c r="U42" s="65"/>
    </row>
    <row r="43" spans="1:33">
      <c r="A43" s="118">
        <f t="shared" si="8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7"/>
        <v>0</v>
      </c>
      <c r="L43" s="121"/>
      <c r="M43" s="121"/>
      <c r="N43" s="60"/>
      <c r="O43" s="294"/>
      <c r="P43" s="293"/>
      <c r="Q43" s="295"/>
      <c r="R43" s="69"/>
      <c r="S43" s="62"/>
      <c r="T43" s="62"/>
      <c r="U43" s="63"/>
    </row>
    <row r="44" spans="1:33">
      <c r="A44" s="118">
        <f t="shared" si="8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7"/>
        <v>0</v>
      </c>
      <c r="L44" s="121"/>
      <c r="M44" s="121"/>
      <c r="N44" s="60"/>
      <c r="O44" s="294"/>
      <c r="P44" s="293"/>
      <c r="Q44" s="295"/>
      <c r="R44" s="5"/>
      <c r="S44" s="62"/>
      <c r="T44" s="62"/>
      <c r="U44" s="63"/>
    </row>
    <row r="45" spans="1:33">
      <c r="A45" s="118">
        <f t="shared" si="8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7"/>
        <v>0</v>
      </c>
      <c r="L45" s="121"/>
      <c r="M45" s="121"/>
      <c r="N45" s="60"/>
      <c r="O45" s="294"/>
      <c r="P45" s="293"/>
      <c r="Q45" s="295"/>
      <c r="R45" s="5"/>
      <c r="S45" s="62"/>
      <c r="T45" s="62"/>
      <c r="U45" s="63"/>
    </row>
    <row r="46" spans="1:33">
      <c r="A46" s="118">
        <f t="shared" si="8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7"/>
        <v>0</v>
      </c>
      <c r="L46" s="121"/>
      <c r="M46" s="121"/>
      <c r="N46" s="60"/>
      <c r="O46" s="294"/>
      <c r="P46" s="293"/>
      <c r="Q46" s="295"/>
      <c r="R46" s="5"/>
      <c r="S46" s="62"/>
      <c r="T46" s="62"/>
      <c r="U46" s="63"/>
    </row>
    <row r="47" spans="1:33">
      <c r="A47" s="118">
        <f t="shared" si="8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7"/>
        <v>0</v>
      </c>
      <c r="L47" s="121"/>
      <c r="M47" s="121"/>
      <c r="N47" s="60"/>
      <c r="O47" s="294"/>
      <c r="P47" s="293"/>
      <c r="Q47" s="295"/>
      <c r="R47" s="5"/>
      <c r="S47" s="62"/>
      <c r="T47" s="62"/>
      <c r="U47" s="63"/>
    </row>
    <row r="48" spans="1:33">
      <c r="A48" s="118">
        <f t="shared" si="8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7"/>
        <v>0</v>
      </c>
      <c r="L48" s="121"/>
      <c r="M48" s="121"/>
      <c r="N48" s="60"/>
      <c r="O48" s="294"/>
      <c r="P48" s="293"/>
      <c r="Q48" s="295"/>
      <c r="R48" s="5"/>
      <c r="S48" s="62"/>
      <c r="T48" s="62"/>
      <c r="U48" s="63"/>
    </row>
    <row r="49" spans="1:21">
      <c r="A49" s="118">
        <f t="shared" si="8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7"/>
        <v>0</v>
      </c>
      <c r="L49" s="121"/>
      <c r="M49" s="121"/>
      <c r="N49" s="60"/>
      <c r="O49" s="294"/>
      <c r="P49" s="293"/>
      <c r="Q49" s="295"/>
      <c r="R49" s="5"/>
      <c r="S49" s="62"/>
      <c r="T49" s="66"/>
      <c r="U49" s="63"/>
    </row>
    <row r="50" spans="1:21">
      <c r="A50" s="118">
        <f t="shared" si="8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7"/>
        <v>0</v>
      </c>
      <c r="L50" s="121"/>
      <c r="M50" s="121"/>
      <c r="N50" s="60"/>
      <c r="O50" s="294"/>
      <c r="P50" s="293"/>
      <c r="Q50" s="295"/>
      <c r="R50" s="5"/>
      <c r="S50" s="62"/>
      <c r="T50" s="66"/>
      <c r="U50" s="63"/>
    </row>
    <row r="51" spans="1:21">
      <c r="A51" s="118">
        <f t="shared" si="8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7"/>
        <v>0</v>
      </c>
      <c r="L51" s="121"/>
      <c r="M51" s="121"/>
      <c r="N51" s="60"/>
      <c r="O51" s="294"/>
      <c r="P51" s="293"/>
      <c r="Q51" s="293"/>
      <c r="R51" s="5"/>
      <c r="S51" s="62"/>
      <c r="T51" s="66"/>
      <c r="U51" s="63"/>
    </row>
    <row r="52" spans="1:21">
      <c r="A52" s="118">
        <f t="shared" si="8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>IF(G52="RSL","45","0")</f>
        <v>0</v>
      </c>
      <c r="K52" s="120" t="str">
        <f t="shared" si="7"/>
        <v>0</v>
      </c>
      <c r="L52" s="121"/>
      <c r="M52" s="121"/>
      <c r="N52" s="60"/>
      <c r="O52" s="294"/>
      <c r="P52" s="293"/>
      <c r="Q52" s="293"/>
      <c r="R52" s="72"/>
      <c r="S52" s="59"/>
      <c r="T52" s="67"/>
      <c r="U52" s="68"/>
    </row>
    <row r="53" spans="1:21">
      <c r="A53" s="118">
        <f t="shared" si="8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ref="J53:J61" si="9">IF(G53="RSL","45","0")</f>
        <v>0</v>
      </c>
      <c r="K53" s="120" t="str">
        <f t="shared" si="7"/>
        <v>0</v>
      </c>
      <c r="L53" s="60"/>
      <c r="M53" s="60"/>
      <c r="N53" s="60"/>
      <c r="O53" s="315"/>
      <c r="P53" s="294"/>
      <c r="Q53" s="294"/>
      <c r="R53" s="72"/>
      <c r="S53" s="59"/>
      <c r="T53" s="67"/>
      <c r="U53" s="68"/>
    </row>
    <row r="54" spans="1:21">
      <c r="A54" s="118">
        <f t="shared" si="8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9"/>
        <v>0</v>
      </c>
      <c r="K54" s="120" t="str">
        <f t="shared" si="7"/>
        <v>0</v>
      </c>
      <c r="L54" s="60"/>
      <c r="M54" s="60"/>
      <c r="N54" s="60"/>
      <c r="O54" s="315"/>
      <c r="P54" s="294"/>
      <c r="Q54" s="294"/>
      <c r="R54" s="72"/>
      <c r="S54" s="59"/>
      <c r="T54" s="67"/>
      <c r="U54" s="68"/>
    </row>
    <row r="55" spans="1:21">
      <c r="A55" s="118">
        <f t="shared" si="8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9"/>
        <v>0</v>
      </c>
      <c r="K55" s="120" t="str">
        <f t="shared" si="7"/>
        <v>0</v>
      </c>
      <c r="L55" s="60"/>
      <c r="M55" s="60"/>
      <c r="N55" s="60"/>
      <c r="O55" s="315"/>
      <c r="P55" s="294"/>
      <c r="Q55" s="294"/>
      <c r="R55" s="72"/>
      <c r="S55" s="59"/>
      <c r="T55" s="67"/>
      <c r="U55" s="68"/>
    </row>
    <row r="56" spans="1:21">
      <c r="A56" s="118">
        <f t="shared" si="8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9"/>
        <v>0</v>
      </c>
      <c r="K56" s="120" t="str">
        <f t="shared" si="7"/>
        <v>0</v>
      </c>
      <c r="L56" s="60"/>
      <c r="M56" s="60"/>
      <c r="N56" s="60"/>
      <c r="O56" s="293"/>
      <c r="P56" s="293"/>
      <c r="Q56" s="293"/>
      <c r="R56" s="72"/>
      <c r="S56" s="59"/>
      <c r="T56" s="67"/>
      <c r="U56" s="68"/>
    </row>
    <row r="57" spans="1:21">
      <c r="A57" s="118">
        <f t="shared" si="8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9"/>
        <v>0</v>
      </c>
      <c r="K57" s="120" t="str">
        <f t="shared" si="7"/>
        <v>0</v>
      </c>
      <c r="L57" s="60"/>
      <c r="M57" s="60"/>
      <c r="N57" s="60"/>
      <c r="O57" s="294"/>
      <c r="P57" s="293"/>
      <c r="Q57" s="293"/>
      <c r="R57" s="72"/>
      <c r="S57" s="59"/>
      <c r="T57" s="59"/>
      <c r="U57" s="68"/>
    </row>
    <row r="58" spans="1:21">
      <c r="A58" s="118">
        <f t="shared" si="8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9"/>
        <v>0</v>
      </c>
      <c r="K58" s="120" t="str">
        <f t="shared" si="7"/>
        <v>0</v>
      </c>
      <c r="L58" s="60"/>
      <c r="M58" s="60"/>
      <c r="N58" s="60"/>
      <c r="O58" s="293"/>
      <c r="P58" s="293"/>
      <c r="Q58" s="293"/>
      <c r="R58" s="72"/>
      <c r="S58" s="59"/>
      <c r="T58" s="59"/>
      <c r="U58" s="68"/>
    </row>
    <row r="59" spans="1:21">
      <c r="A59" s="118">
        <f t="shared" si="8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9"/>
        <v>0</v>
      </c>
      <c r="K59" s="120" t="str">
        <f t="shared" si="7"/>
        <v>0</v>
      </c>
      <c r="L59" s="60"/>
      <c r="M59" s="60"/>
      <c r="N59" s="60"/>
      <c r="O59" s="293"/>
      <c r="P59" s="293"/>
      <c r="Q59" s="293"/>
      <c r="R59" s="72"/>
      <c r="S59" s="59"/>
      <c r="T59" s="59"/>
      <c r="U59" s="68"/>
    </row>
    <row r="60" spans="1:21">
      <c r="A60" s="118">
        <f t="shared" si="8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9"/>
        <v>0</v>
      </c>
      <c r="K60" s="120" t="str">
        <f t="shared" si="7"/>
        <v>0</v>
      </c>
      <c r="L60" s="60"/>
      <c r="M60" s="60"/>
      <c r="N60" s="60"/>
      <c r="O60" s="294"/>
      <c r="P60" s="293"/>
      <c r="Q60" s="295"/>
      <c r="R60" s="72"/>
      <c r="S60" s="59"/>
      <c r="T60" s="59"/>
      <c r="U60" s="68"/>
    </row>
    <row r="61" spans="1:21" ht="17.25" thickBot="1">
      <c r="A61" s="118">
        <f t="shared" si="8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9"/>
        <v>0</v>
      </c>
      <c r="K61" s="120" t="str">
        <f t="shared" si="7"/>
        <v>0</v>
      </c>
      <c r="L61" s="139"/>
      <c r="M61" s="139"/>
      <c r="N61" s="139"/>
      <c r="O61" s="296"/>
      <c r="P61" s="297"/>
      <c r="Q61" s="298"/>
      <c r="R61" s="72"/>
      <c r="S61" s="59"/>
      <c r="T61" s="59"/>
      <c r="U61" s="68"/>
    </row>
    <row r="62" spans="1:21">
      <c r="A62" s="299" t="s">
        <v>125</v>
      </c>
      <c r="B62" s="300"/>
      <c r="C62" s="300"/>
      <c r="D62" s="300"/>
      <c r="E62" s="300"/>
      <c r="F62" s="300"/>
      <c r="G62" s="300"/>
      <c r="H62" s="300">
        <f t="shared" ref="H62:M62" si="10">SUM(H37:H61)</f>
        <v>0</v>
      </c>
      <c r="I62" s="306">
        <f t="shared" si="10"/>
        <v>0</v>
      </c>
      <c r="J62" s="306">
        <f>J61+J60+J59+J58+J57+J56+J55+J54+J53+J52+J51+J50+J49+J48+J47+J46+J45+J44+J43+J42+J41+J40+J39+J38+J37</f>
        <v>0</v>
      </c>
      <c r="K62" s="306">
        <f>K61+K60+K59+K58+K57+K56+K55+K54+K53+K52+K51+K50+K49+K48+K47+K46+K45+K44+K43+K42+K41+K40+K39+K38+K37</f>
        <v>0</v>
      </c>
      <c r="L62" s="309">
        <f t="shared" si="10"/>
        <v>0</v>
      </c>
      <c r="M62" s="312">
        <f t="shared" si="10"/>
        <v>0</v>
      </c>
      <c r="N62" s="281"/>
      <c r="O62" s="282"/>
      <c r="P62" s="282"/>
      <c r="Q62" s="283"/>
      <c r="R62" s="5"/>
      <c r="S62" s="6"/>
      <c r="T62" s="7"/>
      <c r="U62" s="8"/>
    </row>
    <row r="63" spans="1:21" ht="17.25" thickBot="1">
      <c r="A63" s="302"/>
      <c r="B63" s="303"/>
      <c r="C63" s="303"/>
      <c r="D63" s="303"/>
      <c r="E63" s="303"/>
      <c r="F63" s="303"/>
      <c r="G63" s="303"/>
      <c r="H63" s="303"/>
      <c r="I63" s="307"/>
      <c r="J63" s="307"/>
      <c r="K63" s="307"/>
      <c r="L63" s="310"/>
      <c r="M63" s="313"/>
      <c r="N63" s="284"/>
      <c r="O63" s="285"/>
      <c r="P63" s="285"/>
      <c r="Q63" s="286"/>
      <c r="R63" s="1"/>
      <c r="S63" s="2"/>
      <c r="T63" s="3"/>
      <c r="U63" s="4"/>
    </row>
    <row r="64" spans="1:21" ht="17.25" thickBot="1">
      <c r="A64" s="304"/>
      <c r="B64" s="305"/>
      <c r="C64" s="305"/>
      <c r="D64" s="305"/>
      <c r="E64" s="305"/>
      <c r="F64" s="305"/>
      <c r="G64" s="305"/>
      <c r="H64" s="305"/>
      <c r="I64" s="308"/>
      <c r="J64" s="308"/>
      <c r="K64" s="308"/>
      <c r="L64" s="311"/>
      <c r="M64" s="314"/>
      <c r="N64" s="287"/>
      <c r="O64" s="288"/>
      <c r="P64" s="288"/>
      <c r="Q64" s="289"/>
      <c r="R64" s="290" t="s">
        <v>138</v>
      </c>
      <c r="S64" s="291"/>
      <c r="T64" s="291"/>
      <c r="U64" s="292"/>
    </row>
    <row r="65" spans="1:21" ht="17.25" thickBot="1">
      <c r="A65" s="327" t="s">
        <v>135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9"/>
    </row>
    <row r="66" spans="1:21" ht="17.25" thickBot="1">
      <c r="A66" s="327" t="str">
        <f>A34</f>
        <v>02-01-2022</v>
      </c>
      <c r="B66" s="328"/>
      <c r="C66" s="328"/>
      <c r="D66" s="328"/>
      <c r="E66" s="328"/>
      <c r="F66" s="328"/>
      <c r="G66" s="329"/>
      <c r="H66" s="330" t="s">
        <v>2</v>
      </c>
      <c r="I66" s="331"/>
      <c r="J66" s="327" t="str">
        <f>J34</f>
        <v>SUNNY</v>
      </c>
      <c r="K66" s="329"/>
      <c r="L66" s="331" t="s">
        <v>137</v>
      </c>
      <c r="M66" s="332"/>
      <c r="N66" s="330"/>
      <c r="O66" s="328" t="str">
        <f>O34</f>
        <v>JOHN</v>
      </c>
      <c r="P66" s="328"/>
      <c r="Q66" s="329"/>
      <c r="R66" s="331" t="s">
        <v>6</v>
      </c>
      <c r="S66" s="330"/>
      <c r="T66" s="319">
        <f>T34</f>
        <v>9</v>
      </c>
      <c r="U66" s="319"/>
    </row>
    <row r="67" spans="1:21" ht="17.25" thickBot="1">
      <c r="A67" s="15" t="s">
        <v>10</v>
      </c>
      <c r="H67" s="9"/>
      <c r="I67" s="18"/>
      <c r="T67" s="10"/>
      <c r="U67" s="11"/>
    </row>
    <row r="68" spans="1:21" ht="17.25" thickBot="1">
      <c r="A68" s="144" t="s">
        <v>11</v>
      </c>
      <c r="B68" s="205" t="s">
        <v>12</v>
      </c>
      <c r="C68" s="157" t="s">
        <v>13</v>
      </c>
      <c r="D68" s="184" t="s">
        <v>14</v>
      </c>
      <c r="E68" s="157" t="s">
        <v>15</v>
      </c>
      <c r="F68" s="205" t="s">
        <v>16</v>
      </c>
      <c r="G68" s="205" t="s">
        <v>17</v>
      </c>
      <c r="H68" s="205" t="s">
        <v>18</v>
      </c>
      <c r="I68" s="205" t="s">
        <v>19</v>
      </c>
      <c r="J68" s="205" t="s">
        <v>20</v>
      </c>
      <c r="K68" s="205" t="s">
        <v>21</v>
      </c>
      <c r="L68" s="205" t="s">
        <v>22</v>
      </c>
      <c r="M68" s="205" t="s">
        <v>23</v>
      </c>
      <c r="N68" s="205" t="s">
        <v>24</v>
      </c>
      <c r="O68" s="320" t="s">
        <v>25</v>
      </c>
      <c r="P68" s="320"/>
      <c r="Q68" s="320"/>
      <c r="R68" s="205" t="s">
        <v>26</v>
      </c>
      <c r="S68" s="145" t="s">
        <v>27</v>
      </c>
      <c r="T68" s="145" t="s">
        <v>28</v>
      </c>
      <c r="U68" s="146" t="s">
        <v>29</v>
      </c>
    </row>
    <row r="69" spans="1:21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 t="shared" ref="J69:J83" si="11">IF(G69="RSL","45","0")</f>
        <v>0</v>
      </c>
      <c r="K69" s="120" t="str">
        <f t="shared" ref="K69:K93" si="12">IF(G69="GVS","37.5",IF(G69="GVM","41.5",IF(G69="GVL","50",IF(G69="PCS","45.8",IF(G69="PCM","50",IF(G69="PCL","58.3","0"))))))</f>
        <v>0</v>
      </c>
      <c r="L69" s="121"/>
      <c r="M69" s="121"/>
      <c r="N69" s="60"/>
      <c r="O69" s="294"/>
      <c r="P69" s="293"/>
      <c r="Q69" s="295"/>
      <c r="R69" s="51"/>
      <c r="S69" s="52"/>
      <c r="T69" s="52"/>
      <c r="U69" s="61"/>
    </row>
    <row r="70" spans="1:21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si="11"/>
        <v>0</v>
      </c>
      <c r="K70" s="120" t="str">
        <f t="shared" si="12"/>
        <v>0</v>
      </c>
      <c r="L70" s="121"/>
      <c r="M70" s="121"/>
      <c r="N70" s="60"/>
      <c r="O70" s="321"/>
      <c r="P70" s="322"/>
      <c r="Q70" s="323"/>
      <c r="R70" s="69"/>
      <c r="S70" s="62"/>
      <c r="T70" s="16"/>
      <c r="U70" s="63"/>
    </row>
    <row r="71" spans="1:21">
      <c r="A71" s="118">
        <f t="shared" ref="A71:A93" si="13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1"/>
        <v>0</v>
      </c>
      <c r="K71" s="120" t="str">
        <f t="shared" si="12"/>
        <v>0</v>
      </c>
      <c r="L71" s="121"/>
      <c r="M71" s="121"/>
      <c r="N71" s="60"/>
      <c r="O71" s="294"/>
      <c r="P71" s="293"/>
      <c r="Q71" s="295"/>
      <c r="R71" s="70"/>
      <c r="S71" s="13"/>
      <c r="T71" s="12"/>
      <c r="U71" s="63"/>
    </row>
    <row r="72" spans="1:21">
      <c r="A72" s="118">
        <f t="shared" si="13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1"/>
        <v>0</v>
      </c>
      <c r="K72" s="120" t="str">
        <f t="shared" si="12"/>
        <v>0</v>
      </c>
      <c r="L72" s="121"/>
      <c r="M72" s="121"/>
      <c r="N72" s="60"/>
      <c r="O72" s="324"/>
      <c r="P72" s="325"/>
      <c r="Q72" s="326"/>
      <c r="R72" s="69"/>
      <c r="S72" s="62"/>
      <c r="T72" s="62"/>
      <c r="U72" s="63"/>
    </row>
    <row r="73" spans="1:21">
      <c r="A73" s="118">
        <f t="shared" si="13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1"/>
        <v>0</v>
      </c>
      <c r="K73" s="120" t="str">
        <f t="shared" si="12"/>
        <v>0</v>
      </c>
      <c r="L73" s="121"/>
      <c r="M73" s="121"/>
      <c r="N73" s="60"/>
      <c r="O73" s="324"/>
      <c r="P73" s="325"/>
      <c r="Q73" s="326"/>
      <c r="R73" s="71"/>
      <c r="S73" s="64"/>
      <c r="T73" s="64"/>
      <c r="U73" s="65"/>
    </row>
    <row r="74" spans="1:21">
      <c r="A74" s="118">
        <f t="shared" si="13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1"/>
        <v>0</v>
      </c>
      <c r="K74" s="120" t="str">
        <f t="shared" si="12"/>
        <v>0</v>
      </c>
      <c r="L74" s="121"/>
      <c r="M74" s="121"/>
      <c r="N74" s="60"/>
      <c r="O74" s="316"/>
      <c r="P74" s="317"/>
      <c r="Q74" s="318"/>
      <c r="R74" s="71"/>
      <c r="S74" s="64"/>
      <c r="T74" s="64"/>
      <c r="U74" s="65"/>
    </row>
    <row r="75" spans="1:21">
      <c r="A75" s="118">
        <f t="shared" si="13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1"/>
        <v>0</v>
      </c>
      <c r="K75" s="120" t="str">
        <f t="shared" si="12"/>
        <v>0</v>
      </c>
      <c r="L75" s="121"/>
      <c r="M75" s="121"/>
      <c r="N75" s="60"/>
      <c r="O75" s="294"/>
      <c r="P75" s="293"/>
      <c r="Q75" s="295"/>
      <c r="R75" s="69"/>
      <c r="S75" s="62"/>
      <c r="T75" s="62"/>
      <c r="U75" s="63"/>
    </row>
    <row r="76" spans="1:21">
      <c r="A76" s="118">
        <f t="shared" si="13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1"/>
        <v>0</v>
      </c>
      <c r="K76" s="120" t="str">
        <f t="shared" si="12"/>
        <v>0</v>
      </c>
      <c r="L76" s="121"/>
      <c r="M76" s="121"/>
      <c r="N76" s="60"/>
      <c r="O76" s="294"/>
      <c r="P76" s="293"/>
      <c r="Q76" s="295"/>
      <c r="R76" s="5"/>
      <c r="S76" s="62"/>
      <c r="T76" s="62"/>
      <c r="U76" s="63"/>
    </row>
    <row r="77" spans="1:21">
      <c r="A77" s="118">
        <f t="shared" si="13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1"/>
        <v>0</v>
      </c>
      <c r="K77" s="120" t="str">
        <f t="shared" si="12"/>
        <v>0</v>
      </c>
      <c r="L77" s="121"/>
      <c r="M77" s="121"/>
      <c r="N77" s="60"/>
      <c r="O77" s="294"/>
      <c r="P77" s="293"/>
      <c r="Q77" s="295"/>
      <c r="R77" s="5"/>
      <c r="S77" s="62"/>
      <c r="T77" s="62"/>
      <c r="U77" s="63"/>
    </row>
    <row r="78" spans="1:21">
      <c r="A78" s="118">
        <f t="shared" si="13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1"/>
        <v>0</v>
      </c>
      <c r="K78" s="120" t="str">
        <f t="shared" si="12"/>
        <v>0</v>
      </c>
      <c r="L78" s="121"/>
      <c r="M78" s="121"/>
      <c r="N78" s="60"/>
      <c r="O78" s="294"/>
      <c r="P78" s="293"/>
      <c r="Q78" s="295"/>
      <c r="R78" s="5"/>
      <c r="S78" s="62"/>
      <c r="T78" s="62"/>
      <c r="U78" s="63"/>
    </row>
    <row r="79" spans="1:21">
      <c r="A79" s="118">
        <f t="shared" si="13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1"/>
        <v>0</v>
      </c>
      <c r="K79" s="120" t="str">
        <f t="shared" si="12"/>
        <v>0</v>
      </c>
      <c r="L79" s="121"/>
      <c r="M79" s="121"/>
      <c r="N79" s="60"/>
      <c r="O79" s="294"/>
      <c r="P79" s="293"/>
      <c r="Q79" s="295"/>
      <c r="R79" s="5"/>
      <c r="S79" s="62"/>
      <c r="T79" s="62"/>
      <c r="U79" s="63"/>
    </row>
    <row r="80" spans="1:21">
      <c r="A80" s="118">
        <f t="shared" si="13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1"/>
        <v>0</v>
      </c>
      <c r="K80" s="120" t="str">
        <f t="shared" si="12"/>
        <v>0</v>
      </c>
      <c r="L80" s="121"/>
      <c r="M80" s="121"/>
      <c r="N80" s="60"/>
      <c r="O80" s="294"/>
      <c r="P80" s="293"/>
      <c r="Q80" s="295"/>
      <c r="R80" s="5"/>
      <c r="S80" s="62"/>
      <c r="T80" s="62"/>
      <c r="U80" s="63"/>
    </row>
    <row r="81" spans="1:21">
      <c r="A81" s="118">
        <f t="shared" si="13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1"/>
        <v>0</v>
      </c>
      <c r="K81" s="120" t="str">
        <f t="shared" si="12"/>
        <v>0</v>
      </c>
      <c r="L81" s="121"/>
      <c r="M81" s="121"/>
      <c r="N81" s="60"/>
      <c r="O81" s="294"/>
      <c r="P81" s="293"/>
      <c r="Q81" s="295"/>
      <c r="R81" s="5"/>
      <c r="S81" s="62"/>
      <c r="T81" s="66"/>
      <c r="U81" s="63"/>
    </row>
    <row r="82" spans="1:21">
      <c r="A82" s="118">
        <f t="shared" si="13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1"/>
        <v>0</v>
      </c>
      <c r="K82" s="120" t="str">
        <f t="shared" si="12"/>
        <v>0</v>
      </c>
      <c r="L82" s="121"/>
      <c r="M82" s="121"/>
      <c r="N82" s="60"/>
      <c r="O82" s="294"/>
      <c r="P82" s="293"/>
      <c r="Q82" s="295"/>
      <c r="R82" s="5"/>
      <c r="S82" s="62"/>
      <c r="T82" s="66"/>
      <c r="U82" s="63"/>
    </row>
    <row r="83" spans="1:21">
      <c r="A83" s="118">
        <f t="shared" si="13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1"/>
        <v>0</v>
      </c>
      <c r="K83" s="120" t="str">
        <f t="shared" si="12"/>
        <v>0</v>
      </c>
      <c r="L83" s="121"/>
      <c r="M83" s="121"/>
      <c r="N83" s="60"/>
      <c r="O83" s="294"/>
      <c r="P83" s="293"/>
      <c r="Q83" s="293"/>
      <c r="R83" s="5"/>
      <c r="S83" s="62"/>
      <c r="T83" s="66"/>
      <c r="U83" s="63"/>
    </row>
    <row r="84" spans="1:21">
      <c r="A84" s="118">
        <f t="shared" si="13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>IF(G84="RSL","45","0")</f>
        <v>0</v>
      </c>
      <c r="K84" s="120" t="str">
        <f t="shared" si="12"/>
        <v>0</v>
      </c>
      <c r="L84" s="121"/>
      <c r="M84" s="121"/>
      <c r="N84" s="60"/>
      <c r="O84" s="294"/>
      <c r="P84" s="293"/>
      <c r="Q84" s="293"/>
      <c r="R84" s="72"/>
      <c r="S84" s="59"/>
      <c r="T84" s="67"/>
      <c r="U84" s="68"/>
    </row>
    <row r="85" spans="1:21">
      <c r="A85" s="118">
        <f t="shared" si="13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ref="J85:J93" si="14">IF(G85="RSL","45","0")</f>
        <v>0</v>
      </c>
      <c r="K85" s="120" t="str">
        <f t="shared" si="12"/>
        <v>0</v>
      </c>
      <c r="L85" s="60"/>
      <c r="M85" s="60"/>
      <c r="N85" s="60"/>
      <c r="O85" s="315"/>
      <c r="P85" s="294"/>
      <c r="Q85" s="294"/>
      <c r="R85" s="72"/>
      <c r="S85" s="59"/>
      <c r="T85" s="67"/>
      <c r="U85" s="68"/>
    </row>
    <row r="86" spans="1:21">
      <c r="A86" s="118">
        <f t="shared" si="13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4"/>
        <v>0</v>
      </c>
      <c r="K86" s="120" t="str">
        <f t="shared" si="12"/>
        <v>0</v>
      </c>
      <c r="L86" s="60"/>
      <c r="M86" s="60"/>
      <c r="N86" s="60"/>
      <c r="O86" s="315"/>
      <c r="P86" s="294"/>
      <c r="Q86" s="294"/>
      <c r="R86" s="72"/>
      <c r="S86" s="59"/>
      <c r="T86" s="67"/>
      <c r="U86" s="68"/>
    </row>
    <row r="87" spans="1:21">
      <c r="A87" s="118">
        <f t="shared" si="13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4"/>
        <v>0</v>
      </c>
      <c r="K87" s="120" t="str">
        <f t="shared" si="12"/>
        <v>0</v>
      </c>
      <c r="L87" s="60"/>
      <c r="M87" s="60"/>
      <c r="N87" s="60"/>
      <c r="O87" s="315"/>
      <c r="P87" s="294"/>
      <c r="Q87" s="294"/>
      <c r="R87" s="72"/>
      <c r="S87" s="59"/>
      <c r="T87" s="67"/>
      <c r="U87" s="68"/>
    </row>
    <row r="88" spans="1:21">
      <c r="A88" s="118">
        <f t="shared" si="13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4"/>
        <v>0</v>
      </c>
      <c r="K88" s="120" t="str">
        <f t="shared" si="12"/>
        <v>0</v>
      </c>
      <c r="L88" s="60"/>
      <c r="M88" s="60"/>
      <c r="N88" s="60"/>
      <c r="O88" s="293"/>
      <c r="P88" s="293"/>
      <c r="Q88" s="293"/>
      <c r="R88" s="72"/>
      <c r="S88" s="59"/>
      <c r="T88" s="67"/>
      <c r="U88" s="68"/>
    </row>
    <row r="89" spans="1:21">
      <c r="A89" s="118">
        <f t="shared" si="13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4"/>
        <v>0</v>
      </c>
      <c r="K89" s="120" t="str">
        <f t="shared" si="12"/>
        <v>0</v>
      </c>
      <c r="L89" s="60"/>
      <c r="M89" s="60"/>
      <c r="N89" s="60"/>
      <c r="O89" s="294"/>
      <c r="P89" s="293"/>
      <c r="Q89" s="293"/>
      <c r="R89" s="72"/>
      <c r="S89" s="59"/>
      <c r="T89" s="59"/>
      <c r="U89" s="68"/>
    </row>
    <row r="90" spans="1:21">
      <c r="A90" s="118">
        <f t="shared" si="13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4"/>
        <v>0</v>
      </c>
      <c r="K90" s="120" t="str">
        <f t="shared" si="12"/>
        <v>0</v>
      </c>
      <c r="L90" s="60"/>
      <c r="M90" s="60"/>
      <c r="N90" s="60"/>
      <c r="O90" s="293"/>
      <c r="P90" s="293"/>
      <c r="Q90" s="293"/>
      <c r="R90" s="72"/>
      <c r="S90" s="59"/>
      <c r="T90" s="59"/>
      <c r="U90" s="68"/>
    </row>
    <row r="91" spans="1:21">
      <c r="A91" s="118">
        <f t="shared" si="13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4"/>
        <v>0</v>
      </c>
      <c r="K91" s="120" t="str">
        <f t="shared" si="12"/>
        <v>0</v>
      </c>
      <c r="L91" s="60"/>
      <c r="M91" s="60"/>
      <c r="N91" s="60"/>
      <c r="O91" s="293"/>
      <c r="P91" s="293"/>
      <c r="Q91" s="293"/>
      <c r="R91" s="72"/>
      <c r="S91" s="59"/>
      <c r="T91" s="59"/>
      <c r="U91" s="68"/>
    </row>
    <row r="92" spans="1:21">
      <c r="A92" s="118">
        <f t="shared" si="13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4"/>
        <v>0</v>
      </c>
      <c r="K92" s="120" t="str">
        <f t="shared" si="12"/>
        <v>0</v>
      </c>
      <c r="L92" s="60"/>
      <c r="M92" s="60"/>
      <c r="N92" s="60"/>
      <c r="O92" s="294"/>
      <c r="P92" s="293"/>
      <c r="Q92" s="295"/>
      <c r="R92" s="72"/>
      <c r="S92" s="59"/>
      <c r="T92" s="59"/>
      <c r="U92" s="68"/>
    </row>
    <row r="93" spans="1:21" ht="17.25" thickBot="1">
      <c r="A93" s="118">
        <f t="shared" si="13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4"/>
        <v>0</v>
      </c>
      <c r="K93" s="120" t="str">
        <f t="shared" si="12"/>
        <v>0</v>
      </c>
      <c r="L93" s="139"/>
      <c r="M93" s="139"/>
      <c r="N93" s="139"/>
      <c r="O93" s="296"/>
      <c r="P93" s="297"/>
      <c r="Q93" s="298"/>
      <c r="R93" s="72"/>
      <c r="S93" s="59"/>
      <c r="T93" s="59"/>
      <c r="U93" s="68"/>
    </row>
    <row r="94" spans="1:21">
      <c r="A94" s="299" t="s">
        <v>125</v>
      </c>
      <c r="B94" s="300"/>
      <c r="C94" s="300"/>
      <c r="D94" s="300"/>
      <c r="E94" s="301"/>
      <c r="F94" s="300"/>
      <c r="G94" s="300"/>
      <c r="H94" s="300">
        <f t="shared" ref="H94:M94" si="15">SUM(H69:H93)</f>
        <v>0</v>
      </c>
      <c r="I94" s="306">
        <f t="shared" si="15"/>
        <v>0</v>
      </c>
      <c r="J94" s="306">
        <f>J93+J92+J91+J90+J89+J88+J87+J86+J85+J84+J83+J82+J81+J80+J79+J78+J77+J76+J75+J74+J73+J72+J71+J70+J69</f>
        <v>0</v>
      </c>
      <c r="K94" s="306">
        <f>K93+K92+K91+K90+K89+K88+K87+K86+K85+K84+K83+K82+K81+K80+K79+K78+K77+K76+K75+K74+K73+K72+K71+K70+K69</f>
        <v>0</v>
      </c>
      <c r="L94" s="309">
        <f t="shared" si="15"/>
        <v>0</v>
      </c>
      <c r="M94" s="312">
        <f t="shared" si="15"/>
        <v>0</v>
      </c>
      <c r="N94" s="281"/>
      <c r="O94" s="282"/>
      <c r="P94" s="282"/>
      <c r="Q94" s="283"/>
      <c r="R94" s="5"/>
      <c r="S94" s="6"/>
      <c r="T94" s="7"/>
      <c r="U94" s="8"/>
    </row>
    <row r="95" spans="1:21" ht="17.25" thickBot="1">
      <c r="A95" s="302"/>
      <c r="B95" s="303"/>
      <c r="C95" s="303"/>
      <c r="D95" s="303"/>
      <c r="E95" s="303"/>
      <c r="F95" s="303"/>
      <c r="G95" s="303"/>
      <c r="H95" s="303"/>
      <c r="I95" s="307"/>
      <c r="J95" s="307"/>
      <c r="K95" s="307"/>
      <c r="L95" s="310"/>
      <c r="M95" s="313"/>
      <c r="N95" s="284"/>
      <c r="O95" s="285"/>
      <c r="P95" s="285"/>
      <c r="Q95" s="286"/>
      <c r="R95" s="1"/>
      <c r="S95" s="2"/>
      <c r="T95" s="3"/>
      <c r="U95" s="4"/>
    </row>
    <row r="96" spans="1:21" ht="17.25" thickBot="1">
      <c r="A96" s="304"/>
      <c r="B96" s="305"/>
      <c r="C96" s="305"/>
      <c r="D96" s="305"/>
      <c r="E96" s="305"/>
      <c r="F96" s="305"/>
      <c r="G96" s="305"/>
      <c r="H96" s="305"/>
      <c r="I96" s="308"/>
      <c r="J96" s="308"/>
      <c r="K96" s="308"/>
      <c r="L96" s="311"/>
      <c r="M96" s="314"/>
      <c r="N96" s="287"/>
      <c r="O96" s="288"/>
      <c r="P96" s="288"/>
      <c r="Q96" s="289"/>
      <c r="R96" s="290" t="s">
        <v>139</v>
      </c>
      <c r="S96" s="291"/>
      <c r="T96" s="291"/>
      <c r="U96" s="292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F73BB1B6-7438-4A8C-B7A4-B8AFB613085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17" workbookViewId="0">
      <selection activeCell="Y41" sqref="Y41:AD42"/>
    </sheetView>
  </sheetViews>
  <sheetFormatPr defaultColWidth="9" defaultRowHeight="16.5"/>
  <cols>
    <col min="1" max="477" width="2.625" style="14" customWidth="1"/>
    <col min="478" max="16384" width="9" style="14"/>
  </cols>
  <sheetData>
    <row r="1" spans="1:30" ht="32.25" customHeight="1">
      <c r="A1" s="607"/>
      <c r="B1" s="607"/>
      <c r="C1" s="607"/>
      <c r="D1" s="607"/>
      <c r="E1" s="606" t="s">
        <v>377</v>
      </c>
      <c r="F1" s="606"/>
      <c r="G1" s="606"/>
      <c r="H1" s="606" t="s">
        <v>378</v>
      </c>
      <c r="I1" s="606"/>
      <c r="J1" s="606"/>
      <c r="K1" s="606"/>
      <c r="L1" s="606" t="s">
        <v>379</v>
      </c>
      <c r="M1" s="606"/>
      <c r="N1" s="606"/>
      <c r="O1" s="606"/>
      <c r="P1" s="606"/>
      <c r="Q1" s="606" t="s">
        <v>380</v>
      </c>
      <c r="R1" s="606"/>
      <c r="S1" s="606"/>
      <c r="T1" s="606"/>
      <c r="U1" s="606"/>
      <c r="V1" s="606" t="s">
        <v>381</v>
      </c>
      <c r="W1" s="606"/>
      <c r="X1" s="606"/>
      <c r="Y1" s="606"/>
      <c r="Z1" s="606"/>
      <c r="AA1" s="606" t="s">
        <v>382</v>
      </c>
      <c r="AB1" s="606"/>
      <c r="AC1" s="606"/>
      <c r="AD1" s="606"/>
    </row>
    <row r="2" spans="1:30" ht="20.100000000000001" customHeight="1">
      <c r="A2" s="687" t="s">
        <v>383</v>
      </c>
      <c r="B2" s="498" t="s">
        <v>384</v>
      </c>
      <c r="C2" s="498"/>
      <c r="D2" s="522"/>
      <c r="E2" s="522">
        <f>MON!N31</f>
        <v>6</v>
      </c>
      <c r="F2" s="522"/>
      <c r="G2" s="522"/>
      <c r="H2" s="491">
        <f>MON!S31</f>
        <v>530</v>
      </c>
      <c r="I2" s="491"/>
      <c r="J2" s="491"/>
      <c r="K2" s="491"/>
      <c r="L2" s="492">
        <f>MON!N32</f>
        <v>0.19937554075913178</v>
      </c>
      <c r="M2" s="492"/>
      <c r="N2" s="492"/>
      <c r="O2" s="492"/>
      <c r="P2" s="492"/>
      <c r="Q2" s="552">
        <f>SUM(E2:G5)</f>
        <v>27</v>
      </c>
      <c r="R2" s="553"/>
      <c r="S2" s="553"/>
      <c r="T2" s="553"/>
      <c r="U2" s="554"/>
      <c r="V2" s="617">
        <f>SUM(H2:K5)</f>
        <v>3408.3</v>
      </c>
      <c r="W2" s="618"/>
      <c r="X2" s="618"/>
      <c r="Y2" s="618"/>
      <c r="Z2" s="619"/>
      <c r="AA2" s="626">
        <f>V2/Q2</f>
        <v>126.23333333333333</v>
      </c>
      <c r="AB2" s="627"/>
      <c r="AC2" s="627"/>
      <c r="AD2" s="628"/>
    </row>
    <row r="3" spans="1:30" ht="20.100000000000001" customHeight="1">
      <c r="A3" s="688"/>
      <c r="B3" s="498" t="s">
        <v>385</v>
      </c>
      <c r="C3" s="498"/>
      <c r="D3" s="522"/>
      <c r="E3" s="522">
        <f>MON!O31</f>
        <v>15</v>
      </c>
      <c r="F3" s="522"/>
      <c r="G3" s="522"/>
      <c r="H3" s="491">
        <f>MON!S32</f>
        <v>2515</v>
      </c>
      <c r="I3" s="491"/>
      <c r="J3" s="491"/>
      <c r="K3" s="491"/>
      <c r="L3" s="492">
        <f>MON!O32</f>
        <v>0.66395816875446712</v>
      </c>
      <c r="M3" s="492"/>
      <c r="N3" s="492"/>
      <c r="O3" s="492"/>
      <c r="P3" s="492"/>
      <c r="Q3" s="555"/>
      <c r="R3" s="556"/>
      <c r="S3" s="556"/>
      <c r="T3" s="556"/>
      <c r="U3" s="557"/>
      <c r="V3" s="620"/>
      <c r="W3" s="621"/>
      <c r="X3" s="621"/>
      <c r="Y3" s="621"/>
      <c r="Z3" s="622"/>
      <c r="AA3" s="629"/>
      <c r="AB3" s="630"/>
      <c r="AC3" s="630"/>
      <c r="AD3" s="631"/>
    </row>
    <row r="4" spans="1:30" ht="20.100000000000001" customHeight="1">
      <c r="A4" s="688"/>
      <c r="B4" s="498" t="s">
        <v>21</v>
      </c>
      <c r="C4" s="498"/>
      <c r="D4" s="522"/>
      <c r="E4" s="522">
        <f>MON!P31</f>
        <v>3</v>
      </c>
      <c r="F4" s="522"/>
      <c r="G4" s="522"/>
      <c r="H4" s="491">
        <f>MON!K31</f>
        <v>183.3</v>
      </c>
      <c r="I4" s="491"/>
      <c r="J4" s="491"/>
      <c r="K4" s="491"/>
      <c r="L4" s="492">
        <f>MON!P32</f>
        <v>6.8953842681412927E-2</v>
      </c>
      <c r="M4" s="492"/>
      <c r="N4" s="492"/>
      <c r="O4" s="492"/>
      <c r="P4" s="492"/>
      <c r="Q4" s="555"/>
      <c r="R4" s="556"/>
      <c r="S4" s="556"/>
      <c r="T4" s="556"/>
      <c r="U4" s="557"/>
      <c r="V4" s="620"/>
      <c r="W4" s="621"/>
      <c r="X4" s="621"/>
      <c r="Y4" s="621"/>
      <c r="Z4" s="622"/>
      <c r="AA4" s="629"/>
      <c r="AB4" s="630"/>
      <c r="AC4" s="630"/>
      <c r="AD4" s="631"/>
    </row>
    <row r="5" spans="1:30" ht="20.100000000000001" customHeight="1">
      <c r="A5" s="688"/>
      <c r="B5" s="496" t="s">
        <v>20</v>
      </c>
      <c r="C5" s="497"/>
      <c r="D5" s="498"/>
      <c r="E5" s="496">
        <f>MON!Q31</f>
        <v>3</v>
      </c>
      <c r="F5" s="497"/>
      <c r="G5" s="498"/>
      <c r="H5" s="544">
        <f>MON!J31</f>
        <v>180</v>
      </c>
      <c r="I5" s="545"/>
      <c r="J5" s="545"/>
      <c r="K5" s="546"/>
      <c r="L5" s="547">
        <f>MON!Q32</f>
        <v>6.7712447804988141E-2</v>
      </c>
      <c r="M5" s="548"/>
      <c r="N5" s="548"/>
      <c r="O5" s="548"/>
      <c r="P5" s="549"/>
      <c r="Q5" s="558"/>
      <c r="R5" s="559"/>
      <c r="S5" s="559"/>
      <c r="T5" s="559"/>
      <c r="U5" s="560"/>
      <c r="V5" s="623"/>
      <c r="W5" s="624"/>
      <c r="X5" s="624"/>
      <c r="Y5" s="624"/>
      <c r="Z5" s="625"/>
      <c r="AA5" s="632"/>
      <c r="AB5" s="633"/>
      <c r="AC5" s="633"/>
      <c r="AD5" s="634"/>
    </row>
    <row r="6" spans="1:30" ht="20.100000000000001" customHeight="1">
      <c r="A6" s="689"/>
      <c r="B6" s="496" t="s">
        <v>386</v>
      </c>
      <c r="C6" s="497"/>
      <c r="D6" s="498"/>
      <c r="E6" s="496">
        <f>MON!U16</f>
        <v>59.75</v>
      </c>
      <c r="F6" s="497"/>
      <c r="G6" s="498"/>
      <c r="H6" s="544" t="s">
        <v>387</v>
      </c>
      <c r="I6" s="545"/>
      <c r="J6" s="545"/>
      <c r="K6" s="546"/>
      <c r="L6" s="600">
        <f>MON!T2</f>
        <v>8</v>
      </c>
      <c r="M6" s="601"/>
      <c r="N6" s="601"/>
      <c r="O6" s="601"/>
      <c r="P6" s="602"/>
      <c r="Q6" s="603"/>
      <c r="R6" s="604"/>
      <c r="S6" s="604"/>
      <c r="T6" s="604"/>
      <c r="U6" s="605"/>
      <c r="V6" s="708"/>
      <c r="W6" s="709"/>
      <c r="X6" s="709"/>
      <c r="Y6" s="709"/>
      <c r="Z6" s="710"/>
      <c r="AA6" s="711"/>
      <c r="AB6" s="712"/>
      <c r="AC6" s="712"/>
      <c r="AD6" s="713"/>
    </row>
    <row r="7" spans="1:30" ht="20.100000000000001" customHeight="1">
      <c r="A7" s="690" t="s">
        <v>388</v>
      </c>
      <c r="B7" s="514" t="s">
        <v>384</v>
      </c>
      <c r="C7" s="514"/>
      <c r="D7" s="515"/>
      <c r="E7" s="515">
        <f>TUE!N31</f>
        <v>3</v>
      </c>
      <c r="F7" s="515"/>
      <c r="G7" s="515"/>
      <c r="H7" s="493">
        <f>TUE!S31</f>
        <v>180</v>
      </c>
      <c r="I7" s="493"/>
      <c r="J7" s="493"/>
      <c r="K7" s="493"/>
      <c r="L7" s="506">
        <f>TUE!N32</f>
        <v>0.24630541871921183</v>
      </c>
      <c r="M7" s="507"/>
      <c r="N7" s="507"/>
      <c r="O7" s="507"/>
      <c r="P7" s="508"/>
      <c r="Q7" s="582">
        <f>SUM(E7:G10)</f>
        <v>11</v>
      </c>
      <c r="R7" s="583"/>
      <c r="S7" s="583"/>
      <c r="T7" s="583"/>
      <c r="U7" s="584"/>
      <c r="V7" s="608">
        <f>SUM(H7:K10)</f>
        <v>730.8</v>
      </c>
      <c r="W7" s="609"/>
      <c r="X7" s="609"/>
      <c r="Y7" s="609"/>
      <c r="Z7" s="610"/>
      <c r="AA7" s="635">
        <f>V7/Q7</f>
        <v>66.436363636363637</v>
      </c>
      <c r="AB7" s="636"/>
      <c r="AC7" s="636"/>
      <c r="AD7" s="637"/>
    </row>
    <row r="8" spans="1:30" ht="20.100000000000001" customHeight="1">
      <c r="A8" s="691"/>
      <c r="B8" s="514" t="s">
        <v>385</v>
      </c>
      <c r="C8" s="514"/>
      <c r="D8" s="515"/>
      <c r="E8" s="515">
        <f>TUE!O31</f>
        <v>5</v>
      </c>
      <c r="F8" s="515"/>
      <c r="G8" s="515"/>
      <c r="H8" s="493">
        <f>TUE!S32</f>
        <v>435</v>
      </c>
      <c r="I8" s="493"/>
      <c r="J8" s="493"/>
      <c r="K8" s="493"/>
      <c r="L8" s="506">
        <f>TUE!O32</f>
        <v>0.59523809523809523</v>
      </c>
      <c r="M8" s="507"/>
      <c r="N8" s="507"/>
      <c r="O8" s="507"/>
      <c r="P8" s="508"/>
      <c r="Q8" s="585"/>
      <c r="R8" s="586"/>
      <c r="S8" s="586"/>
      <c r="T8" s="586"/>
      <c r="U8" s="587"/>
      <c r="V8" s="611"/>
      <c r="W8" s="612"/>
      <c r="X8" s="612"/>
      <c r="Y8" s="612"/>
      <c r="Z8" s="613"/>
      <c r="AA8" s="638"/>
      <c r="AB8" s="639"/>
      <c r="AC8" s="639"/>
      <c r="AD8" s="640"/>
    </row>
    <row r="9" spans="1:30" ht="20.100000000000001" customHeight="1">
      <c r="A9" s="691"/>
      <c r="B9" s="514" t="s">
        <v>21</v>
      </c>
      <c r="C9" s="514"/>
      <c r="D9" s="515"/>
      <c r="E9" s="515">
        <f>TUE!P31</f>
        <v>2</v>
      </c>
      <c r="F9" s="515"/>
      <c r="G9" s="515"/>
      <c r="H9" s="493">
        <f>TUE!K31</f>
        <v>70.8</v>
      </c>
      <c r="I9" s="493"/>
      <c r="J9" s="493"/>
      <c r="K9" s="493"/>
      <c r="L9" s="506">
        <f>TUE!P32</f>
        <v>9.688013136288999E-2</v>
      </c>
      <c r="M9" s="507"/>
      <c r="N9" s="507"/>
      <c r="O9" s="507"/>
      <c r="P9" s="508"/>
      <c r="Q9" s="585"/>
      <c r="R9" s="586"/>
      <c r="S9" s="586"/>
      <c r="T9" s="586"/>
      <c r="U9" s="587"/>
      <c r="V9" s="611"/>
      <c r="W9" s="612"/>
      <c r="X9" s="612"/>
      <c r="Y9" s="612"/>
      <c r="Z9" s="613"/>
      <c r="AA9" s="638"/>
      <c r="AB9" s="639"/>
      <c r="AC9" s="639"/>
      <c r="AD9" s="640"/>
    </row>
    <row r="10" spans="1:30" ht="20.100000000000001" customHeight="1">
      <c r="A10" s="691"/>
      <c r="B10" s="550" t="s">
        <v>20</v>
      </c>
      <c r="C10" s="551"/>
      <c r="D10" s="514"/>
      <c r="E10" s="550">
        <f>TUE!Q31</f>
        <v>1</v>
      </c>
      <c r="F10" s="551"/>
      <c r="G10" s="514"/>
      <c r="H10" s="523">
        <f>TUE!J31</f>
        <v>45</v>
      </c>
      <c r="I10" s="524"/>
      <c r="J10" s="524"/>
      <c r="K10" s="525"/>
      <c r="L10" s="506">
        <f>TUE!Q32</f>
        <v>6.1576354679802957E-2</v>
      </c>
      <c r="M10" s="507"/>
      <c r="N10" s="507"/>
      <c r="O10" s="507"/>
      <c r="P10" s="508"/>
      <c r="Q10" s="588"/>
      <c r="R10" s="589"/>
      <c r="S10" s="589"/>
      <c r="T10" s="589"/>
      <c r="U10" s="590"/>
      <c r="V10" s="614"/>
      <c r="W10" s="615"/>
      <c r="X10" s="615"/>
      <c r="Y10" s="615"/>
      <c r="Z10" s="616"/>
      <c r="AA10" s="641"/>
      <c r="AB10" s="642"/>
      <c r="AC10" s="642"/>
      <c r="AD10" s="643"/>
    </row>
    <row r="11" spans="1:30" ht="20.100000000000001" customHeight="1">
      <c r="A11" s="692"/>
      <c r="B11" s="550" t="s">
        <v>386</v>
      </c>
      <c r="C11" s="551"/>
      <c r="D11" s="514"/>
      <c r="E11" s="550">
        <f>TUE!U16</f>
        <v>44</v>
      </c>
      <c r="F11" s="551"/>
      <c r="G11" s="514"/>
      <c r="H11" s="523" t="s">
        <v>387</v>
      </c>
      <c r="I11" s="524"/>
      <c r="J11" s="524"/>
      <c r="K11" s="525"/>
      <c r="L11" s="714">
        <f>TUE!T2</f>
        <v>7</v>
      </c>
      <c r="M11" s="715"/>
      <c r="N11" s="715"/>
      <c r="O11" s="715"/>
      <c r="P11" s="716"/>
      <c r="Q11" s="717"/>
      <c r="R11" s="718"/>
      <c r="S11" s="718"/>
      <c r="T11" s="718"/>
      <c r="U11" s="719"/>
      <c r="V11" s="720"/>
      <c r="W11" s="721"/>
      <c r="X11" s="721"/>
      <c r="Y11" s="721"/>
      <c r="Z11" s="722"/>
      <c r="AA11" s="723"/>
      <c r="AB11" s="724"/>
      <c r="AC11" s="724"/>
      <c r="AD11" s="725"/>
    </row>
    <row r="12" spans="1:30" ht="20.100000000000001" customHeight="1">
      <c r="A12" s="693" t="s">
        <v>389</v>
      </c>
      <c r="B12" s="499" t="s">
        <v>384</v>
      </c>
      <c r="C12" s="499"/>
      <c r="D12" s="303"/>
      <c r="E12" s="303">
        <f>WED!N31</f>
        <v>6</v>
      </c>
      <c r="F12" s="303"/>
      <c r="G12" s="303"/>
      <c r="H12" s="500">
        <f>WED!S31</f>
        <v>910</v>
      </c>
      <c r="I12" s="501"/>
      <c r="J12" s="501"/>
      <c r="K12" s="502"/>
      <c r="L12" s="503">
        <f>WED!N32</f>
        <v>0.44498777506112469</v>
      </c>
      <c r="M12" s="504"/>
      <c r="N12" s="504"/>
      <c r="O12" s="504"/>
      <c r="P12" s="505"/>
      <c r="Q12" s="561">
        <f>SUM(E12:G15)</f>
        <v>16</v>
      </c>
      <c r="R12" s="562"/>
      <c r="S12" s="562"/>
      <c r="T12" s="562"/>
      <c r="U12" s="563"/>
      <c r="V12" s="735">
        <f>SUM(H12:K15)</f>
        <v>2045</v>
      </c>
      <c r="W12" s="736"/>
      <c r="X12" s="736"/>
      <c r="Y12" s="736"/>
      <c r="Z12" s="737"/>
      <c r="AA12" s="726">
        <f>V12/Q12</f>
        <v>127.8125</v>
      </c>
      <c r="AB12" s="727"/>
      <c r="AC12" s="727"/>
      <c r="AD12" s="728"/>
    </row>
    <row r="13" spans="1:30" ht="20.100000000000001" customHeight="1">
      <c r="A13" s="694"/>
      <c r="B13" s="499" t="s">
        <v>385</v>
      </c>
      <c r="C13" s="499"/>
      <c r="D13" s="303"/>
      <c r="E13" s="303">
        <f>WED!O31</f>
        <v>8</v>
      </c>
      <c r="F13" s="303"/>
      <c r="G13" s="303"/>
      <c r="H13" s="500">
        <f>WED!S32</f>
        <v>1090</v>
      </c>
      <c r="I13" s="501"/>
      <c r="J13" s="501"/>
      <c r="K13" s="502"/>
      <c r="L13" s="503">
        <f>WED!O32</f>
        <v>0.5330073349633252</v>
      </c>
      <c r="M13" s="504"/>
      <c r="N13" s="504"/>
      <c r="O13" s="504"/>
      <c r="P13" s="505"/>
      <c r="Q13" s="564"/>
      <c r="R13" s="565"/>
      <c r="S13" s="565"/>
      <c r="T13" s="565"/>
      <c r="U13" s="566"/>
      <c r="V13" s="738"/>
      <c r="W13" s="739"/>
      <c r="X13" s="739"/>
      <c r="Y13" s="739"/>
      <c r="Z13" s="740"/>
      <c r="AA13" s="729"/>
      <c r="AB13" s="730"/>
      <c r="AC13" s="730"/>
      <c r="AD13" s="731"/>
    </row>
    <row r="14" spans="1:30" ht="20.100000000000001" customHeight="1">
      <c r="A14" s="694"/>
      <c r="B14" s="499" t="s">
        <v>21</v>
      </c>
      <c r="C14" s="499"/>
      <c r="D14" s="303"/>
      <c r="E14" s="303">
        <f>WED!P31</f>
        <v>1</v>
      </c>
      <c r="F14" s="303"/>
      <c r="G14" s="303"/>
      <c r="H14" s="500">
        <f>WED!K31</f>
        <v>0</v>
      </c>
      <c r="I14" s="501"/>
      <c r="J14" s="501"/>
      <c r="K14" s="502"/>
      <c r="L14" s="503">
        <f>WED!P32</f>
        <v>0</v>
      </c>
      <c r="M14" s="504"/>
      <c r="N14" s="504"/>
      <c r="O14" s="504"/>
      <c r="P14" s="505"/>
      <c r="Q14" s="564"/>
      <c r="R14" s="565"/>
      <c r="S14" s="565"/>
      <c r="T14" s="565"/>
      <c r="U14" s="566"/>
      <c r="V14" s="738"/>
      <c r="W14" s="739"/>
      <c r="X14" s="739"/>
      <c r="Y14" s="739"/>
      <c r="Z14" s="740"/>
      <c r="AA14" s="729"/>
      <c r="AB14" s="730"/>
      <c r="AC14" s="730"/>
      <c r="AD14" s="731"/>
    </row>
    <row r="15" spans="1:30" ht="20.100000000000001" customHeight="1">
      <c r="A15" s="694"/>
      <c r="B15" s="516" t="s">
        <v>20</v>
      </c>
      <c r="C15" s="517"/>
      <c r="D15" s="499"/>
      <c r="E15" s="516">
        <f>WED!Q31</f>
        <v>1</v>
      </c>
      <c r="F15" s="517"/>
      <c r="G15" s="499"/>
      <c r="H15" s="500">
        <f>WED!J31</f>
        <v>45</v>
      </c>
      <c r="I15" s="501"/>
      <c r="J15" s="501"/>
      <c r="K15" s="502"/>
      <c r="L15" s="503">
        <f>WED!Q32</f>
        <v>2.2004889975550123E-2</v>
      </c>
      <c r="M15" s="504"/>
      <c r="N15" s="504"/>
      <c r="O15" s="504"/>
      <c r="P15" s="505"/>
      <c r="Q15" s="567"/>
      <c r="R15" s="568"/>
      <c r="S15" s="568"/>
      <c r="T15" s="568"/>
      <c r="U15" s="569"/>
      <c r="V15" s="741"/>
      <c r="W15" s="742"/>
      <c r="X15" s="742"/>
      <c r="Y15" s="742"/>
      <c r="Z15" s="743"/>
      <c r="AA15" s="732"/>
      <c r="AB15" s="733"/>
      <c r="AC15" s="733"/>
      <c r="AD15" s="734"/>
    </row>
    <row r="16" spans="1:30" ht="20.100000000000001" customHeight="1">
      <c r="A16" s="695"/>
      <c r="B16" s="516" t="s">
        <v>386</v>
      </c>
      <c r="C16" s="517"/>
      <c r="D16" s="499"/>
      <c r="E16" s="516">
        <f>WED!U16</f>
        <v>48.75</v>
      </c>
      <c r="F16" s="517"/>
      <c r="G16" s="499"/>
      <c r="H16" s="500" t="s">
        <v>387</v>
      </c>
      <c r="I16" s="501"/>
      <c r="J16" s="501"/>
      <c r="K16" s="502"/>
      <c r="L16" s="519">
        <f>WED!T2</f>
        <v>6</v>
      </c>
      <c r="M16" s="520"/>
      <c r="N16" s="520"/>
      <c r="O16" s="520"/>
      <c r="P16" s="521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>
      <c r="A17" s="696" t="s">
        <v>390</v>
      </c>
      <c r="B17" s="463" t="s">
        <v>384</v>
      </c>
      <c r="C17" s="463"/>
      <c r="D17" s="510"/>
      <c r="E17" s="510">
        <f>THU!N31</f>
        <v>7</v>
      </c>
      <c r="F17" s="510"/>
      <c r="G17" s="510"/>
      <c r="H17" s="518">
        <f>THU!S31</f>
        <v>285</v>
      </c>
      <c r="I17" s="518"/>
      <c r="J17" s="518"/>
      <c r="K17" s="518"/>
      <c r="L17" s="509">
        <f>THU!N32</f>
        <v>0.11101156857398822</v>
      </c>
      <c r="M17" s="509"/>
      <c r="N17" s="509"/>
      <c r="O17" s="509"/>
      <c r="P17" s="509"/>
      <c r="Q17" s="591">
        <f>SUM(E17:G20)</f>
        <v>40</v>
      </c>
      <c r="R17" s="592"/>
      <c r="S17" s="592"/>
      <c r="T17" s="592"/>
      <c r="U17" s="593"/>
      <c r="V17" s="535">
        <f>SUM(H17:K20)</f>
        <v>3792.3</v>
      </c>
      <c r="W17" s="536"/>
      <c r="X17" s="536"/>
      <c r="Y17" s="536"/>
      <c r="Z17" s="537"/>
      <c r="AA17" s="526">
        <f>V17/Q17</f>
        <v>94.807500000000005</v>
      </c>
      <c r="AB17" s="527"/>
      <c r="AC17" s="527"/>
      <c r="AD17" s="528"/>
    </row>
    <row r="18" spans="1:30" ht="20.100000000000001" customHeight="1">
      <c r="A18" s="697"/>
      <c r="B18" s="463" t="s">
        <v>385</v>
      </c>
      <c r="C18" s="463"/>
      <c r="D18" s="510"/>
      <c r="E18" s="510">
        <f>THU!O31</f>
        <v>18</v>
      </c>
      <c r="F18" s="510"/>
      <c r="G18" s="510"/>
      <c r="H18" s="518">
        <f>THU!S32</f>
        <v>2755</v>
      </c>
      <c r="I18" s="518"/>
      <c r="J18" s="518"/>
      <c r="K18" s="518"/>
      <c r="L18" s="509">
        <f>THU!O32</f>
        <v>0.59595684181825259</v>
      </c>
      <c r="M18" s="509"/>
      <c r="N18" s="509"/>
      <c r="O18" s="509"/>
      <c r="P18" s="509"/>
      <c r="Q18" s="594"/>
      <c r="R18" s="595"/>
      <c r="S18" s="595"/>
      <c r="T18" s="595"/>
      <c r="U18" s="596"/>
      <c r="V18" s="538"/>
      <c r="W18" s="539"/>
      <c r="X18" s="539"/>
      <c r="Y18" s="539"/>
      <c r="Z18" s="540"/>
      <c r="AA18" s="529"/>
      <c r="AB18" s="530"/>
      <c r="AC18" s="530"/>
      <c r="AD18" s="531"/>
    </row>
    <row r="19" spans="1:30" ht="20.100000000000001" customHeight="1">
      <c r="A19" s="697"/>
      <c r="B19" s="463" t="s">
        <v>21</v>
      </c>
      <c r="C19" s="463"/>
      <c r="D19" s="510"/>
      <c r="E19" s="510">
        <f>THU!P31</f>
        <v>9</v>
      </c>
      <c r="F19" s="510"/>
      <c r="G19" s="510"/>
      <c r="H19" s="518">
        <f>THU!K31</f>
        <v>387.29999999999995</v>
      </c>
      <c r="I19" s="518"/>
      <c r="J19" s="518"/>
      <c r="K19" s="518"/>
      <c r="L19" s="509">
        <f>THU!P32</f>
        <v>0.1508588789779145</v>
      </c>
      <c r="M19" s="509"/>
      <c r="N19" s="509"/>
      <c r="O19" s="509"/>
      <c r="P19" s="509"/>
      <c r="Q19" s="594"/>
      <c r="R19" s="595"/>
      <c r="S19" s="595"/>
      <c r="T19" s="595"/>
      <c r="U19" s="596"/>
      <c r="V19" s="538"/>
      <c r="W19" s="539"/>
      <c r="X19" s="539"/>
      <c r="Y19" s="539"/>
      <c r="Z19" s="540"/>
      <c r="AA19" s="529"/>
      <c r="AB19" s="530"/>
      <c r="AC19" s="530"/>
      <c r="AD19" s="531"/>
    </row>
    <row r="20" spans="1:30" ht="20.100000000000001" customHeight="1">
      <c r="A20" s="697"/>
      <c r="B20" s="461" t="s">
        <v>20</v>
      </c>
      <c r="C20" s="462"/>
      <c r="D20" s="463"/>
      <c r="E20" s="461">
        <f>THU!Q31</f>
        <v>6</v>
      </c>
      <c r="F20" s="462"/>
      <c r="G20" s="463"/>
      <c r="H20" s="455">
        <f>THU!J31</f>
        <v>365</v>
      </c>
      <c r="I20" s="456"/>
      <c r="J20" s="456"/>
      <c r="K20" s="457"/>
      <c r="L20" s="511">
        <f>THU!Q32</f>
        <v>0.14217271062984457</v>
      </c>
      <c r="M20" s="512"/>
      <c r="N20" s="512"/>
      <c r="O20" s="512"/>
      <c r="P20" s="513"/>
      <c r="Q20" s="597"/>
      <c r="R20" s="598"/>
      <c r="S20" s="598"/>
      <c r="T20" s="598"/>
      <c r="U20" s="599"/>
      <c r="V20" s="541"/>
      <c r="W20" s="542"/>
      <c r="X20" s="542"/>
      <c r="Y20" s="542"/>
      <c r="Z20" s="543"/>
      <c r="AA20" s="532"/>
      <c r="AB20" s="533"/>
      <c r="AC20" s="533"/>
      <c r="AD20" s="534"/>
    </row>
    <row r="21" spans="1:30" ht="20.100000000000001" customHeight="1">
      <c r="A21" s="698"/>
      <c r="B21" s="461" t="s">
        <v>386</v>
      </c>
      <c r="C21" s="462"/>
      <c r="D21" s="463"/>
      <c r="E21" s="461">
        <f>THU!U16</f>
        <v>73.5</v>
      </c>
      <c r="F21" s="462"/>
      <c r="G21" s="463"/>
      <c r="H21" s="455" t="s">
        <v>387</v>
      </c>
      <c r="I21" s="456"/>
      <c r="J21" s="456"/>
      <c r="K21" s="457"/>
      <c r="L21" s="420">
        <f>THU!T2</f>
        <v>10</v>
      </c>
      <c r="M21" s="421"/>
      <c r="N21" s="421"/>
      <c r="O21" s="421"/>
      <c r="P21" s="422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>
      <c r="A22" s="699" t="s">
        <v>391</v>
      </c>
      <c r="B22" s="418" t="s">
        <v>384</v>
      </c>
      <c r="C22" s="418"/>
      <c r="D22" s="419"/>
      <c r="E22" s="419">
        <f>FRI!N31</f>
        <v>3</v>
      </c>
      <c r="F22" s="419"/>
      <c r="G22" s="419"/>
      <c r="H22" s="494">
        <f>FRI!S31</f>
        <v>255</v>
      </c>
      <c r="I22" s="494"/>
      <c r="J22" s="494"/>
      <c r="K22" s="494"/>
      <c r="L22" s="495">
        <f>FRI!N32</f>
        <v>0.18064607537546049</v>
      </c>
      <c r="M22" s="495"/>
      <c r="N22" s="495"/>
      <c r="O22" s="495"/>
      <c r="P22" s="495"/>
      <c r="Q22" s="473">
        <f>SUM(E22:G25)</f>
        <v>20</v>
      </c>
      <c r="R22" s="474"/>
      <c r="S22" s="474"/>
      <c r="T22" s="474"/>
      <c r="U22" s="475"/>
      <c r="V22" s="482">
        <f>SUM(H22:K25)</f>
        <v>481.6</v>
      </c>
      <c r="W22" s="483"/>
      <c r="X22" s="483"/>
      <c r="Y22" s="483"/>
      <c r="Z22" s="484"/>
      <c r="AA22" s="426">
        <f>V22/Q22</f>
        <v>24.080000000000002</v>
      </c>
      <c r="AB22" s="427"/>
      <c r="AC22" s="427"/>
      <c r="AD22" s="428"/>
    </row>
    <row r="23" spans="1:30" ht="20.100000000000001" customHeight="1">
      <c r="A23" s="700"/>
      <c r="B23" s="418" t="s">
        <v>385</v>
      </c>
      <c r="C23" s="418"/>
      <c r="D23" s="419"/>
      <c r="E23" s="419">
        <f>FRI!O31</f>
        <v>11</v>
      </c>
      <c r="F23" s="419"/>
      <c r="G23" s="419"/>
      <c r="H23" s="494">
        <f>FRI!IS32</f>
        <v>0</v>
      </c>
      <c r="I23" s="494"/>
      <c r="J23" s="494"/>
      <c r="K23" s="494"/>
      <c r="L23" s="495">
        <f>FRI!O32</f>
        <v>0.65882686313403238</v>
      </c>
      <c r="M23" s="495"/>
      <c r="N23" s="495"/>
      <c r="O23" s="495"/>
      <c r="P23" s="495"/>
      <c r="Q23" s="476"/>
      <c r="R23" s="477"/>
      <c r="S23" s="477"/>
      <c r="T23" s="477"/>
      <c r="U23" s="478"/>
      <c r="V23" s="485"/>
      <c r="W23" s="486"/>
      <c r="X23" s="486"/>
      <c r="Y23" s="486"/>
      <c r="Z23" s="487"/>
      <c r="AA23" s="429"/>
      <c r="AB23" s="430"/>
      <c r="AC23" s="430"/>
      <c r="AD23" s="431"/>
    </row>
    <row r="24" spans="1:30" ht="20.100000000000001" customHeight="1">
      <c r="A24" s="700"/>
      <c r="B24" s="418" t="s">
        <v>21</v>
      </c>
      <c r="C24" s="418"/>
      <c r="D24" s="419"/>
      <c r="E24" s="419">
        <f>FRI!P31</f>
        <v>4</v>
      </c>
      <c r="F24" s="419"/>
      <c r="G24" s="419"/>
      <c r="H24" s="494">
        <f>FRI!K31</f>
        <v>91.6</v>
      </c>
      <c r="I24" s="494"/>
      <c r="J24" s="494"/>
      <c r="K24" s="494"/>
      <c r="L24" s="495">
        <f>FRI!P32</f>
        <v>6.4890903938792863E-2</v>
      </c>
      <c r="M24" s="495"/>
      <c r="N24" s="495"/>
      <c r="O24" s="495"/>
      <c r="P24" s="495"/>
      <c r="Q24" s="476"/>
      <c r="R24" s="477"/>
      <c r="S24" s="477"/>
      <c r="T24" s="477"/>
      <c r="U24" s="478"/>
      <c r="V24" s="485"/>
      <c r="W24" s="486"/>
      <c r="X24" s="486"/>
      <c r="Y24" s="486"/>
      <c r="Z24" s="487"/>
      <c r="AA24" s="429"/>
      <c r="AB24" s="430"/>
      <c r="AC24" s="430"/>
      <c r="AD24" s="431"/>
    </row>
    <row r="25" spans="1:30" ht="20.100000000000001" customHeight="1">
      <c r="A25" s="700"/>
      <c r="B25" s="464" t="s">
        <v>20</v>
      </c>
      <c r="C25" s="465"/>
      <c r="D25" s="418"/>
      <c r="E25" s="464">
        <f>FRI!Q31</f>
        <v>2</v>
      </c>
      <c r="F25" s="465"/>
      <c r="G25" s="418"/>
      <c r="H25" s="458">
        <f>FRI!J31</f>
        <v>135</v>
      </c>
      <c r="I25" s="459"/>
      <c r="J25" s="459"/>
      <c r="K25" s="460"/>
      <c r="L25" s="470">
        <f>FRI!Q32</f>
        <v>9.5636157551714368E-2</v>
      </c>
      <c r="M25" s="471"/>
      <c r="N25" s="471"/>
      <c r="O25" s="471"/>
      <c r="P25" s="472"/>
      <c r="Q25" s="479"/>
      <c r="R25" s="480"/>
      <c r="S25" s="480"/>
      <c r="T25" s="480"/>
      <c r="U25" s="481"/>
      <c r="V25" s="488"/>
      <c r="W25" s="489"/>
      <c r="X25" s="489"/>
      <c r="Y25" s="489"/>
      <c r="Z25" s="490"/>
      <c r="AA25" s="432"/>
      <c r="AB25" s="433"/>
      <c r="AC25" s="433"/>
      <c r="AD25" s="434"/>
    </row>
    <row r="26" spans="1:30" ht="20.100000000000001" customHeight="1">
      <c r="A26" s="701"/>
      <c r="B26" s="464" t="s">
        <v>386</v>
      </c>
      <c r="C26" s="465"/>
      <c r="D26" s="418"/>
      <c r="E26" s="464">
        <f>FRI!U16</f>
        <v>52.5</v>
      </c>
      <c r="F26" s="465"/>
      <c r="G26" s="418"/>
      <c r="H26" s="458" t="s">
        <v>387</v>
      </c>
      <c r="I26" s="459"/>
      <c r="J26" s="459"/>
      <c r="K26" s="460"/>
      <c r="L26" s="423">
        <f>FRI!T2</f>
        <v>9</v>
      </c>
      <c r="M26" s="424"/>
      <c r="N26" s="424"/>
      <c r="O26" s="424"/>
      <c r="P26" s="425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>
      <c r="A27" s="702" t="s">
        <v>392</v>
      </c>
      <c r="B27" s="468" t="s">
        <v>384</v>
      </c>
      <c r="C27" s="468"/>
      <c r="D27" s="453"/>
      <c r="E27" s="453">
        <f>SAT!N31</f>
        <v>0</v>
      </c>
      <c r="F27" s="453"/>
      <c r="G27" s="453"/>
      <c r="H27" s="454">
        <f>SAT!S31</f>
        <v>0</v>
      </c>
      <c r="I27" s="454"/>
      <c r="J27" s="454"/>
      <c r="K27" s="454"/>
      <c r="L27" s="469" t="e">
        <f>SAT!N32</f>
        <v>#DIV/0!</v>
      </c>
      <c r="M27" s="469"/>
      <c r="N27" s="469"/>
      <c r="O27" s="469"/>
      <c r="P27" s="469"/>
      <c r="Q27" s="570">
        <f>SUM(E27:G30)</f>
        <v>0</v>
      </c>
      <c r="R27" s="571"/>
      <c r="S27" s="571"/>
      <c r="T27" s="571"/>
      <c r="U27" s="572"/>
      <c r="V27" s="444">
        <f>SUM(H27:K30)</f>
        <v>0</v>
      </c>
      <c r="W27" s="445"/>
      <c r="X27" s="445"/>
      <c r="Y27" s="445"/>
      <c r="Z27" s="446"/>
      <c r="AA27" s="435" t="e">
        <f>V27/Q27</f>
        <v>#DIV/0!</v>
      </c>
      <c r="AB27" s="436"/>
      <c r="AC27" s="436"/>
      <c r="AD27" s="437"/>
    </row>
    <row r="28" spans="1:30" ht="20.100000000000001" customHeight="1">
      <c r="A28" s="703"/>
      <c r="B28" s="468" t="s">
        <v>385</v>
      </c>
      <c r="C28" s="468"/>
      <c r="D28" s="453"/>
      <c r="E28" s="453">
        <f>SAT!O31</f>
        <v>0</v>
      </c>
      <c r="F28" s="453"/>
      <c r="G28" s="453"/>
      <c r="H28" s="454">
        <f>SAT!S32</f>
        <v>0</v>
      </c>
      <c r="I28" s="454"/>
      <c r="J28" s="454"/>
      <c r="K28" s="454"/>
      <c r="L28" s="469" t="e">
        <f>SAT!O32</f>
        <v>#DIV/0!</v>
      </c>
      <c r="M28" s="469"/>
      <c r="N28" s="469"/>
      <c r="O28" s="469"/>
      <c r="P28" s="469"/>
      <c r="Q28" s="573"/>
      <c r="R28" s="574"/>
      <c r="S28" s="574"/>
      <c r="T28" s="574"/>
      <c r="U28" s="575"/>
      <c r="V28" s="447"/>
      <c r="W28" s="448"/>
      <c r="X28" s="448"/>
      <c r="Y28" s="448"/>
      <c r="Z28" s="449"/>
      <c r="AA28" s="438"/>
      <c r="AB28" s="439"/>
      <c r="AC28" s="439"/>
      <c r="AD28" s="440"/>
    </row>
    <row r="29" spans="1:30" ht="20.100000000000001" customHeight="1">
      <c r="A29" s="703"/>
      <c r="B29" s="468" t="s">
        <v>21</v>
      </c>
      <c r="C29" s="468"/>
      <c r="D29" s="453"/>
      <c r="E29" s="453">
        <f>SAT!P31</f>
        <v>0</v>
      </c>
      <c r="F29" s="453"/>
      <c r="G29" s="453"/>
      <c r="H29" s="454">
        <f>SAT!K31</f>
        <v>0</v>
      </c>
      <c r="I29" s="454"/>
      <c r="J29" s="454"/>
      <c r="K29" s="454"/>
      <c r="L29" s="469" t="e">
        <f>SAT!P32</f>
        <v>#DIV/0!</v>
      </c>
      <c r="M29" s="469"/>
      <c r="N29" s="469"/>
      <c r="O29" s="469"/>
      <c r="P29" s="469"/>
      <c r="Q29" s="573"/>
      <c r="R29" s="574"/>
      <c r="S29" s="574"/>
      <c r="T29" s="574"/>
      <c r="U29" s="575"/>
      <c r="V29" s="447"/>
      <c r="W29" s="448"/>
      <c r="X29" s="448"/>
      <c r="Y29" s="448"/>
      <c r="Z29" s="449"/>
      <c r="AA29" s="438"/>
      <c r="AB29" s="439"/>
      <c r="AC29" s="439"/>
      <c r="AD29" s="440"/>
    </row>
    <row r="30" spans="1:30" ht="20.100000000000001" customHeight="1">
      <c r="A30" s="703"/>
      <c r="B30" s="466" t="s">
        <v>20</v>
      </c>
      <c r="C30" s="467"/>
      <c r="D30" s="468"/>
      <c r="E30" s="466">
        <f>SAT!Q31</f>
        <v>0</v>
      </c>
      <c r="F30" s="467"/>
      <c r="G30" s="468"/>
      <c r="H30" s="747">
        <f>SAT!J31</f>
        <v>0</v>
      </c>
      <c r="I30" s="748"/>
      <c r="J30" s="748"/>
      <c r="K30" s="749"/>
      <c r="L30" s="579" t="e">
        <f>SAT!Q32</f>
        <v>#DIV/0!</v>
      </c>
      <c r="M30" s="580"/>
      <c r="N30" s="580"/>
      <c r="O30" s="580"/>
      <c r="P30" s="581"/>
      <c r="Q30" s="576"/>
      <c r="R30" s="577"/>
      <c r="S30" s="577"/>
      <c r="T30" s="577"/>
      <c r="U30" s="578"/>
      <c r="V30" s="450"/>
      <c r="W30" s="451"/>
      <c r="X30" s="451"/>
      <c r="Y30" s="451"/>
      <c r="Z30" s="452"/>
      <c r="AA30" s="441"/>
      <c r="AB30" s="442"/>
      <c r="AC30" s="442"/>
      <c r="AD30" s="443"/>
    </row>
    <row r="31" spans="1:30" ht="20.100000000000001" customHeight="1">
      <c r="A31" s="704"/>
      <c r="B31" s="466" t="s">
        <v>386</v>
      </c>
      <c r="C31" s="467"/>
      <c r="D31" s="468"/>
      <c r="E31" s="466">
        <f>SAT!U16</f>
        <v>0</v>
      </c>
      <c r="F31" s="467"/>
      <c r="G31" s="468"/>
      <c r="H31" s="747" t="s">
        <v>387</v>
      </c>
      <c r="I31" s="748"/>
      <c r="J31" s="748"/>
      <c r="K31" s="749"/>
      <c r="L31" s="744">
        <f>SAT!T2</f>
        <v>0</v>
      </c>
      <c r="M31" s="745"/>
      <c r="N31" s="745"/>
      <c r="O31" s="745"/>
      <c r="P31" s="746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>
      <c r="A32" s="705" t="s">
        <v>393</v>
      </c>
      <c r="B32" s="389" t="s">
        <v>384</v>
      </c>
      <c r="C32" s="390"/>
      <c r="D32" s="390"/>
      <c r="E32" s="390">
        <f>SUN!N31</f>
        <v>4</v>
      </c>
      <c r="F32" s="390"/>
      <c r="G32" s="390"/>
      <c r="H32" s="415">
        <f>SUN!S31</f>
        <v>350</v>
      </c>
      <c r="I32" s="415"/>
      <c r="J32" s="415"/>
      <c r="K32" s="415"/>
      <c r="L32" s="416">
        <f>SUN!N32</f>
        <v>0.22532672374943669</v>
      </c>
      <c r="M32" s="416"/>
      <c r="N32" s="416"/>
      <c r="O32" s="416"/>
      <c r="P32" s="416"/>
      <c r="Q32" s="417">
        <f>SUM(E32:G35)</f>
        <v>17</v>
      </c>
      <c r="R32" s="417"/>
      <c r="S32" s="417"/>
      <c r="T32" s="417"/>
      <c r="U32" s="417"/>
      <c r="V32" s="388">
        <f>SUM(H32:K35)</f>
        <v>1553.3</v>
      </c>
      <c r="W32" s="388"/>
      <c r="X32" s="388"/>
      <c r="Y32" s="388"/>
      <c r="Z32" s="388"/>
      <c r="AA32" s="407">
        <f>V32/Q32</f>
        <v>91.370588235294122</v>
      </c>
      <c r="AB32" s="408"/>
      <c r="AC32" s="408"/>
      <c r="AD32" s="408"/>
    </row>
    <row r="33" spans="1:30" ht="20.100000000000001" customHeight="1">
      <c r="A33" s="706"/>
      <c r="B33" s="389" t="s">
        <v>385</v>
      </c>
      <c r="C33" s="390"/>
      <c r="D33" s="390"/>
      <c r="E33" s="390">
        <f>SUN!O31</f>
        <v>9</v>
      </c>
      <c r="F33" s="390"/>
      <c r="G33" s="390"/>
      <c r="H33" s="415">
        <f>SUN!S32</f>
        <v>970</v>
      </c>
      <c r="I33" s="415"/>
      <c r="J33" s="415"/>
      <c r="K33" s="415"/>
      <c r="L33" s="416">
        <f>SUN!O32</f>
        <v>0.62447692010558165</v>
      </c>
      <c r="M33" s="416"/>
      <c r="N33" s="416"/>
      <c r="O33" s="416"/>
      <c r="P33" s="416"/>
      <c r="Q33" s="417"/>
      <c r="R33" s="417"/>
      <c r="S33" s="417"/>
      <c r="T33" s="417"/>
      <c r="U33" s="417"/>
      <c r="V33" s="388"/>
      <c r="W33" s="388"/>
      <c r="X33" s="388"/>
      <c r="Y33" s="388"/>
      <c r="Z33" s="388"/>
      <c r="AA33" s="408"/>
      <c r="AB33" s="408"/>
      <c r="AC33" s="408"/>
      <c r="AD33" s="408"/>
    </row>
    <row r="34" spans="1:30" ht="20.100000000000001" customHeight="1">
      <c r="A34" s="706"/>
      <c r="B34" s="389" t="s">
        <v>21</v>
      </c>
      <c r="C34" s="390"/>
      <c r="D34" s="390"/>
      <c r="E34" s="390">
        <f>SUN!P31</f>
        <v>3</v>
      </c>
      <c r="F34" s="390"/>
      <c r="G34" s="390"/>
      <c r="H34" s="415">
        <f>SUN!K31</f>
        <v>183.3</v>
      </c>
      <c r="I34" s="415"/>
      <c r="J34" s="415"/>
      <c r="K34" s="415"/>
      <c r="L34" s="416">
        <f>SUN!P32</f>
        <v>0.11800682418077642</v>
      </c>
      <c r="M34" s="416"/>
      <c r="N34" s="416"/>
      <c r="O34" s="416"/>
      <c r="P34" s="416"/>
      <c r="Q34" s="417"/>
      <c r="R34" s="417"/>
      <c r="S34" s="417"/>
      <c r="T34" s="417"/>
      <c r="U34" s="417"/>
      <c r="V34" s="388"/>
      <c r="W34" s="388"/>
      <c r="X34" s="388"/>
      <c r="Y34" s="388"/>
      <c r="Z34" s="388"/>
      <c r="AA34" s="408"/>
      <c r="AB34" s="408"/>
      <c r="AC34" s="408"/>
      <c r="AD34" s="408"/>
    </row>
    <row r="35" spans="1:30" ht="20.100000000000001" customHeight="1">
      <c r="A35" s="706"/>
      <c r="B35" s="389" t="s">
        <v>20</v>
      </c>
      <c r="C35" s="390"/>
      <c r="D35" s="390"/>
      <c r="E35" s="390">
        <f>SUN!Q31</f>
        <v>1</v>
      </c>
      <c r="F35" s="390"/>
      <c r="G35" s="390"/>
      <c r="H35" s="415">
        <f>SUN!J31</f>
        <v>50</v>
      </c>
      <c r="I35" s="415"/>
      <c r="J35" s="415"/>
      <c r="K35" s="415"/>
      <c r="L35" s="416">
        <f>SUN!Q32</f>
        <v>3.2189531964205244E-2</v>
      </c>
      <c r="M35" s="416"/>
      <c r="N35" s="416"/>
      <c r="O35" s="416"/>
      <c r="P35" s="416"/>
      <c r="Q35" s="417"/>
      <c r="R35" s="417"/>
      <c r="S35" s="417"/>
      <c r="T35" s="417"/>
      <c r="U35" s="417"/>
      <c r="V35" s="388"/>
      <c r="W35" s="388"/>
      <c r="X35" s="388"/>
      <c r="Y35" s="388"/>
      <c r="Z35" s="388"/>
      <c r="AA35" s="408"/>
      <c r="AB35" s="408"/>
      <c r="AC35" s="408"/>
      <c r="AD35" s="408"/>
    </row>
    <row r="36" spans="1:30" ht="20.100000000000001" customHeight="1" thickBot="1">
      <c r="A36" s="707"/>
      <c r="B36" s="393" t="s">
        <v>386</v>
      </c>
      <c r="C36" s="394"/>
      <c r="D36" s="395"/>
      <c r="E36" s="393">
        <f>SUN!U16</f>
        <v>56.25</v>
      </c>
      <c r="F36" s="394"/>
      <c r="G36" s="395"/>
      <c r="H36" s="393" t="s">
        <v>387</v>
      </c>
      <c r="I36" s="394"/>
      <c r="J36" s="394"/>
      <c r="K36" s="395"/>
      <c r="L36" s="409">
        <f>SUN!T2</f>
        <v>9</v>
      </c>
      <c r="M36" s="410"/>
      <c r="N36" s="410"/>
      <c r="O36" s="410"/>
      <c r="P36" s="411"/>
      <c r="Q36" s="412"/>
      <c r="R36" s="413"/>
      <c r="S36" s="413"/>
      <c r="T36" s="413"/>
      <c r="U36" s="414"/>
      <c r="V36" s="396"/>
      <c r="W36" s="397"/>
      <c r="X36" s="397"/>
      <c r="Y36" s="397"/>
      <c r="Z36" s="398"/>
      <c r="AA36" s="399"/>
      <c r="AB36" s="400"/>
      <c r="AC36" s="400"/>
      <c r="AD36" s="401"/>
    </row>
    <row r="37" spans="1:30" ht="16.5" customHeight="1">
      <c r="A37" s="379" t="s">
        <v>394</v>
      </c>
      <c r="B37" s="380"/>
      <c r="C37" s="380"/>
      <c r="D37" s="380"/>
      <c r="E37" s="380" t="s">
        <v>130</v>
      </c>
      <c r="F37" s="380"/>
      <c r="G37" s="380"/>
      <c r="H37" s="380"/>
      <c r="I37" s="380"/>
      <c r="J37" s="380"/>
      <c r="K37" s="380" t="s">
        <v>382</v>
      </c>
      <c r="L37" s="380"/>
      <c r="M37" s="380"/>
      <c r="N37" s="380"/>
      <c r="O37" s="380" t="s">
        <v>20</v>
      </c>
      <c r="P37" s="380"/>
      <c r="Q37" s="380"/>
      <c r="R37" s="380"/>
      <c r="S37" s="380"/>
      <c r="T37" s="380" t="s">
        <v>21</v>
      </c>
      <c r="U37" s="380"/>
      <c r="V37" s="380"/>
      <c r="W37" s="380"/>
      <c r="X37" s="380"/>
      <c r="Y37" s="380" t="s">
        <v>395</v>
      </c>
      <c r="Z37" s="380"/>
      <c r="AA37" s="380"/>
      <c r="AB37" s="380"/>
      <c r="AC37" s="380"/>
      <c r="AD37" s="391"/>
    </row>
    <row r="38" spans="1:30" ht="16.5" customHeight="1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92"/>
    </row>
    <row r="39" spans="1:30" ht="16.5" customHeight="1">
      <c r="A39" s="383">
        <f>SUM(Q2:U35)</f>
        <v>131</v>
      </c>
      <c r="B39" s="384"/>
      <c r="C39" s="384"/>
      <c r="D39" s="384"/>
      <c r="E39" s="387">
        <f>SUM(V2:Z35)</f>
        <v>12011.300000000001</v>
      </c>
      <c r="F39" s="384"/>
      <c r="G39" s="384"/>
      <c r="H39" s="384"/>
      <c r="I39" s="384"/>
      <c r="J39" s="384"/>
      <c r="K39" s="387">
        <f>E39/A39</f>
        <v>91.689312977099249</v>
      </c>
      <c r="L39" s="384"/>
      <c r="M39" s="384"/>
      <c r="N39" s="384"/>
      <c r="O39" s="384">
        <f>SUM(MON:SUN!Q31)</f>
        <v>14</v>
      </c>
      <c r="P39" s="384"/>
      <c r="Q39" s="384"/>
      <c r="R39" s="384"/>
      <c r="S39" s="384"/>
      <c r="T39" s="384">
        <f>SUM(MON:SUN!P31)</f>
        <v>22</v>
      </c>
      <c r="U39" s="384"/>
      <c r="V39" s="384"/>
      <c r="W39" s="384"/>
      <c r="X39" s="384"/>
      <c r="Y39" s="384">
        <f>SUM(MON:SUN!S19)</f>
        <v>3</v>
      </c>
      <c r="Z39" s="384"/>
      <c r="AA39" s="384"/>
      <c r="AB39" s="384"/>
      <c r="AC39" s="384"/>
      <c r="AD39" s="404"/>
    </row>
    <row r="40" spans="1:30" ht="16.5" customHeight="1">
      <c r="A40" s="383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404"/>
    </row>
    <row r="41" spans="1:30" ht="16.5" customHeight="1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402">
        <f>SUM(MON:SUN!J31)</f>
        <v>820</v>
      </c>
      <c r="P41" s="402"/>
      <c r="Q41" s="402"/>
      <c r="R41" s="402"/>
      <c r="S41" s="402"/>
      <c r="T41" s="402">
        <f>SUM(MON:SUN!K31)</f>
        <v>916.3</v>
      </c>
      <c r="U41" s="402"/>
      <c r="V41" s="402"/>
      <c r="W41" s="402"/>
      <c r="X41" s="402"/>
      <c r="Y41" s="402">
        <f>SUM(MON:SUN!T19)</f>
        <v>1975</v>
      </c>
      <c r="Z41" s="402"/>
      <c r="AA41" s="402"/>
      <c r="AB41" s="402"/>
      <c r="AC41" s="402"/>
      <c r="AD41" s="405"/>
    </row>
    <row r="42" spans="1:30" ht="16.5" customHeight="1" thickBot="1">
      <c r="A42" s="385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6"/>
    </row>
    <row r="43" spans="1:30" ht="17.45" customHeight="1">
      <c r="A43" s="662" t="s">
        <v>396</v>
      </c>
      <c r="B43" s="663"/>
      <c r="C43" s="663"/>
      <c r="D43" s="663"/>
      <c r="E43" s="664"/>
      <c r="F43" s="662" t="s">
        <v>397</v>
      </c>
      <c r="G43" s="663"/>
      <c r="H43" s="663"/>
      <c r="I43" s="663"/>
      <c r="J43" s="664"/>
      <c r="K43" s="662" t="s">
        <v>398</v>
      </c>
      <c r="L43" s="663"/>
      <c r="M43" s="663"/>
      <c r="N43" s="663"/>
      <c r="O43" s="664"/>
      <c r="P43" s="662" t="s">
        <v>399</v>
      </c>
      <c r="Q43" s="663"/>
      <c r="R43" s="663"/>
      <c r="S43" s="663"/>
      <c r="T43" s="664"/>
      <c r="U43" s="662" t="s">
        <v>400</v>
      </c>
      <c r="V43" s="663"/>
      <c r="W43" s="663"/>
      <c r="X43" s="663"/>
      <c r="Y43" s="664"/>
      <c r="Z43" s="668" t="s">
        <v>387</v>
      </c>
      <c r="AA43" s="669"/>
      <c r="AB43" s="669"/>
      <c r="AC43" s="669"/>
      <c r="AD43" s="670"/>
    </row>
    <row r="44" spans="1:30" ht="17.45" customHeight="1">
      <c r="A44" s="665"/>
      <c r="B44" s="666"/>
      <c r="C44" s="666"/>
      <c r="D44" s="666"/>
      <c r="E44" s="667"/>
      <c r="F44" s="665"/>
      <c r="G44" s="666"/>
      <c r="H44" s="666"/>
      <c r="I44" s="666"/>
      <c r="J44" s="667"/>
      <c r="K44" s="665"/>
      <c r="L44" s="666"/>
      <c r="M44" s="666"/>
      <c r="N44" s="666"/>
      <c r="O44" s="667"/>
      <c r="P44" s="665"/>
      <c r="Q44" s="666"/>
      <c r="R44" s="666"/>
      <c r="S44" s="666"/>
      <c r="T44" s="667"/>
      <c r="U44" s="665"/>
      <c r="V44" s="666"/>
      <c r="W44" s="666"/>
      <c r="X44" s="666"/>
      <c r="Y44" s="667"/>
      <c r="Z44" s="671"/>
      <c r="AA44" s="672"/>
      <c r="AB44" s="672"/>
      <c r="AC44" s="672"/>
      <c r="AD44" s="673"/>
    </row>
    <row r="45" spans="1:30">
      <c r="A45" s="674">
        <f>SUM(H2,H7,H12,H17,H22,H27,H32)</f>
        <v>2510</v>
      </c>
      <c r="B45" s="675"/>
      <c r="C45" s="675"/>
      <c r="D45" s="675"/>
      <c r="E45" s="676"/>
      <c r="F45" s="674">
        <f>SUM(,H3,H8,H13,H18,H23,H28,H33)</f>
        <v>7765</v>
      </c>
      <c r="G45" s="675"/>
      <c r="H45" s="675"/>
      <c r="I45" s="675"/>
      <c r="J45" s="676"/>
      <c r="K45" s="674">
        <f>SUM(H5,H10,H15,H20,H25,H30,H35)</f>
        <v>820</v>
      </c>
      <c r="L45" s="675"/>
      <c r="M45" s="675"/>
      <c r="N45" s="675"/>
      <c r="O45" s="676"/>
      <c r="P45" s="674">
        <f>SUM(H4,H9,H14,H19,H24,H29,H34)</f>
        <v>916.3</v>
      </c>
      <c r="Q45" s="675"/>
      <c r="R45" s="675"/>
      <c r="S45" s="675"/>
      <c r="T45" s="676"/>
      <c r="U45" s="683">
        <f>SUM(E6,E11,E16,E21,E26,E31,E36)</f>
        <v>334.75</v>
      </c>
      <c r="V45" s="675"/>
      <c r="W45" s="675"/>
      <c r="X45" s="675"/>
      <c r="Y45" s="676"/>
      <c r="Z45" s="683">
        <f>SUM(L6,L11,L16,L21,L26,L31,L36)</f>
        <v>49</v>
      </c>
      <c r="AA45" s="675"/>
      <c r="AB45" s="675"/>
      <c r="AC45" s="675"/>
      <c r="AD45" s="684"/>
    </row>
    <row r="46" spans="1:30">
      <c r="A46" s="677"/>
      <c r="B46" s="678"/>
      <c r="C46" s="678"/>
      <c r="D46" s="678"/>
      <c r="E46" s="679"/>
      <c r="F46" s="677"/>
      <c r="G46" s="678"/>
      <c r="H46" s="678"/>
      <c r="I46" s="678"/>
      <c r="J46" s="679"/>
      <c r="K46" s="677"/>
      <c r="L46" s="678"/>
      <c r="M46" s="678"/>
      <c r="N46" s="678"/>
      <c r="O46" s="679"/>
      <c r="P46" s="677"/>
      <c r="Q46" s="678"/>
      <c r="R46" s="678"/>
      <c r="S46" s="678"/>
      <c r="T46" s="679"/>
      <c r="U46" s="677"/>
      <c r="V46" s="678"/>
      <c r="W46" s="678"/>
      <c r="X46" s="678"/>
      <c r="Y46" s="679"/>
      <c r="Z46" s="677"/>
      <c r="AA46" s="678"/>
      <c r="AB46" s="678"/>
      <c r="AC46" s="678"/>
      <c r="AD46" s="685"/>
    </row>
    <row r="47" spans="1:30">
      <c r="A47" s="677"/>
      <c r="B47" s="678"/>
      <c r="C47" s="678"/>
      <c r="D47" s="678"/>
      <c r="E47" s="679"/>
      <c r="F47" s="677"/>
      <c r="G47" s="678"/>
      <c r="H47" s="678"/>
      <c r="I47" s="678"/>
      <c r="J47" s="679"/>
      <c r="K47" s="677"/>
      <c r="L47" s="678"/>
      <c r="M47" s="678"/>
      <c r="N47" s="678"/>
      <c r="O47" s="679"/>
      <c r="P47" s="677"/>
      <c r="Q47" s="678"/>
      <c r="R47" s="678"/>
      <c r="S47" s="678"/>
      <c r="T47" s="679"/>
      <c r="U47" s="677"/>
      <c r="V47" s="678"/>
      <c r="W47" s="678"/>
      <c r="X47" s="678"/>
      <c r="Y47" s="679"/>
      <c r="Z47" s="677"/>
      <c r="AA47" s="678"/>
      <c r="AB47" s="678"/>
      <c r="AC47" s="678"/>
      <c r="AD47" s="685"/>
    </row>
    <row r="48" spans="1:30" ht="17.25" thickBot="1">
      <c r="A48" s="680"/>
      <c r="B48" s="681"/>
      <c r="C48" s="681"/>
      <c r="D48" s="681"/>
      <c r="E48" s="682"/>
      <c r="F48" s="680"/>
      <c r="G48" s="681"/>
      <c r="H48" s="681"/>
      <c r="I48" s="681"/>
      <c r="J48" s="682"/>
      <c r="K48" s="680"/>
      <c r="L48" s="681"/>
      <c r="M48" s="681"/>
      <c r="N48" s="681"/>
      <c r="O48" s="682"/>
      <c r="P48" s="680"/>
      <c r="Q48" s="681"/>
      <c r="R48" s="681"/>
      <c r="S48" s="681"/>
      <c r="T48" s="682"/>
      <c r="U48" s="680"/>
      <c r="V48" s="681"/>
      <c r="W48" s="681"/>
      <c r="X48" s="681"/>
      <c r="Y48" s="682"/>
      <c r="Z48" s="680"/>
      <c r="AA48" s="681"/>
      <c r="AB48" s="681"/>
      <c r="AC48" s="681"/>
      <c r="AD48" s="686"/>
    </row>
    <row r="49" spans="1:30" ht="17.45" customHeight="1">
      <c r="A49" s="644">
        <f>A45/E39</f>
        <v>0.20896988669003352</v>
      </c>
      <c r="B49" s="645"/>
      <c r="C49" s="645"/>
      <c r="D49" s="645"/>
      <c r="E49" s="646"/>
      <c r="F49" s="644">
        <f>F45/E39</f>
        <v>0.64647456978012363</v>
      </c>
      <c r="G49" s="645"/>
      <c r="H49" s="645"/>
      <c r="I49" s="645"/>
      <c r="J49" s="646"/>
      <c r="K49" s="644">
        <f>K45/E39</f>
        <v>6.8269046647740042E-2</v>
      </c>
      <c r="L49" s="645"/>
      <c r="M49" s="645"/>
      <c r="N49" s="645"/>
      <c r="O49" s="646"/>
      <c r="P49" s="644">
        <f>P45/E39</f>
        <v>7.6286496882102678E-2</v>
      </c>
      <c r="Q49" s="645"/>
      <c r="R49" s="645"/>
      <c r="S49" s="645"/>
      <c r="T49" s="646"/>
      <c r="U49" s="653">
        <f>U45/7</f>
        <v>47.821428571428569</v>
      </c>
      <c r="V49" s="654"/>
      <c r="W49" s="654"/>
      <c r="X49" s="654"/>
      <c r="Y49" s="655"/>
      <c r="Z49" s="653">
        <f>U45/Z45</f>
        <v>6.8316326530612246</v>
      </c>
      <c r="AA49" s="654"/>
      <c r="AB49" s="654"/>
      <c r="AC49" s="654"/>
      <c r="AD49" s="655"/>
    </row>
    <row r="50" spans="1:30" ht="17.45" customHeight="1">
      <c r="A50" s="647"/>
      <c r="B50" s="648"/>
      <c r="C50" s="648"/>
      <c r="D50" s="648"/>
      <c r="E50" s="649"/>
      <c r="F50" s="647"/>
      <c r="G50" s="648"/>
      <c r="H50" s="648"/>
      <c r="I50" s="648"/>
      <c r="J50" s="649"/>
      <c r="K50" s="647"/>
      <c r="L50" s="648"/>
      <c r="M50" s="648"/>
      <c r="N50" s="648"/>
      <c r="O50" s="649"/>
      <c r="P50" s="647"/>
      <c r="Q50" s="648"/>
      <c r="R50" s="648"/>
      <c r="S50" s="648"/>
      <c r="T50" s="649"/>
      <c r="U50" s="656"/>
      <c r="V50" s="657"/>
      <c r="W50" s="657"/>
      <c r="X50" s="657"/>
      <c r="Y50" s="658"/>
      <c r="Z50" s="656"/>
      <c r="AA50" s="657"/>
      <c r="AB50" s="657"/>
      <c r="AC50" s="657"/>
      <c r="AD50" s="658"/>
    </row>
    <row r="51" spans="1:30" ht="17.45" customHeight="1">
      <c r="A51" s="647"/>
      <c r="B51" s="648"/>
      <c r="C51" s="648"/>
      <c r="D51" s="648"/>
      <c r="E51" s="649"/>
      <c r="F51" s="647"/>
      <c r="G51" s="648"/>
      <c r="H51" s="648"/>
      <c r="I51" s="648"/>
      <c r="J51" s="649"/>
      <c r="K51" s="647"/>
      <c r="L51" s="648"/>
      <c r="M51" s="648"/>
      <c r="N51" s="648"/>
      <c r="O51" s="649"/>
      <c r="P51" s="647"/>
      <c r="Q51" s="648"/>
      <c r="R51" s="648"/>
      <c r="S51" s="648"/>
      <c r="T51" s="649"/>
      <c r="U51" s="656"/>
      <c r="V51" s="657"/>
      <c r="W51" s="657"/>
      <c r="X51" s="657"/>
      <c r="Y51" s="658"/>
      <c r="Z51" s="656"/>
      <c r="AA51" s="657"/>
      <c r="AB51" s="657"/>
      <c r="AC51" s="657"/>
      <c r="AD51" s="658"/>
    </row>
    <row r="52" spans="1:30" ht="18" customHeight="1" thickBot="1">
      <c r="A52" s="650"/>
      <c r="B52" s="651"/>
      <c r="C52" s="651"/>
      <c r="D52" s="651"/>
      <c r="E52" s="652"/>
      <c r="F52" s="650"/>
      <c r="G52" s="651"/>
      <c r="H52" s="651"/>
      <c r="I52" s="651"/>
      <c r="J52" s="652"/>
      <c r="K52" s="650"/>
      <c r="L52" s="651"/>
      <c r="M52" s="651"/>
      <c r="N52" s="651"/>
      <c r="O52" s="652"/>
      <c r="P52" s="650"/>
      <c r="Q52" s="651"/>
      <c r="R52" s="651"/>
      <c r="S52" s="651"/>
      <c r="T52" s="652"/>
      <c r="U52" s="659"/>
      <c r="V52" s="660"/>
      <c r="W52" s="660"/>
      <c r="X52" s="660"/>
      <c r="Y52" s="661"/>
      <c r="Z52" s="659"/>
      <c r="AA52" s="660"/>
      <c r="AB52" s="660"/>
      <c r="AC52" s="660"/>
      <c r="AD52" s="661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93b5cd7e627c33e8896147082011277b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13fcd0e85c8f2995ac527c740fd46298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F877B9-7238-4CA2-A764-F901B754C7AB}"/>
</file>

<file path=customXml/itemProps2.xml><?xml version="1.0" encoding="utf-8"?>
<ds:datastoreItem xmlns:ds="http://schemas.openxmlformats.org/officeDocument/2006/customXml" ds:itemID="{1C53B137-8E62-4D94-8A20-7A51053F0DFB}"/>
</file>

<file path=customXml/itemProps3.xml><?xml version="1.0" encoding="utf-8"?>
<ds:datastoreItem xmlns:ds="http://schemas.openxmlformats.org/officeDocument/2006/customXml" ds:itemID="{299C85D0-BB97-45D6-BF38-764D1A52D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Chatswood Chase</cp:lastModifiedBy>
  <cp:revision/>
  <dcterms:created xsi:type="dcterms:W3CDTF">2011-11-24T03:16:40Z</dcterms:created>
  <dcterms:modified xsi:type="dcterms:W3CDTF">2026-01-13T03:28:17Z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  <property fmtid="{D5CDD505-2E9C-101B-9397-08002B2CF9AE}" pid="3" name="MediaServiceImageTags">
    <vt:lpwstr/>
  </property>
</Properties>
</file>