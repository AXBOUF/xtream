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wonst\Downloads\"/>
    </mc:Choice>
  </mc:AlternateContent>
  <xr:revisionPtr revIDLastSave="0" documentId="13_ncr:1_{A4BF550E-2613-40E6-A5D5-CF89CCF02DD4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2" i="8" l="1"/>
  <c r="V27" i="8"/>
  <c r="V22" i="8"/>
  <c r="V17" i="8"/>
  <c r="V12" i="8"/>
  <c r="V7" i="8"/>
  <c r="V2" i="8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J61" i="2"/>
  <c r="K60" i="2"/>
  <c r="J60" i="2"/>
  <c r="J62" i="2" s="1"/>
  <c r="K59" i="2"/>
  <c r="J59" i="2"/>
  <c r="K58" i="2"/>
  <c r="J58" i="2"/>
  <c r="K57" i="2"/>
  <c r="K62" i="2" s="1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0" i="2"/>
  <c r="M31" i="2" s="1"/>
  <c r="L30" i="2"/>
  <c r="L31" i="2" s="1"/>
  <c r="I30" i="2"/>
  <c r="I31" i="2" s="1"/>
  <c r="Z32" i="2" s="1"/>
  <c r="H30" i="2"/>
  <c r="H31" i="2" s="1"/>
  <c r="K29" i="2"/>
  <c r="J29" i="2"/>
  <c r="K28" i="2"/>
  <c r="J28" i="2"/>
  <c r="K27" i="2"/>
  <c r="J27" i="2"/>
  <c r="K26" i="2"/>
  <c r="J26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P22" i="2"/>
  <c r="AF25" i="2" s="1"/>
  <c r="AG22" i="2"/>
  <c r="AH25" i="2" s="1"/>
  <c r="AF22" i="2"/>
  <c r="AG25" i="2" s="1"/>
  <c r="AE22" i="2"/>
  <c r="AE25" i="2" s="1"/>
  <c r="K22" i="2"/>
  <c r="J22" i="2"/>
  <c r="K21" i="2"/>
  <c r="J21" i="2"/>
  <c r="K20" i="2"/>
  <c r="J20" i="2"/>
  <c r="T19" i="2"/>
  <c r="S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J62" i="1" s="1"/>
  <c r="K60" i="1"/>
  <c r="J60" i="1"/>
  <c r="K59" i="1"/>
  <c r="J59" i="1"/>
  <c r="K58" i="1"/>
  <c r="J58" i="1"/>
  <c r="K57" i="1"/>
  <c r="K62" i="1" s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0" i="1"/>
  <c r="M31" i="1" s="1"/>
  <c r="L30" i="1"/>
  <c r="L31" i="1" s="1"/>
  <c r="I30" i="1"/>
  <c r="I31" i="1" s="1"/>
  <c r="Z32" i="1" s="1"/>
  <c r="Z33" i="1" s="1"/>
  <c r="H30" i="1"/>
  <c r="H31" i="1" s="1"/>
  <c r="K29" i="1"/>
  <c r="J29" i="1"/>
  <c r="K28" i="1"/>
  <c r="J28" i="1"/>
  <c r="K27" i="1"/>
  <c r="J27" i="1"/>
  <c r="K26" i="1"/>
  <c r="J26" i="1"/>
  <c r="AF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P22" i="1"/>
  <c r="AG22" i="1"/>
  <c r="AH25" i="1" s="1"/>
  <c r="AF22" i="1"/>
  <c r="AG25" i="1" s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J61" i="3"/>
  <c r="J62" i="3" s="1"/>
  <c r="K60" i="3"/>
  <c r="J60" i="3"/>
  <c r="K59" i="3"/>
  <c r="K62" i="3" s="1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0" i="3"/>
  <c r="M31" i="3" s="1"/>
  <c r="L30" i="3"/>
  <c r="L31" i="3" s="1"/>
  <c r="I30" i="3"/>
  <c r="H30" i="3"/>
  <c r="H31" i="3" s="1"/>
  <c r="K29" i="3"/>
  <c r="J29" i="3"/>
  <c r="K28" i="3"/>
  <c r="J28" i="3"/>
  <c r="K27" i="3"/>
  <c r="J27" i="3"/>
  <c r="K26" i="3"/>
  <c r="J26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P22" i="3"/>
  <c r="AF25" i="3" s="1"/>
  <c r="AG22" i="3"/>
  <c r="AH25" i="3" s="1"/>
  <c r="AF22" i="3"/>
  <c r="AG25" i="3" s="1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U7" i="3"/>
  <c r="K7" i="3"/>
  <c r="J7" i="3"/>
  <c r="U6" i="3"/>
  <c r="J6" i="3"/>
  <c r="U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J61" i="4"/>
  <c r="J62" i="4" s="1"/>
  <c r="K60" i="4"/>
  <c r="J60" i="4"/>
  <c r="K59" i="4"/>
  <c r="J59" i="4"/>
  <c r="K58" i="4"/>
  <c r="J58" i="4"/>
  <c r="K57" i="4"/>
  <c r="K62" i="4" s="1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0" i="4"/>
  <c r="M31" i="4" s="1"/>
  <c r="L30" i="4"/>
  <c r="L31" i="4" s="1"/>
  <c r="I30" i="4"/>
  <c r="I31" i="4" s="1"/>
  <c r="Z32" i="4" s="1"/>
  <c r="H30" i="4"/>
  <c r="H31" i="4" s="1"/>
  <c r="K29" i="4"/>
  <c r="J29" i="4"/>
  <c r="K28" i="4"/>
  <c r="J28" i="4"/>
  <c r="K27" i="4"/>
  <c r="J27" i="4"/>
  <c r="K26" i="4"/>
  <c r="J26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P22" i="4"/>
  <c r="AF25" i="4" s="1"/>
  <c r="AG22" i="4"/>
  <c r="AH25" i="4" s="1"/>
  <c r="AF22" i="4"/>
  <c r="AG25" i="4" s="1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J61" i="5"/>
  <c r="J62" i="5" s="1"/>
  <c r="K60" i="5"/>
  <c r="J60" i="5"/>
  <c r="K59" i="5"/>
  <c r="K62" i="5" s="1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H31" i="5"/>
  <c r="M30" i="5"/>
  <c r="M31" i="5" s="1"/>
  <c r="L30" i="5"/>
  <c r="L31" i="5" s="1"/>
  <c r="I30" i="5"/>
  <c r="I31" i="5" s="1"/>
  <c r="Z32" i="5" s="1"/>
  <c r="Z33" i="5" s="1"/>
  <c r="H30" i="5"/>
  <c r="K29" i="5"/>
  <c r="J29" i="5"/>
  <c r="K28" i="5"/>
  <c r="J28" i="5"/>
  <c r="K27" i="5"/>
  <c r="J27" i="5"/>
  <c r="K26" i="5"/>
  <c r="J26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P22" i="5"/>
  <c r="AF25" i="5" s="1"/>
  <c r="AG22" i="5"/>
  <c r="AH25" i="5" s="1"/>
  <c r="AF22" i="5"/>
  <c r="AG25" i="5" s="1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30" i="5"/>
  <c r="M94" i="6"/>
  <c r="L94" i="6"/>
  <c r="I94" i="6"/>
  <c r="H94" i="6"/>
  <c r="K93" i="6"/>
  <c r="J93" i="6"/>
  <c r="J94" i="6" s="1"/>
  <c r="K92" i="6"/>
  <c r="K94" i="6" s="1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T66" i="6"/>
  <c r="M62" i="6"/>
  <c r="L62" i="6"/>
  <c r="I62" i="6"/>
  <c r="H62" i="6"/>
  <c r="K61" i="6"/>
  <c r="J61" i="6"/>
  <c r="J62" i="6" s="1"/>
  <c r="K60" i="6"/>
  <c r="J60" i="6"/>
  <c r="K59" i="6"/>
  <c r="K62" i="6" s="1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H31" i="6"/>
  <c r="M30" i="6"/>
  <c r="M31" i="6" s="1"/>
  <c r="L30" i="6"/>
  <c r="L31" i="6" s="1"/>
  <c r="I30" i="6"/>
  <c r="I31" i="6" s="1"/>
  <c r="Z32" i="6" s="1"/>
  <c r="Z33" i="6" s="1"/>
  <c r="H30" i="6"/>
  <c r="K29" i="6"/>
  <c r="J29" i="6"/>
  <c r="K28" i="6"/>
  <c r="J28" i="6"/>
  <c r="K27" i="6"/>
  <c r="J27" i="6"/>
  <c r="K26" i="6"/>
  <c r="J26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P22" i="6"/>
  <c r="AF25" i="6" s="1"/>
  <c r="AG22" i="6"/>
  <c r="AH25" i="6" s="1"/>
  <c r="AF22" i="6"/>
  <c r="AG25" i="6" s="1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8" i="7"/>
  <c r="J7" i="7"/>
  <c r="J6" i="7"/>
  <c r="J5" i="7"/>
  <c r="M94" i="7"/>
  <c r="L94" i="7"/>
  <c r="I94" i="7"/>
  <c r="H94" i="7"/>
  <c r="K93" i="7"/>
  <c r="K94" i="7" s="1"/>
  <c r="J94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J62" i="7"/>
  <c r="K59" i="7"/>
  <c r="K58" i="7"/>
  <c r="K57" i="7"/>
  <c r="K62" i="7" s="1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A34" i="7"/>
  <c r="A66" i="7" s="1"/>
  <c r="H32" i="7"/>
  <c r="Z31" i="7"/>
  <c r="Q31" i="7"/>
  <c r="P31" i="7"/>
  <c r="O31" i="7"/>
  <c r="N31" i="7"/>
  <c r="I31" i="7"/>
  <c r="Z32" i="7" s="1"/>
  <c r="Z33" i="7" s="1"/>
  <c r="M30" i="7"/>
  <c r="M31" i="7" s="1"/>
  <c r="L30" i="7"/>
  <c r="L31" i="7" s="1"/>
  <c r="I30" i="7"/>
  <c r="H30" i="7"/>
  <c r="H31" i="7" s="1"/>
  <c r="K29" i="7"/>
  <c r="K28" i="7"/>
  <c r="K27" i="7"/>
  <c r="K26" i="7"/>
  <c r="T25" i="7"/>
  <c r="T26" i="7" s="1"/>
  <c r="S25" i="7"/>
  <c r="S26" i="7" s="1"/>
  <c r="R25" i="7"/>
  <c r="R26" i="7" s="1"/>
  <c r="K25" i="7"/>
  <c r="K24" i="7"/>
  <c r="K23" i="7"/>
  <c r="AR22" i="7"/>
  <c r="AQ22" i="7"/>
  <c r="AP22" i="7"/>
  <c r="AF25" i="7" s="1"/>
  <c r="AG22" i="7"/>
  <c r="AH25" i="7" s="1"/>
  <c r="AF22" i="7"/>
  <c r="AG25" i="7" s="1"/>
  <c r="AE22" i="7"/>
  <c r="AE25" i="7" s="1"/>
  <c r="K22" i="7"/>
  <c r="K21" i="7"/>
  <c r="K20" i="7"/>
  <c r="T19" i="7"/>
  <c r="S19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U9" i="7"/>
  <c r="K9" i="7"/>
  <c r="U8" i="7"/>
  <c r="K8" i="7"/>
  <c r="U7" i="7"/>
  <c r="K7" i="7"/>
  <c r="U6" i="7"/>
  <c r="U5" i="7"/>
  <c r="K5" i="7"/>
  <c r="U16" i="2" l="1"/>
  <c r="S16" i="2" s="1"/>
  <c r="K30" i="2"/>
  <c r="K31" i="2" s="1"/>
  <c r="H34" i="8" s="1"/>
  <c r="J30" i="2"/>
  <c r="J31" i="2" s="1"/>
  <c r="H35" i="8" s="1"/>
  <c r="U16" i="1"/>
  <c r="S16" i="1" s="1"/>
  <c r="K30" i="1"/>
  <c r="K31" i="1" s="1"/>
  <c r="J30" i="1"/>
  <c r="J31" i="1" s="1"/>
  <c r="K30" i="3"/>
  <c r="K31" i="3" s="1"/>
  <c r="I31" i="3"/>
  <c r="T31" i="3" s="1"/>
  <c r="J30" i="3"/>
  <c r="J31" i="3" s="1"/>
  <c r="U16" i="3"/>
  <c r="E26" i="8" s="1"/>
  <c r="U16" i="4"/>
  <c r="R16" i="4" s="1"/>
  <c r="K30" i="4"/>
  <c r="K31" i="4" s="1"/>
  <c r="J30" i="4"/>
  <c r="J31" i="4" s="1"/>
  <c r="Z33" i="4"/>
  <c r="K30" i="5"/>
  <c r="K31" i="5" s="1"/>
  <c r="U16" i="5"/>
  <c r="S16" i="5" s="1"/>
  <c r="K30" i="6"/>
  <c r="K31" i="6" s="1"/>
  <c r="J30" i="6"/>
  <c r="J31" i="6" s="1"/>
  <c r="C32" i="6" s="1"/>
  <c r="Q32" i="6" s="1"/>
  <c r="U16" i="6"/>
  <c r="S16" i="6" s="1"/>
  <c r="U16" i="7"/>
  <c r="R16" i="7" s="1"/>
  <c r="K30" i="7"/>
  <c r="K31" i="7" s="1"/>
  <c r="J30" i="7"/>
  <c r="J31" i="7" s="1"/>
  <c r="AI25" i="2"/>
  <c r="AD25" i="2"/>
  <c r="Z33" i="2"/>
  <c r="S31" i="2"/>
  <c r="H32" i="8" s="1"/>
  <c r="T31" i="2"/>
  <c r="S32" i="2"/>
  <c r="H33" i="8" s="1"/>
  <c r="AI25" i="1"/>
  <c r="AD25" i="1"/>
  <c r="S31" i="1"/>
  <c r="H27" i="8" s="1"/>
  <c r="T31" i="1"/>
  <c r="S32" i="1"/>
  <c r="H28" i="8" s="1"/>
  <c r="AI25" i="3"/>
  <c r="AD25" i="3"/>
  <c r="S31" i="3"/>
  <c r="H22" i="8" s="1"/>
  <c r="AI25" i="4"/>
  <c r="AD25" i="4"/>
  <c r="S16" i="4"/>
  <c r="S31" i="4"/>
  <c r="H17" i="8" s="1"/>
  <c r="T31" i="4"/>
  <c r="S32" i="4"/>
  <c r="H18" i="8" s="1"/>
  <c r="J31" i="5"/>
  <c r="C32" i="5" s="1"/>
  <c r="N32" i="5" s="1"/>
  <c r="AI25" i="5"/>
  <c r="AD25" i="5"/>
  <c r="S31" i="5"/>
  <c r="H12" i="8" s="1"/>
  <c r="T31" i="5"/>
  <c r="S32" i="5"/>
  <c r="AI25" i="6"/>
  <c r="AD25" i="6"/>
  <c r="S31" i="6"/>
  <c r="H7" i="8" s="1"/>
  <c r="T31" i="6"/>
  <c r="S32" i="6"/>
  <c r="H8" i="8" s="1"/>
  <c r="AI25" i="7"/>
  <c r="AD25" i="7"/>
  <c r="S31" i="7"/>
  <c r="T31" i="7"/>
  <c r="S32" i="7"/>
  <c r="Y39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O39" i="8"/>
  <c r="T39" i="8"/>
  <c r="E2" i="8"/>
  <c r="H2" i="8"/>
  <c r="E34" i="8"/>
  <c r="E33" i="8"/>
  <c r="E32" i="8"/>
  <c r="E24" i="8"/>
  <c r="E23" i="8"/>
  <c r="E22" i="8"/>
  <c r="E9" i="8"/>
  <c r="E8" i="8"/>
  <c r="E7" i="8"/>
  <c r="R16" i="2" l="1"/>
  <c r="E36" i="8"/>
  <c r="C32" i="2"/>
  <c r="N32" i="2" s="1"/>
  <c r="L32" i="8" s="1"/>
  <c r="E31" i="8"/>
  <c r="R16" i="1"/>
  <c r="C32" i="1"/>
  <c r="N32" i="1" s="1"/>
  <c r="Z32" i="3"/>
  <c r="Z33" i="3" s="1"/>
  <c r="S32" i="3"/>
  <c r="H23" i="8" s="1"/>
  <c r="C32" i="3"/>
  <c r="O32" i="3" s="1"/>
  <c r="R16" i="3"/>
  <c r="S16" i="3"/>
  <c r="C32" i="4"/>
  <c r="P32" i="4" s="1"/>
  <c r="N32" i="4"/>
  <c r="R16" i="5"/>
  <c r="R16" i="6"/>
  <c r="S16" i="7"/>
  <c r="C32" i="7"/>
  <c r="N32" i="7" s="1"/>
  <c r="U25" i="5"/>
  <c r="K32" i="5"/>
  <c r="T16" i="5"/>
  <c r="P32" i="5"/>
  <c r="O32" i="5"/>
  <c r="Q32" i="5"/>
  <c r="U25" i="6"/>
  <c r="T16" i="6"/>
  <c r="K32" i="6"/>
  <c r="N32" i="6"/>
  <c r="O32" i="6"/>
  <c r="P32" i="6"/>
  <c r="H13" i="8"/>
  <c r="E11" i="8"/>
  <c r="L8" i="8"/>
  <c r="H3" i="8"/>
  <c r="Z45" i="8"/>
  <c r="E21" i="8"/>
  <c r="E16" i="8"/>
  <c r="H15" i="8"/>
  <c r="E6" i="8"/>
  <c r="Q7" i="8"/>
  <c r="Q32" i="8"/>
  <c r="Q22" i="8"/>
  <c r="Q17" i="8"/>
  <c r="Q12" i="8"/>
  <c r="H10" i="8"/>
  <c r="Q32" i="2" l="1"/>
  <c r="L35" i="8" s="1"/>
  <c r="K32" i="2"/>
  <c r="O32" i="2"/>
  <c r="L33" i="8" s="1"/>
  <c r="P32" i="2"/>
  <c r="L34" i="8" s="1"/>
  <c r="U25" i="2"/>
  <c r="T16" i="2"/>
  <c r="Q32" i="1"/>
  <c r="P32" i="1"/>
  <c r="K32" i="1"/>
  <c r="U25" i="1"/>
  <c r="T16" i="1"/>
  <c r="O32" i="1"/>
  <c r="T16" i="3"/>
  <c r="U25" i="3"/>
  <c r="K32" i="3"/>
  <c r="Q32" i="3"/>
  <c r="L25" i="8" s="1"/>
  <c r="P32" i="3"/>
  <c r="L24" i="8" s="1"/>
  <c r="N32" i="3"/>
  <c r="L22" i="8" s="1"/>
  <c r="O32" i="4"/>
  <c r="K32" i="4"/>
  <c r="U25" i="4"/>
  <c r="Q32" i="4"/>
  <c r="T16" i="4"/>
  <c r="T16" i="7"/>
  <c r="K32" i="7"/>
  <c r="Q32" i="7"/>
  <c r="P32" i="7"/>
  <c r="O32" i="7"/>
  <c r="U25" i="7"/>
  <c r="L23" i="8"/>
  <c r="L10" i="8"/>
  <c r="L7" i="8"/>
  <c r="L9" i="8"/>
  <c r="H19" i="8"/>
  <c r="H20" i="8"/>
  <c r="U45" i="8"/>
  <c r="Z49" i="8" s="1"/>
  <c r="O41" i="8"/>
  <c r="T41" i="8"/>
  <c r="H25" i="8"/>
  <c r="H24" i="8"/>
  <c r="H14" i="8"/>
  <c r="H9" i="8"/>
  <c r="E30" i="8"/>
  <c r="E29" i="8"/>
  <c r="E28" i="8"/>
  <c r="E27" i="8"/>
  <c r="U49" i="8" l="1"/>
  <c r="L18" i="8"/>
  <c r="L15" i="8"/>
  <c r="L14" i="8"/>
  <c r="L12" i="8"/>
  <c r="L13" i="8"/>
  <c r="Q27" i="8"/>
  <c r="H29" i="8"/>
  <c r="L19" i="8" l="1"/>
  <c r="L20" i="8"/>
  <c r="L17" i="8"/>
  <c r="L28" i="8"/>
  <c r="H30" i="8"/>
  <c r="L30" i="8" l="1"/>
  <c r="L27" i="8"/>
  <c r="L29" i="8"/>
  <c r="E4" i="8" l="1"/>
  <c r="E5" i="8"/>
  <c r="E3" i="8" l="1"/>
  <c r="Q2" i="8" l="1"/>
  <c r="A39" i="8" s="1"/>
  <c r="H4" i="8" l="1"/>
  <c r="H5" i="8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<sst xmlns="http://schemas.openxmlformats.org/spreadsheetml/2006/main" count="1525" uniqueCount="312">
  <si>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</si>
  <si>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</si>
  <si>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</si>
  <si>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</si>
  <si>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</si>
  <si>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</si>
  <si>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</si>
  <si>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</si>
  <si>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</si>
  <si>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</si>
  <si>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</si>
  <si>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</si>
  <si>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</si>
  <si>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</si>
  <si>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</si>
  <si>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</si>
  <si>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</si>
  <si>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</si>
  <si>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</si>
  <si>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</si>
  <si>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</si>
  <si>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</si>
  <si>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</si>
  <si>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</si>
  <si>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</si>
  <si>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</si>
  <si>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</si>
  <si>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</si>
  <si>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</si>
  <si>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</si>
  <si>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</si>
  <si>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</si>
  <si>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</si>
  <si>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</si>
  <si>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</si>
  <si>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</si>
  <si>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</si>
  <si>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</si>
  <si>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</si>
  <si>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</si>
  <si>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</si>
  <si>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</si>
  <si>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</si>
  <si>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</si>
  <si>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</si>
  <si>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</si>
  <si>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</si>
  <si>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</si>
  <si>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</si>
  <si>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</si>
  <si>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</si>
  <si>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</si>
  <si>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</si>
  <si>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</si>
  <si>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</si>
  <si>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</si>
  <si>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</si>
  <si>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</si>
  <si>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</si>
  <si>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</si>
  <si>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</si>
  <si>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</si>
  <si>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</si>
  <si>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</si>
  <si>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</si>
  <si>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</si>
  <si>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</si>
  <si>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</si>
  <si>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</si>
  <si>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</si>
  <si>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</si>
  <si>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</si>
  <si>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</si>
  <si>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</si>
  <si>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</si>
  <si>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</si>
  <si>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</si>
  <si>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</si>
  <si>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</si>
  <si>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</si>
  <si>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</si>
  <si>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</si>
  <si>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</si>
  <si>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</si>
  <si>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</si>
  <si>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</si>
  <si>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</si>
  <si>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</si>
  <si>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</si>
  <si>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STAFF HRS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</si>
  <si>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</si>
  <si>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</si>
  <si>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</si>
  <si>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</si>
  <si>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Size</t>
  </si>
  <si>
    <t>S</t>
  </si>
  <si>
    <t>M</t>
  </si>
  <si>
    <t>L</t>
  </si>
  <si>
    <t>CDS89H</t>
    <phoneticPr fontId="3" type="noConversion"/>
  </si>
  <si>
    <t>0447514926</t>
    <phoneticPr fontId="3" type="noConversion"/>
  </si>
  <si>
    <t>17-01-2022</t>
    <phoneticPr fontId="3" type="noConversion"/>
  </si>
  <si>
    <t>18-01-2022</t>
    <phoneticPr fontId="3" type="noConversion"/>
  </si>
  <si>
    <t>19-01-2022</t>
    <phoneticPr fontId="3" type="noConversion"/>
  </si>
  <si>
    <t>20-01-2022</t>
    <phoneticPr fontId="3" type="noConversion"/>
  </si>
  <si>
    <t>21-01-2022</t>
    <phoneticPr fontId="3" type="noConversion"/>
  </si>
  <si>
    <t>22-01-2022</t>
    <phoneticPr fontId="3" type="noConversion"/>
  </si>
  <si>
    <t>23-01-2022</t>
    <phoneticPr fontId="3" type="noConversion"/>
  </si>
  <si>
    <t>DVB53W</t>
    <phoneticPr fontId="3" type="noConversion"/>
  </si>
  <si>
    <t>0410129910</t>
    <phoneticPr fontId="3" type="noConversion"/>
  </si>
  <si>
    <t>X</t>
    <phoneticPr fontId="3" type="noConversion"/>
  </si>
  <si>
    <t>JW1</t>
    <phoneticPr fontId="3" type="noConversion"/>
  </si>
  <si>
    <t>0404027162</t>
    <phoneticPr fontId="3" type="noConversion"/>
  </si>
  <si>
    <t>PCS</t>
    <phoneticPr fontId="3" type="noConversion"/>
  </si>
  <si>
    <t>21048(2/6)</t>
    <phoneticPr fontId="3" type="noConversion"/>
  </si>
  <si>
    <t>EDN88M</t>
    <phoneticPr fontId="3" type="noConversion"/>
  </si>
  <si>
    <t>0411883125</t>
    <phoneticPr fontId="3" type="noConversion"/>
  </si>
  <si>
    <t>S</t>
    <phoneticPr fontId="3" type="noConversion"/>
  </si>
  <si>
    <t>BZ63SD</t>
    <phoneticPr fontId="3" type="noConversion"/>
  </si>
  <si>
    <t>0401093636</t>
    <phoneticPr fontId="3" type="noConversion"/>
  </si>
  <si>
    <t>EOL52D</t>
    <phoneticPr fontId="3" type="noConversion"/>
  </si>
  <si>
    <t>0422919821</t>
    <phoneticPr fontId="3" type="noConversion"/>
  </si>
  <si>
    <t>202111015,2021112004(X)</t>
    <phoneticPr fontId="3" type="noConversion"/>
  </si>
  <si>
    <t>TS6888</t>
    <phoneticPr fontId="3" type="noConversion"/>
  </si>
  <si>
    <t>0417880888</t>
    <phoneticPr fontId="3" type="noConversion"/>
  </si>
  <si>
    <t>21021(5/6)</t>
    <phoneticPr fontId="3" type="noConversion"/>
  </si>
  <si>
    <t>JOHN</t>
    <phoneticPr fontId="3" type="noConversion"/>
  </si>
  <si>
    <t>HENDRA</t>
    <phoneticPr fontId="3" type="noConversion"/>
  </si>
  <si>
    <t>JUNIOR</t>
    <phoneticPr fontId="3" type="noConversion"/>
  </si>
  <si>
    <t>KUROSH</t>
    <phoneticPr fontId="3" type="noConversion"/>
  </si>
  <si>
    <t>ARIANTO</t>
    <phoneticPr fontId="3" type="noConversion"/>
  </si>
  <si>
    <t>ANTHONY</t>
    <phoneticPr fontId="3" type="noConversion"/>
  </si>
  <si>
    <t>SUNNY</t>
    <phoneticPr fontId="3" type="noConversion"/>
  </si>
  <si>
    <t>COZ11H</t>
    <phoneticPr fontId="3" type="noConversion"/>
  </si>
  <si>
    <t>0402213350</t>
    <phoneticPr fontId="3" type="noConversion"/>
  </si>
  <si>
    <t>D</t>
    <phoneticPr fontId="3" type="noConversion"/>
  </si>
  <si>
    <t>DLX57A</t>
    <phoneticPr fontId="3" type="noConversion"/>
  </si>
  <si>
    <t>0421051236</t>
    <phoneticPr fontId="3" type="noConversion"/>
  </si>
  <si>
    <t>PCL</t>
    <phoneticPr fontId="3" type="noConversion"/>
  </si>
  <si>
    <t>21028 (3/6)</t>
    <phoneticPr fontId="3" type="noConversion"/>
  </si>
  <si>
    <t>NBQ78T</t>
    <phoneticPr fontId="3" type="noConversion"/>
  </si>
  <si>
    <t>0413950657</t>
    <phoneticPr fontId="3" type="noConversion"/>
  </si>
  <si>
    <t>H</t>
    <phoneticPr fontId="3" type="noConversion"/>
  </si>
  <si>
    <t>INSIDE WHEEL</t>
    <phoneticPr fontId="3" type="noConversion"/>
  </si>
  <si>
    <t>17JATT</t>
    <phoneticPr fontId="3" type="noConversion"/>
  </si>
  <si>
    <t>0433244900</t>
    <phoneticPr fontId="3" type="noConversion"/>
  </si>
  <si>
    <t>L</t>
    <phoneticPr fontId="3" type="noConversion"/>
  </si>
  <si>
    <t>DQM27C</t>
    <phoneticPr fontId="3" type="noConversion"/>
  </si>
  <si>
    <t>0417106130</t>
    <phoneticPr fontId="3" type="noConversion"/>
  </si>
  <si>
    <t>TAX</t>
    <phoneticPr fontId="3" type="noConversion"/>
  </si>
  <si>
    <t>DVY86B</t>
    <phoneticPr fontId="3" type="noConversion"/>
  </si>
  <si>
    <t>0423962100</t>
    <phoneticPr fontId="3" type="noConversion"/>
  </si>
  <si>
    <t>RAIN</t>
    <phoneticPr fontId="3" type="noConversion"/>
  </si>
  <si>
    <t>NBY00V</t>
    <phoneticPr fontId="3" type="noConversion"/>
  </si>
  <si>
    <t>0421617388</t>
    <phoneticPr fontId="3" type="noConversion"/>
  </si>
  <si>
    <t>EEA02Z</t>
    <phoneticPr fontId="3" type="noConversion"/>
  </si>
  <si>
    <t>0417030093</t>
    <phoneticPr fontId="3" type="noConversion"/>
  </si>
  <si>
    <t>MFA000</t>
    <phoneticPr fontId="3" type="noConversion"/>
  </si>
  <si>
    <t>0426224079</t>
    <phoneticPr fontId="3" type="noConversion"/>
  </si>
  <si>
    <t>DTO77R</t>
    <phoneticPr fontId="3" type="noConversion"/>
  </si>
  <si>
    <t>0466689373</t>
    <phoneticPr fontId="3" type="noConversion"/>
  </si>
  <si>
    <t>202112072-73(X)</t>
    <phoneticPr fontId="3" type="noConversion"/>
  </si>
  <si>
    <t>CL678</t>
    <phoneticPr fontId="3" type="noConversion"/>
  </si>
  <si>
    <t>0411790333</t>
    <phoneticPr fontId="3" type="noConversion"/>
  </si>
  <si>
    <t>ELQ39S</t>
    <phoneticPr fontId="3" type="noConversion"/>
  </si>
  <si>
    <t>0409785177</t>
    <phoneticPr fontId="3" type="noConversion"/>
  </si>
  <si>
    <t>EEN72Y</t>
    <phoneticPr fontId="3" type="noConversion"/>
  </si>
  <si>
    <t>0433968916</t>
    <phoneticPr fontId="3" type="noConversion"/>
  </si>
  <si>
    <t>DDD63W</t>
    <phoneticPr fontId="3" type="noConversion"/>
  </si>
  <si>
    <t>0401713226</t>
    <phoneticPr fontId="3" type="noConversion"/>
  </si>
  <si>
    <t>BY86AZ</t>
    <phoneticPr fontId="3" type="noConversion"/>
  </si>
  <si>
    <t>0450430108</t>
    <phoneticPr fontId="3" type="noConversion"/>
  </si>
  <si>
    <t>EJX85C</t>
    <phoneticPr fontId="3" type="noConversion"/>
  </si>
  <si>
    <t>0418936900</t>
    <phoneticPr fontId="3" type="noConversion"/>
  </si>
  <si>
    <t>YIY78C</t>
    <phoneticPr fontId="3" type="noConversion"/>
  </si>
  <si>
    <t>0433736087</t>
    <phoneticPr fontId="3" type="noConversion"/>
  </si>
  <si>
    <t>JCL138</t>
    <phoneticPr fontId="3" type="noConversion"/>
  </si>
  <si>
    <t>0401120826</t>
    <phoneticPr fontId="3" type="noConversion"/>
  </si>
  <si>
    <t>21041(6/6),21122810(NEW)</t>
    <phoneticPr fontId="3" type="noConversion"/>
  </si>
  <si>
    <t>CS61JH</t>
    <phoneticPr fontId="3" type="noConversion"/>
  </si>
  <si>
    <t>0412819980</t>
    <phoneticPr fontId="3" type="noConversion"/>
  </si>
  <si>
    <t>CRY89V</t>
    <phoneticPr fontId="3" type="noConversion"/>
  </si>
  <si>
    <t>0402588022</t>
    <phoneticPr fontId="3" type="noConversion"/>
  </si>
  <si>
    <t>BABY SEAT /ST</t>
    <phoneticPr fontId="3" type="noConversion"/>
  </si>
  <si>
    <t>DKH76J</t>
    <phoneticPr fontId="3" type="noConversion"/>
  </si>
  <si>
    <t>0431007000</t>
    <phoneticPr fontId="3" type="noConversion"/>
  </si>
  <si>
    <t>W/O</t>
    <phoneticPr fontId="3" type="noConversion"/>
  </si>
  <si>
    <t>EJT86S</t>
    <phoneticPr fontId="3" type="noConversion"/>
  </si>
  <si>
    <t>0477182696</t>
    <phoneticPr fontId="3" type="noConversion"/>
  </si>
  <si>
    <t>ELD75U</t>
    <phoneticPr fontId="3" type="noConversion"/>
  </si>
  <si>
    <t>0422709154</t>
    <phoneticPr fontId="3" type="noConversion"/>
  </si>
  <si>
    <t>MIX</t>
    <phoneticPr fontId="3" type="noConversion"/>
  </si>
  <si>
    <t>EQB91B</t>
    <phoneticPr fontId="3" type="noConversion"/>
  </si>
  <si>
    <t>0403800122</t>
    <phoneticPr fontId="3" type="noConversion"/>
  </si>
  <si>
    <t>2112063(1/6)</t>
    <phoneticPr fontId="3" type="noConversion"/>
  </si>
  <si>
    <t>DKX87K</t>
    <phoneticPr fontId="3" type="noConversion"/>
  </si>
  <si>
    <t>0410446398</t>
    <phoneticPr fontId="3" type="noConversion"/>
  </si>
  <si>
    <t>21030(5/6)</t>
    <phoneticPr fontId="3" type="noConversion"/>
  </si>
  <si>
    <t>CG00JP</t>
    <phoneticPr fontId="3" type="noConversion"/>
  </si>
  <si>
    <t>0403073628</t>
    <phoneticPr fontId="3" type="noConversion"/>
  </si>
  <si>
    <t>CEN62C</t>
    <phoneticPr fontId="3" type="noConversion"/>
  </si>
  <si>
    <t>0418288123</t>
    <phoneticPr fontId="3" type="noConversion"/>
  </si>
  <si>
    <t>202110133,202112021(X)</t>
    <phoneticPr fontId="3" type="noConversion"/>
  </si>
  <si>
    <t>DJY94M</t>
    <phoneticPr fontId="3" type="noConversion"/>
  </si>
  <si>
    <t>0418640834</t>
    <phoneticPr fontId="3" type="noConversion"/>
  </si>
  <si>
    <t>CY21UD</t>
    <phoneticPr fontId="3" type="noConversion"/>
  </si>
  <si>
    <t>0405558518</t>
    <phoneticPr fontId="3" type="noConversion"/>
  </si>
  <si>
    <t>DPC70M</t>
    <phoneticPr fontId="3" type="noConversion"/>
  </si>
  <si>
    <t>0403308935</t>
    <phoneticPr fontId="3" type="noConversion"/>
  </si>
  <si>
    <t>IL333</t>
    <phoneticPr fontId="3" type="noConversion"/>
  </si>
  <si>
    <t>0432333383</t>
    <phoneticPr fontId="3" type="noConversion"/>
  </si>
  <si>
    <t>JCL139</t>
    <phoneticPr fontId="3" type="noConversion"/>
  </si>
  <si>
    <t>21026(6/6),21122811(NEW)</t>
    <phoneticPr fontId="3" type="noConversion"/>
  </si>
  <si>
    <t>EBY17Q</t>
    <phoneticPr fontId="3" type="noConversion"/>
  </si>
  <si>
    <t>0425517888</t>
    <phoneticPr fontId="3" type="noConversion"/>
  </si>
  <si>
    <t>GV2</t>
    <phoneticPr fontId="3" type="noConversion"/>
  </si>
  <si>
    <t>202744(5/6),21122812(NEW)</t>
    <phoneticPr fontId="3" type="noConversion"/>
  </si>
  <si>
    <t>EAM47G</t>
    <phoneticPr fontId="3" type="noConversion"/>
  </si>
  <si>
    <t>0414661868</t>
    <phoneticPr fontId="3" type="noConversion"/>
  </si>
  <si>
    <t>BEC73S</t>
    <phoneticPr fontId="3" type="noConversion"/>
  </si>
  <si>
    <t>0418490741</t>
    <phoneticPr fontId="3" type="noConversion"/>
  </si>
  <si>
    <t>DXW80T</t>
    <phoneticPr fontId="3" type="noConversion"/>
  </si>
  <si>
    <t>0414186484</t>
    <phoneticPr fontId="3" type="noConversion"/>
  </si>
  <si>
    <t>END84B</t>
    <phoneticPr fontId="3" type="noConversion"/>
  </si>
  <si>
    <t>0419418254</t>
    <phoneticPr fontId="3" type="noConversion"/>
  </si>
  <si>
    <t>CYJ59B</t>
    <phoneticPr fontId="3" type="noConversion"/>
  </si>
  <si>
    <t>0404895583</t>
    <phoneticPr fontId="3" type="noConversion"/>
  </si>
  <si>
    <t>EQA84G</t>
    <phoneticPr fontId="3" type="noConversion"/>
  </si>
  <si>
    <t>0421816061</t>
    <phoneticPr fontId="3" type="noConversion"/>
  </si>
  <si>
    <t>DYO67X</t>
    <phoneticPr fontId="3" type="noConversion"/>
  </si>
  <si>
    <t>0451841228</t>
    <phoneticPr fontId="3" type="noConversion"/>
  </si>
  <si>
    <t>X/ST</t>
    <phoneticPr fontId="3" type="noConversion"/>
  </si>
  <si>
    <t>CQO86A</t>
    <phoneticPr fontId="3" type="noConversion"/>
  </si>
  <si>
    <t>0419170988</t>
    <phoneticPr fontId="3" type="noConversion"/>
  </si>
  <si>
    <t>DHR56T</t>
    <phoneticPr fontId="3" type="noConversion"/>
  </si>
  <si>
    <t>0418294744</t>
    <phoneticPr fontId="3" type="noConversion"/>
  </si>
  <si>
    <t>DZW32D</t>
    <phoneticPr fontId="3" type="noConversion"/>
  </si>
  <si>
    <t>0433734596</t>
    <phoneticPr fontId="3" type="noConversion"/>
  </si>
  <si>
    <t>CKC123</t>
    <phoneticPr fontId="3" type="noConversion"/>
  </si>
  <si>
    <t>0401715233</t>
    <phoneticPr fontId="3" type="noConversion"/>
  </si>
  <si>
    <t>BTB91A</t>
    <phoneticPr fontId="3" type="noConversion"/>
  </si>
  <si>
    <t>0418411207</t>
    <phoneticPr fontId="3" type="noConversion"/>
  </si>
  <si>
    <t>DXK85G</t>
    <phoneticPr fontId="3" type="noConversion"/>
  </si>
  <si>
    <t>0413121937</t>
    <phoneticPr fontId="3" type="noConversion"/>
  </si>
  <si>
    <t>DTE10E</t>
    <phoneticPr fontId="3" type="noConversion"/>
  </si>
  <si>
    <t>0405920595</t>
    <phoneticPr fontId="3" type="noConversion"/>
  </si>
  <si>
    <t>H/ST</t>
    <phoneticPr fontId="3" type="noConversion"/>
  </si>
  <si>
    <t>IDP1GS</t>
    <phoneticPr fontId="3" type="noConversion"/>
  </si>
  <si>
    <t>0410446389</t>
    <phoneticPr fontId="3" type="noConversion"/>
  </si>
  <si>
    <t>21030(6/6),21122813(NEW)</t>
    <phoneticPr fontId="3" type="noConversion"/>
  </si>
  <si>
    <t>CXO53X</t>
    <phoneticPr fontId="3" type="noConversion"/>
  </si>
  <si>
    <t>0417165077</t>
    <phoneticPr fontId="3" type="noConversion"/>
  </si>
  <si>
    <t>BEA20A</t>
    <phoneticPr fontId="3" type="noConversion"/>
  </si>
  <si>
    <t>0431770110</t>
    <phoneticPr fontId="3" type="noConversion"/>
  </si>
  <si>
    <t>DPY72P</t>
    <phoneticPr fontId="3" type="noConversion"/>
  </si>
  <si>
    <t>0420571075</t>
    <phoneticPr fontId="3" type="noConversion"/>
  </si>
  <si>
    <t>DZL16P</t>
    <phoneticPr fontId="3" type="noConversion"/>
  </si>
  <si>
    <t>0411950042</t>
    <phoneticPr fontId="3" type="noConversion"/>
  </si>
  <si>
    <t>EF076</t>
    <phoneticPr fontId="3" type="noConversion"/>
  </si>
  <si>
    <t>04189134425</t>
    <phoneticPr fontId="3" type="noConversion"/>
  </si>
  <si>
    <t>EJS36D</t>
    <phoneticPr fontId="3" type="noConversion"/>
  </si>
  <si>
    <t>0456575899</t>
    <phoneticPr fontId="3" type="noConversion"/>
  </si>
  <si>
    <t>JH704</t>
    <phoneticPr fontId="3" type="noConversion"/>
  </si>
  <si>
    <t>0416265797</t>
    <phoneticPr fontId="3" type="noConversion"/>
  </si>
  <si>
    <t>CJT83L</t>
    <phoneticPr fontId="3" type="noConversion"/>
  </si>
  <si>
    <t>0412041234</t>
    <phoneticPr fontId="3" type="noConversion"/>
  </si>
  <si>
    <t>F/D</t>
    <phoneticPr fontId="3" type="noConversion"/>
  </si>
  <si>
    <t>DGG39W</t>
    <phoneticPr fontId="3" type="noConversion"/>
  </si>
  <si>
    <t>0425699822</t>
    <phoneticPr fontId="3" type="noConversion"/>
  </si>
  <si>
    <t>XBW64A</t>
    <phoneticPr fontId="3" type="noConversion"/>
  </si>
  <si>
    <t>0422556677</t>
    <phoneticPr fontId="3" type="noConversion"/>
  </si>
  <si>
    <t>NXO86G</t>
    <phoneticPr fontId="3" type="noConversion"/>
  </si>
  <si>
    <t>0439946398</t>
    <phoneticPr fontId="3" type="noConversion"/>
  </si>
  <si>
    <t>AYD08T</t>
    <phoneticPr fontId="3" type="noConversion"/>
  </si>
  <si>
    <t>0403749869</t>
    <phoneticPr fontId="3" type="noConversion"/>
  </si>
  <si>
    <t>ENO56X</t>
    <phoneticPr fontId="3" type="noConversion"/>
  </si>
  <si>
    <t>0419268013</t>
    <phoneticPr fontId="3" type="noConversion"/>
  </si>
  <si>
    <t>JP014</t>
    <phoneticPr fontId="3" type="noConversion"/>
  </si>
  <si>
    <t>0400991411</t>
    <phoneticPr fontId="3" type="noConversion"/>
  </si>
  <si>
    <t>DZO92H</t>
    <phoneticPr fontId="3" type="noConversion"/>
  </si>
  <si>
    <t>0412490049</t>
    <phoneticPr fontId="3" type="noConversion"/>
  </si>
  <si>
    <t>EMP51Y</t>
    <phoneticPr fontId="3" type="noConversion"/>
  </si>
  <si>
    <t>0493119547</t>
    <phoneticPr fontId="3" type="noConversion"/>
  </si>
  <si>
    <t>EHO86W</t>
    <phoneticPr fontId="3" type="noConversion"/>
  </si>
  <si>
    <t>0402596192</t>
    <phoneticPr fontId="3" type="noConversion"/>
  </si>
  <si>
    <t>EHU88Z</t>
    <phoneticPr fontId="3" type="noConversion"/>
  </si>
  <si>
    <t>0431366177</t>
    <phoneticPr fontId="3" type="noConversion"/>
  </si>
  <si>
    <t>BWZ86B</t>
    <phoneticPr fontId="3" type="noConversion"/>
  </si>
  <si>
    <t>0415109112</t>
    <phoneticPr fontId="3" type="noConversion"/>
  </si>
  <si>
    <t>YS1288</t>
    <phoneticPr fontId="3" type="noConversion"/>
  </si>
  <si>
    <t>0426885667</t>
    <phoneticPr fontId="3" type="noConversion"/>
  </si>
  <si>
    <t>CGL12L</t>
    <phoneticPr fontId="3" type="noConversion"/>
  </si>
  <si>
    <t>0421520824</t>
    <phoneticPr fontId="3" type="noConversion"/>
  </si>
  <si>
    <t>NCD41Y</t>
    <phoneticPr fontId="3" type="noConversion"/>
  </si>
  <si>
    <t>0418464092</t>
    <phoneticPr fontId="3" type="noConversion"/>
  </si>
  <si>
    <t>DPU83Q</t>
    <phoneticPr fontId="3" type="noConversion"/>
  </si>
  <si>
    <t>0407929656</t>
    <phoneticPr fontId="3" type="noConversion"/>
  </si>
  <si>
    <t>EET63L</t>
    <phoneticPr fontId="3" type="noConversion"/>
  </si>
  <si>
    <t>0416288138</t>
    <phoneticPr fontId="3" type="noConversion"/>
  </si>
  <si>
    <t>YLA00C</t>
    <phoneticPr fontId="3" type="noConversion"/>
  </si>
  <si>
    <t>0434418128</t>
    <phoneticPr fontId="3" type="noConversion"/>
  </si>
  <si>
    <t>DWG03R</t>
    <phoneticPr fontId="3" type="noConversion"/>
  </si>
  <si>
    <t>0412231349</t>
    <phoneticPr fontId="3" type="noConversion"/>
  </si>
  <si>
    <t>EOQ88V</t>
    <phoneticPr fontId="3" type="noConversion"/>
  </si>
  <si>
    <t>0415102888</t>
    <phoneticPr fontId="3" type="noConversion"/>
  </si>
  <si>
    <t>21122814(1/6)</t>
    <phoneticPr fontId="3" type="noConversion"/>
  </si>
  <si>
    <t>EAW43G</t>
    <phoneticPr fontId="3" type="noConversion"/>
  </si>
  <si>
    <t>0408306058</t>
    <phoneticPr fontId="3" type="noConversion"/>
  </si>
  <si>
    <t>DA82HO</t>
    <phoneticPr fontId="3" type="noConversion"/>
  </si>
  <si>
    <t>0415911137</t>
    <phoneticPr fontId="3" type="noConversion"/>
  </si>
  <si>
    <t>CLOUDY</t>
    <phoneticPr fontId="3" type="noConversion"/>
  </si>
  <si>
    <t>booking</t>
    <phoneticPr fontId="3" type="noConversion"/>
  </si>
  <si>
    <t>Reeva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</si>
</sst>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59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0" fillId="0" borderId="4" xfId="0" applyBorder="1"/>
    <xf numFmtId="49" fontId="24" fillId="0" borderId="6" xfId="0" applyNumberFormat="1" applyFont="1" applyBorder="1" applyAlignment="1">
      <alignment horizontal="left"/>
    </xf>
    <xf numFmtId="49" fontId="16" fillId="13" borderId="8" xfId="0" applyNumberFormat="1" applyFont="1" applyFill="1" applyBorder="1" applyAlignment="1">
      <alignment horizontal="center" shrinkToFit="1"/>
    </xf>
    <xf numFmtId="0" fontId="16" fillId="13" borderId="34" xfId="0" applyFont="1" applyFill="1" applyBorder="1" applyAlignment="1">
      <alignment horizontal="center" shrinkToFit="1"/>
    </xf>
    <xf numFmtId="0" fontId="16" fillId="13" borderId="63" xfId="0" applyFont="1" applyFill="1" applyBorder="1" applyAlignment="1">
      <alignment horizontal="center" shrinkToFit="1"/>
    </xf>
    <xf numFmtId="49" fontId="28" fillId="0" borderId="6" xfId="0" applyNumberFormat="1" applyFont="1" applyBorder="1"/>
    <xf numFmtId="0" fontId="16" fillId="13" borderId="48" xfId="0" applyFont="1" applyFill="1" applyBorder="1" applyAlignment="1">
      <alignment horizontal="center" shrinkToFit="1"/>
    </xf>
    <xf numFmtId="49" fontId="0" fillId="0" borderId="6" xfId="0" applyNumberFormat="1" applyBorder="1"/>
    <xf numFmtId="178" fontId="1" fillId="6" borderId="3" xfId="0" applyNumberFormat="1" applyFont="1" applyFill="1" applyBorder="1" applyAlignment="1">
      <alignment horizontal="center" shrinkToFit="1"/>
    </xf>
    <xf numFmtId="0" fontId="0" fillId="0" borderId="0" xfId="0" applyAlignment="1">
      <alignment horizontal="center" vertical="center" shrinkToFit="1"/>
    </xf>
    <xf numFmtId="0" fontId="16" fillId="13" borderId="8" xfId="0" applyFont="1" applyFill="1" applyBorder="1" applyAlignment="1">
      <alignment horizontal="center" vertical="center" shrinkToFit="1"/>
    </xf>
    <xf numFmtId="176" fontId="4" fillId="6" borderId="3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3" fillId="14" borderId="9" xfId="4" applyBorder="1" applyAlignment="1">
      <alignment horizontal="center" shrinkToFit="1"/>
    </xf>
    <xf numFmtId="0" fontId="23" fillId="14" borderId="4" xfId="4" applyBorder="1" applyAlignment="1">
      <alignment horizontal="center" shrinkToFit="1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1" xfId="4" applyBorder="1" applyAlignment="1">
      <alignment horizontal="center" vertical="center" shrinkToFit="1"/>
    </xf>
    <xf numFmtId="0" fontId="23" fillId="14" borderId="26" xfId="4" applyBorder="1" applyAlignment="1">
      <alignment horizontal="left"/>
    </xf>
    <xf numFmtId="0" fontId="23" fillId="14" borderId="1" xfId="4" applyBorder="1" applyAlignment="1">
      <alignment horizontal="center"/>
    </xf>
    <xf numFmtId="178" fontId="23" fillId="14" borderId="1" xfId="4" applyNumberFormat="1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shrinkToFit="1"/>
    </xf>
    <xf numFmtId="178" fontId="23" fillId="14" borderId="61" xfId="4" applyNumberFormat="1" applyBorder="1" applyAlignment="1">
      <alignment horizontal="center" shrinkToFit="1"/>
    </xf>
    <xf numFmtId="178" fontId="23" fillId="14" borderId="26" xfId="4" applyNumberFormat="1" applyBorder="1" applyAlignment="1">
      <alignment horizontal="center" shrinkToFit="1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0" fontId="23" fillId="14" borderId="1" xfId="4" applyBorder="1" applyAlignment="1">
      <alignment horizontal="left"/>
    </xf>
    <xf numFmtId="49" fontId="23" fillId="14" borderId="2" xfId="4" applyNumberFormat="1" applyBorder="1" applyAlignment="1">
      <alignment horizontal="left"/>
    </xf>
    <xf numFmtId="179" fontId="23" fillId="14" borderId="26" xfId="4" applyNumberFormat="1" applyBorder="1" applyAlignment="1">
      <alignment horizontal="left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0" fontId="23" fillId="14" borderId="2" xfId="4" applyBorder="1" applyAlignment="1">
      <alignment horizontal="center" vertical="center" shrinkToFit="1"/>
    </xf>
    <xf numFmtId="0" fontId="23" fillId="14" borderId="29" xfId="4" applyBorder="1" applyAlignment="1">
      <alignment horizontal="center" vertical="center" shrinkToFit="1"/>
    </xf>
    <xf numFmtId="0" fontId="23" fillId="14" borderId="17" xfId="4" applyBorder="1" applyAlignment="1">
      <alignment horizontal="center" vertic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2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2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2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2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2" xfId="0" applyFont="1" applyFill="1" applyBorder="1" applyAlignment="1">
      <alignment horizontal="center" vertical="center" shrinkToFit="1"/>
    </xf>
    <xf numFmtId="178" fontId="20" fillId="12" borderId="1" xfId="0" applyNumberFormat="1" applyFont="1" applyFill="1" applyBorder="1" applyAlignment="1">
      <alignment horizontal="center" vertical="center" shrinkToFit="1"/>
    </xf>
  </cellXfs>
  <cellStyles count="5">
    <cellStyle name="셀 확인" xfId="1" builtinId="23"/>
    <cellStyle name="좋음" xfId="4" builtinId="26"/>
    <cellStyle name="출력" xfId="3" builtinId="21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5" sqref="R5:S10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8" thickBot="1">
      <c r="A2" s="295" t="s">
        <v>100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131</v>
      </c>
      <c r="K2" s="297"/>
      <c r="L2" s="299" t="s">
        <v>93</v>
      </c>
      <c r="M2" s="300"/>
      <c r="N2" s="298"/>
      <c r="O2" s="296" t="s">
        <v>125</v>
      </c>
      <c r="P2" s="296"/>
      <c r="Q2" s="297"/>
      <c r="R2" s="299" t="s">
        <v>51</v>
      </c>
      <c r="S2" s="298"/>
      <c r="T2" s="301">
        <v>6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5" t="s">
        <v>8</v>
      </c>
      <c r="P4" s="305"/>
      <c r="Q4" s="305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4978</v>
      </c>
      <c r="C5" s="253" t="s">
        <v>107</v>
      </c>
      <c r="D5" s="254" t="s">
        <v>108</v>
      </c>
      <c r="E5" s="265" t="s">
        <v>96</v>
      </c>
      <c r="F5" s="169">
        <v>835</v>
      </c>
      <c r="G5" s="118" t="s">
        <v>109</v>
      </c>
      <c r="H5" s="91"/>
      <c r="I5" s="124">
        <v>85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125</v>
      </c>
      <c r="O5" s="306"/>
      <c r="P5" s="307"/>
      <c r="Q5" s="308"/>
      <c r="R5" s="33" t="s">
        <v>125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4979</v>
      </c>
      <c r="C6" s="67" t="s">
        <v>110</v>
      </c>
      <c r="D6" s="195" t="s">
        <v>111</v>
      </c>
      <c r="E6" s="266" t="s">
        <v>95</v>
      </c>
      <c r="F6" s="170">
        <v>850</v>
      </c>
      <c r="G6" s="118" t="s">
        <v>112</v>
      </c>
      <c r="H6" s="91"/>
      <c r="I6" s="124"/>
      <c r="J6" s="130" t="str">
        <f t="shared" ref="J6:J29" si="1">IF(G6="RSL","50","0")</f>
        <v>0</v>
      </c>
      <c r="K6" s="130">
        <v>58.3</v>
      </c>
      <c r="L6" s="131"/>
      <c r="M6" s="131"/>
      <c r="N6" s="134" t="s">
        <v>125</v>
      </c>
      <c r="O6" s="309" t="s">
        <v>113</v>
      </c>
      <c r="P6" s="310"/>
      <c r="Q6" s="311"/>
      <c r="R6" s="132" t="s">
        <v>126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4980</v>
      </c>
      <c r="C7" s="67" t="s">
        <v>114</v>
      </c>
      <c r="D7" s="195" t="s">
        <v>115</v>
      </c>
      <c r="E7" s="266" t="s">
        <v>116</v>
      </c>
      <c r="F7" s="170">
        <v>905</v>
      </c>
      <c r="G7" s="118" t="s">
        <v>44</v>
      </c>
      <c r="H7" s="91">
        <v>5</v>
      </c>
      <c r="I7" s="124"/>
      <c r="J7" s="130" t="str">
        <f t="shared" si="1"/>
        <v>50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125</v>
      </c>
      <c r="O7" s="312">
        <v>202112010</v>
      </c>
      <c r="P7" s="313"/>
      <c r="Q7" s="314"/>
      <c r="R7" s="134" t="s">
        <v>127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4981</v>
      </c>
      <c r="C8" s="27" t="s">
        <v>117</v>
      </c>
      <c r="D8" s="195" t="s">
        <v>118</v>
      </c>
      <c r="E8" s="266" t="s">
        <v>116</v>
      </c>
      <c r="F8" s="170">
        <v>930</v>
      </c>
      <c r="G8" s="118" t="s">
        <v>109</v>
      </c>
      <c r="H8" s="91"/>
      <c r="I8" s="124">
        <v>100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125</v>
      </c>
      <c r="O8" s="315"/>
      <c r="P8" s="316"/>
      <c r="Q8" s="317"/>
      <c r="R8" s="26" t="s">
        <v>128</v>
      </c>
      <c r="S8" s="31">
        <v>0.40625</v>
      </c>
      <c r="T8" s="32">
        <v>0.6875</v>
      </c>
      <c r="U8" s="92">
        <f t="shared" si="0"/>
        <v>6.75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4982</v>
      </c>
      <c r="C9" s="63" t="s">
        <v>119</v>
      </c>
      <c r="D9" s="196" t="s">
        <v>120</v>
      </c>
      <c r="E9" s="266" t="s">
        <v>116</v>
      </c>
      <c r="F9" s="171">
        <v>1010</v>
      </c>
      <c r="G9" s="119" t="s">
        <v>44</v>
      </c>
      <c r="H9" s="91"/>
      <c r="I9" s="91"/>
      <c r="J9" s="130">
        <v>100</v>
      </c>
      <c r="K9" s="130" t="str">
        <f t="shared" si="2"/>
        <v>0</v>
      </c>
      <c r="L9" s="131"/>
      <c r="M9" s="131"/>
      <c r="N9" s="134" t="s">
        <v>125</v>
      </c>
      <c r="O9" s="315" t="s">
        <v>121</v>
      </c>
      <c r="P9" s="316"/>
      <c r="Q9" s="317"/>
      <c r="R9" s="26" t="s">
        <v>129</v>
      </c>
      <c r="S9" s="31">
        <v>0.41666666666666669</v>
      </c>
      <c r="T9" s="32">
        <v>0.64583333333333337</v>
      </c>
      <c r="U9" s="92">
        <f t="shared" si="0"/>
        <v>5.5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4983</v>
      </c>
      <c r="C10" s="28" t="s">
        <v>122</v>
      </c>
      <c r="D10" s="197" t="s">
        <v>123</v>
      </c>
      <c r="E10" s="266" t="s">
        <v>116</v>
      </c>
      <c r="F10" s="172">
        <v>1030</v>
      </c>
      <c r="G10" s="120" t="s">
        <v>112</v>
      </c>
      <c r="H10" s="123"/>
      <c r="I10" s="125"/>
      <c r="J10" s="130" t="str">
        <f t="shared" si="1"/>
        <v>0</v>
      </c>
      <c r="K10" s="130">
        <v>58.3</v>
      </c>
      <c r="L10" s="131"/>
      <c r="M10" s="131"/>
      <c r="N10" s="134" t="s">
        <v>125</v>
      </c>
      <c r="O10" s="302" t="s">
        <v>124</v>
      </c>
      <c r="P10" s="303"/>
      <c r="Q10" s="304"/>
      <c r="R10" s="26" t="s">
        <v>130</v>
      </c>
      <c r="S10" s="31">
        <v>0.41666666666666669</v>
      </c>
      <c r="T10" s="32">
        <v>0.64583333333333337</v>
      </c>
      <c r="U10" s="92">
        <f t="shared" si="0"/>
        <v>5.5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4984</v>
      </c>
      <c r="C11" s="18" t="s">
        <v>132</v>
      </c>
      <c r="D11" s="198" t="s">
        <v>133</v>
      </c>
      <c r="E11" s="266" t="s">
        <v>116</v>
      </c>
      <c r="F11" s="66">
        <v>1140</v>
      </c>
      <c r="G11" s="121" t="s">
        <v>134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125</v>
      </c>
      <c r="O11" s="312"/>
      <c r="P11" s="313"/>
      <c r="Q11" s="31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4985</v>
      </c>
      <c r="C12" s="64" t="s">
        <v>135</v>
      </c>
      <c r="D12" s="199" t="s">
        <v>136</v>
      </c>
      <c r="E12" s="266" t="s">
        <v>116</v>
      </c>
      <c r="F12" s="172">
        <v>1210</v>
      </c>
      <c r="G12" s="119" t="s">
        <v>137</v>
      </c>
      <c r="H12" s="123"/>
      <c r="I12" s="125">
        <v>30</v>
      </c>
      <c r="J12" s="130" t="str">
        <f t="shared" si="1"/>
        <v>0</v>
      </c>
      <c r="K12" s="130" t="str">
        <f t="shared" si="2"/>
        <v>58.3</v>
      </c>
      <c r="L12" s="131"/>
      <c r="M12" s="131"/>
      <c r="N12" s="134" t="s">
        <v>125</v>
      </c>
      <c r="O12" s="312" t="s">
        <v>138</v>
      </c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4986</v>
      </c>
      <c r="C13" s="64" t="s">
        <v>139</v>
      </c>
      <c r="D13" s="199" t="s">
        <v>140</v>
      </c>
      <c r="E13" s="266" t="s">
        <v>116</v>
      </c>
      <c r="F13" s="172">
        <v>1430</v>
      </c>
      <c r="G13" s="119" t="s">
        <v>141</v>
      </c>
      <c r="H13" s="168">
        <v>140</v>
      </c>
      <c r="I13" s="167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126</v>
      </c>
      <c r="O13" s="312" t="s">
        <v>142</v>
      </c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4987</v>
      </c>
      <c r="C14" s="65" t="s">
        <v>143</v>
      </c>
      <c r="D14" s="200" t="s">
        <v>144</v>
      </c>
      <c r="E14" s="266" t="s">
        <v>145</v>
      </c>
      <c r="F14" s="173">
        <v>1540</v>
      </c>
      <c r="G14" s="122" t="s">
        <v>109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126</v>
      </c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/>
      <c r="C15" s="65"/>
      <c r="D15" s="200"/>
      <c r="E15" s="266"/>
      <c r="F15" s="173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/>
      <c r="C16" s="65"/>
      <c r="D16" s="200"/>
      <c r="E16" s="266"/>
      <c r="F16" s="173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2"/>
      <c r="P16" s="313"/>
      <c r="Q16" s="314"/>
      <c r="R16" s="82">
        <f>H32/U16</f>
        <v>0.22346368715083795</v>
      </c>
      <c r="S16" s="83">
        <f>H32/(U16-U5)</f>
        <v>0.27972027972027969</v>
      </c>
      <c r="T16" s="83">
        <f>C32/U16</f>
        <v>18.656983240223461</v>
      </c>
      <c r="U16" s="83">
        <f>SUM(U5:U15)</f>
        <v>44.750000000000007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198"/>
      <c r="E17" s="266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266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66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2"/>
      <c r="P19" s="313"/>
      <c r="Q19" s="31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66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66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66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66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834.9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67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8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6" t="s">
        <v>48</v>
      </c>
      <c r="B30" s="347"/>
      <c r="C30" s="347"/>
      <c r="D30" s="347"/>
      <c r="E30" s="348"/>
      <c r="F30" s="347"/>
      <c r="G30" s="347"/>
      <c r="H30" s="245">
        <f t="shared" ref="H30:M30" si="3">SUM(H5:H29)</f>
        <v>145</v>
      </c>
      <c r="I30" s="105">
        <f>SUM(I5:I29)</f>
        <v>365</v>
      </c>
      <c r="J30" s="105">
        <f>J5+J6+J7+J8+J9+J10+J11+J12+J13+J14+J15+J16+J18+J19+J17+J20+J22+J23+J21+J24+J25+J26+J27+J28+J29</f>
        <v>150</v>
      </c>
      <c r="K30" s="105">
        <f>K5+K6+K7+K8+K9+K10+K11+K12+K13+K14+K15+K16+K18+K19+K17+K20+K22+K23+K21+K24+K25+K26+K27+K28+K29</f>
        <v>174.89999999999998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1" t="s">
        <v>16</v>
      </c>
      <c r="B31" s="352"/>
      <c r="C31" s="352"/>
      <c r="D31" s="352"/>
      <c r="E31" s="352"/>
      <c r="F31" s="352"/>
      <c r="G31" s="352"/>
      <c r="H31" s="246">
        <f t="shared" ref="H31:J31" si="4">H30+H62+H94</f>
        <v>145</v>
      </c>
      <c r="I31" s="103">
        <f t="shared" si="4"/>
        <v>365</v>
      </c>
      <c r="J31" s="103">
        <f t="shared" si="4"/>
        <v>150</v>
      </c>
      <c r="K31" s="103">
        <f>K30+K62+K94</f>
        <v>174.89999999999998</v>
      </c>
      <c r="L31" s="97">
        <f>L30+L62+L94</f>
        <v>0</v>
      </c>
      <c r="M31" s="97">
        <f>M30+M62+M94</f>
        <v>0</v>
      </c>
      <c r="N31" s="251">
        <f>COUNT(H5:H29,H37:H61,H69:H93)</f>
        <v>2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145</v>
      </c>
      <c r="T31" s="336">
        <f>H31+I31+L31+M31</f>
        <v>510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7" t="s">
        <v>55</v>
      </c>
      <c r="B32" s="328"/>
      <c r="C32" s="107">
        <f>H31+I31+J31+K31</f>
        <v>834.9</v>
      </c>
      <c r="D32" s="192"/>
      <c r="E32" s="264"/>
      <c r="F32" s="329" t="s">
        <v>53</v>
      </c>
      <c r="G32" s="329"/>
      <c r="H32" s="109">
        <f>COUNT(B5:B29,B37:B61,B69:B93)</f>
        <v>10</v>
      </c>
      <c r="I32" s="330" t="s">
        <v>54</v>
      </c>
      <c r="J32" s="330"/>
      <c r="K32" s="108">
        <f>C32/H32</f>
        <v>83.49</v>
      </c>
      <c r="L32" s="252"/>
      <c r="M32" s="252"/>
      <c r="N32" s="252">
        <f>H31/C32</f>
        <v>0.17367349383159661</v>
      </c>
      <c r="O32" s="252">
        <f>I31/C32</f>
        <v>0.43717810516229488</v>
      </c>
      <c r="P32" s="252">
        <f>K31/C32</f>
        <v>0.20948616600790512</v>
      </c>
      <c r="Q32" s="110">
        <f>J31/C32</f>
        <v>0.17966223499820339</v>
      </c>
      <c r="R32" s="99" t="s">
        <v>82</v>
      </c>
      <c r="S32" s="247">
        <f>I31+M31</f>
        <v>365</v>
      </c>
      <c r="T32" s="338"/>
      <c r="U32" s="339"/>
      <c r="V32" s="55"/>
      <c r="W32" s="55"/>
      <c r="X32" s="56" t="s">
        <v>27</v>
      </c>
      <c r="Y32" s="56"/>
      <c r="Z32" s="54">
        <f>I31</f>
        <v>365</v>
      </c>
      <c r="AE32" s="37"/>
      <c r="AF32" s="37"/>
      <c r="AG32" s="37"/>
      <c r="AH32" s="37"/>
    </row>
    <row r="33" spans="1:34" ht="18" thickBot="1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-2380</v>
      </c>
      <c r="AE33" s="37"/>
      <c r="AF33" s="37"/>
      <c r="AG33" s="59"/>
      <c r="AH33" s="37"/>
    </row>
    <row r="34" spans="1:34" ht="18" thickBot="1">
      <c r="A34" s="295" t="str">
        <f>A2</f>
        <v>17-01-2022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SUNNY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6</v>
      </c>
      <c r="U34" s="301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5" t="s">
        <v>8</v>
      </c>
      <c r="P36" s="305"/>
      <c r="Q36" s="305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8" thickBot="1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8" thickBot="1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8" thickBot="1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8" thickBot="1">
      <c r="A66" s="295" t="str">
        <f>A34</f>
        <v>17-01-2022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SUNNY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6</v>
      </c>
      <c r="U66" s="301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5" t="s">
        <v>8</v>
      </c>
      <c r="P68" s="305"/>
      <c r="Q68" s="305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9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8" thickBot="1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8" thickBot="1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count="2">
    <dataValidation type="list" allowBlank="1" showInputMessage="1" showErrorMessage="1" sqref="X7" xr:uid="{6D4B4139-2BB7-4BA4-AA63-4374F0F68D6B}">
      <formula1>$W$5:$W$7</formula1>
    </dataValidation>
    <dataValidation type="list" allowBlank="1" showInputMessage="1" showErrorMessage="1" sqref="W5:W8 E5:E29 E37:E61 E69:E93" xr:uid="{143AC879-D040-45D1-95D0-26980E766AE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8" sqref="R8:S8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8" thickBot="1">
      <c r="A2" s="295" t="s">
        <v>101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151</v>
      </c>
      <c r="K2" s="297"/>
      <c r="L2" s="299" t="s">
        <v>93</v>
      </c>
      <c r="M2" s="300"/>
      <c r="N2" s="298"/>
      <c r="O2" s="296" t="s">
        <v>125</v>
      </c>
      <c r="P2" s="296"/>
      <c r="Q2" s="297"/>
      <c r="R2" s="299" t="s">
        <v>51</v>
      </c>
      <c r="S2" s="298"/>
      <c r="T2" s="301">
        <v>5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5" t="s">
        <v>8</v>
      </c>
      <c r="P4" s="305"/>
      <c r="Q4" s="305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4988</v>
      </c>
      <c r="C5" s="253" t="s">
        <v>146</v>
      </c>
      <c r="D5" s="254" t="s">
        <v>147</v>
      </c>
      <c r="E5" s="265" t="s">
        <v>97</v>
      </c>
      <c r="F5" s="169">
        <v>940</v>
      </c>
      <c r="G5" s="118" t="s">
        <v>109</v>
      </c>
      <c r="H5" s="91"/>
      <c r="I5" s="124">
        <v>95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125</v>
      </c>
      <c r="O5" s="306" t="s">
        <v>148</v>
      </c>
      <c r="P5" s="307"/>
      <c r="Q5" s="308"/>
      <c r="R5" s="33" t="s">
        <v>125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4989</v>
      </c>
      <c r="C6" s="67" t="s">
        <v>149</v>
      </c>
      <c r="D6" s="195" t="s">
        <v>150</v>
      </c>
      <c r="E6" s="266" t="s">
        <v>95</v>
      </c>
      <c r="F6" s="170">
        <v>1240</v>
      </c>
      <c r="G6" s="118" t="s">
        <v>109</v>
      </c>
      <c r="H6" s="91"/>
      <c r="I6" s="124">
        <v>75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125</v>
      </c>
      <c r="O6" s="309"/>
      <c r="P6" s="310"/>
      <c r="Q6" s="311"/>
      <c r="R6" s="132" t="s">
        <v>126</v>
      </c>
      <c r="S6" s="31">
        <v>0.33333333333333331</v>
      </c>
      <c r="T6" s="32">
        <v>0.67708333333333337</v>
      </c>
      <c r="U6" s="92">
        <f t="shared" si="0"/>
        <v>8.2500000000000018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4990</v>
      </c>
      <c r="C7" s="67" t="s">
        <v>152</v>
      </c>
      <c r="D7" s="195" t="s">
        <v>153</v>
      </c>
      <c r="E7" s="266" t="s">
        <v>97</v>
      </c>
      <c r="F7" s="170">
        <v>1340</v>
      </c>
      <c r="G7" s="118" t="s">
        <v>134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125</v>
      </c>
      <c r="O7" s="312"/>
      <c r="P7" s="313"/>
      <c r="Q7" s="314"/>
      <c r="R7" s="26" t="s">
        <v>128</v>
      </c>
      <c r="S7" s="31">
        <v>0.41666666666666669</v>
      </c>
      <c r="T7" s="32">
        <v>0.60416666666666663</v>
      </c>
      <c r="U7" s="92">
        <f t="shared" si="0"/>
        <v>4.4999999999999982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4991</v>
      </c>
      <c r="C8" s="27" t="s">
        <v>154</v>
      </c>
      <c r="D8" s="195" t="s">
        <v>155</v>
      </c>
      <c r="E8" s="266" t="s">
        <v>116</v>
      </c>
      <c r="F8" s="170">
        <v>1520</v>
      </c>
      <c r="G8" s="118" t="s">
        <v>109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125</v>
      </c>
      <c r="O8" s="315"/>
      <c r="P8" s="316"/>
      <c r="Q8" s="317"/>
      <c r="R8" s="26" t="s">
        <v>129</v>
      </c>
      <c r="S8" s="31">
        <v>0.41666666666666669</v>
      </c>
      <c r="T8" s="32">
        <v>0.52083333333333337</v>
      </c>
      <c r="U8" s="92">
        <f t="shared" si="0"/>
        <v>2.5000000000000004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4992</v>
      </c>
      <c r="C9" s="63" t="s">
        <v>156</v>
      </c>
      <c r="D9" s="196" t="s">
        <v>157</v>
      </c>
      <c r="E9" s="266" t="s">
        <v>116</v>
      </c>
      <c r="F9" s="171">
        <v>1620</v>
      </c>
      <c r="G9" s="119" t="s">
        <v>141</v>
      </c>
      <c r="H9" s="91"/>
      <c r="I9" s="91">
        <v>120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125</v>
      </c>
      <c r="O9" s="315"/>
      <c r="P9" s="316"/>
      <c r="Q9" s="317"/>
      <c r="R9" s="26" t="s">
        <v>130</v>
      </c>
      <c r="S9" s="31">
        <v>0.41666666666666669</v>
      </c>
      <c r="T9" s="32">
        <v>0.60416666666666663</v>
      </c>
      <c r="U9" s="92">
        <f t="shared" si="0"/>
        <v>4.4999999999999982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/>
      <c r="C10" s="28"/>
      <c r="D10" s="197"/>
      <c r="E10" s="266"/>
      <c r="F10" s="172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02"/>
      <c r="P10" s="303"/>
      <c r="Q10" s="30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/>
      <c r="C11" s="18"/>
      <c r="D11" s="198"/>
      <c r="E11" s="266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12"/>
      <c r="P11" s="313"/>
      <c r="Q11" s="31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/>
      <c r="C12" s="64"/>
      <c r="D12" s="199"/>
      <c r="E12" s="266"/>
      <c r="F12" s="172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12"/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/>
      <c r="C13" s="64"/>
      <c r="D13" s="199"/>
      <c r="E13" s="266"/>
      <c r="F13" s="172"/>
      <c r="G13" s="119"/>
      <c r="H13" s="168"/>
      <c r="I13" s="167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2"/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/>
      <c r="C14" s="65"/>
      <c r="D14" s="200"/>
      <c r="E14" s="266"/>
      <c r="F14" s="173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/>
      <c r="C15" s="65"/>
      <c r="D15" s="200"/>
      <c r="E15" s="266"/>
      <c r="F15" s="173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/>
      <c r="C16" s="65"/>
      <c r="D16" s="200"/>
      <c r="E16" s="266"/>
      <c r="F16" s="173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2"/>
      <c r="P16" s="313"/>
      <c r="Q16" s="314"/>
      <c r="R16" s="82">
        <f>H32/U16</f>
        <v>0.17391304347826086</v>
      </c>
      <c r="S16" s="83">
        <f>H32/(U16-U5)</f>
        <v>0.25316455696202533</v>
      </c>
      <c r="T16" s="83">
        <f>C32/U16</f>
        <v>15.304347826086957</v>
      </c>
      <c r="U16" s="83">
        <f>SUM(U5:U15)</f>
        <v>28.75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198"/>
      <c r="E17" s="266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266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66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2"/>
      <c r="P19" s="313"/>
      <c r="Q19" s="31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66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66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66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66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440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67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8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6" t="s">
        <v>48</v>
      </c>
      <c r="B30" s="347"/>
      <c r="C30" s="347"/>
      <c r="D30" s="347"/>
      <c r="E30" s="348"/>
      <c r="F30" s="347"/>
      <c r="G30" s="347"/>
      <c r="H30" s="245">
        <f t="shared" ref="H30:M30" si="3">SUM(H5:H29)</f>
        <v>0</v>
      </c>
      <c r="I30" s="105">
        <f>SUM(I5:I29)</f>
        <v>440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1" t="s">
        <v>16</v>
      </c>
      <c r="B31" s="352"/>
      <c r="C31" s="352"/>
      <c r="D31" s="352"/>
      <c r="E31" s="352"/>
      <c r="F31" s="352"/>
      <c r="G31" s="352"/>
      <c r="H31" s="246">
        <f t="shared" ref="H31:J31" si="4">H30+H62+H94</f>
        <v>0</v>
      </c>
      <c r="I31" s="103">
        <f t="shared" si="4"/>
        <v>440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51">
        <f>COUNT(H5:H29,H37:H61,H69:H93)</f>
        <v>0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36">
        <f>H31+I31+L31+M31</f>
        <v>440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7" t="s">
        <v>55</v>
      </c>
      <c r="B32" s="328"/>
      <c r="C32" s="107">
        <f>H31+I31+J31+K31</f>
        <v>440</v>
      </c>
      <c r="D32" s="192"/>
      <c r="E32" s="264"/>
      <c r="F32" s="329" t="s">
        <v>53</v>
      </c>
      <c r="G32" s="329"/>
      <c r="H32" s="109">
        <f>COUNT(B5:B29,B37:B61,B69:B93)</f>
        <v>5</v>
      </c>
      <c r="I32" s="330" t="s">
        <v>54</v>
      </c>
      <c r="J32" s="330"/>
      <c r="K32" s="108">
        <f>C32/H32</f>
        <v>88</v>
      </c>
      <c r="L32" s="252"/>
      <c r="M32" s="252"/>
      <c r="N32" s="252">
        <f>H31/C32</f>
        <v>0</v>
      </c>
      <c r="O32" s="252">
        <f>I31/C32</f>
        <v>1</v>
      </c>
      <c r="P32" s="252">
        <f>K31/C32</f>
        <v>0</v>
      </c>
      <c r="Q32" s="110">
        <f>J31/C32</f>
        <v>0</v>
      </c>
      <c r="R32" s="99" t="s">
        <v>82</v>
      </c>
      <c r="S32" s="247">
        <f>I31+M31</f>
        <v>440</v>
      </c>
      <c r="T32" s="338"/>
      <c r="U32" s="339"/>
      <c r="V32" s="55"/>
      <c r="W32" s="55"/>
      <c r="X32" s="56" t="s">
        <v>27</v>
      </c>
      <c r="Y32" s="56"/>
      <c r="Z32" s="54">
        <f>I31</f>
        <v>440</v>
      </c>
      <c r="AE32" s="37"/>
      <c r="AF32" s="37"/>
      <c r="AG32" s="37"/>
      <c r="AH32" s="37"/>
    </row>
    <row r="33" spans="1:34" ht="18" thickBot="1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-2305</v>
      </c>
      <c r="AE33" s="37"/>
      <c r="AF33" s="37"/>
      <c r="AG33" s="59"/>
      <c r="AH33" s="37"/>
    </row>
    <row r="34" spans="1:34" ht="18" thickBot="1">
      <c r="A34" s="295" t="str">
        <f>A2</f>
        <v>18-01-2022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RAIN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5</v>
      </c>
      <c r="U34" s="301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5" t="s">
        <v>8</v>
      </c>
      <c r="P36" s="305"/>
      <c r="Q36" s="305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8" thickBot="1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8" thickBot="1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8" thickBot="1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8" thickBot="1">
      <c r="A66" s="295" t="str">
        <f>A34</f>
        <v>18-01-2022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RAIN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5</v>
      </c>
      <c r="U66" s="301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5" t="s">
        <v>8</v>
      </c>
      <c r="P68" s="305"/>
      <c r="Q68" s="305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9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8" thickBot="1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8" thickBot="1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count="2">
    <dataValidation type="list" allowBlank="1" showInputMessage="1" showErrorMessage="1" sqref="X7" xr:uid="{3C63AC9D-55E3-4C9F-812C-4AB75701F154}">
      <formula1>$W$5:$W$7</formula1>
    </dataValidation>
    <dataValidation type="list" allowBlank="1" showInputMessage="1" showErrorMessage="1" sqref="W5:W8 E5:E29 E37:E61 E69:E93" xr:uid="{0149F2FF-A173-4E88-9C6C-8C1E1E9FA83B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E16" sqref="E16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8" thickBot="1">
      <c r="A2" s="295" t="s">
        <v>102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151</v>
      </c>
      <c r="K2" s="297"/>
      <c r="L2" s="299" t="s">
        <v>93</v>
      </c>
      <c r="M2" s="300"/>
      <c r="N2" s="298"/>
      <c r="O2" s="296" t="s">
        <v>125</v>
      </c>
      <c r="P2" s="296"/>
      <c r="Q2" s="297"/>
      <c r="R2" s="299" t="s">
        <v>51</v>
      </c>
      <c r="S2" s="298"/>
      <c r="T2" s="301">
        <v>3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5" t="s">
        <v>8</v>
      </c>
      <c r="P4" s="305"/>
      <c r="Q4" s="305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4993</v>
      </c>
      <c r="C5" s="253" t="s">
        <v>158</v>
      </c>
      <c r="D5" s="254" t="s">
        <v>159</v>
      </c>
      <c r="E5" s="265" t="s">
        <v>145</v>
      </c>
      <c r="F5" s="169">
        <v>1550</v>
      </c>
      <c r="G5" s="118" t="s">
        <v>44</v>
      </c>
      <c r="H5" s="91"/>
      <c r="I5" s="124"/>
      <c r="J5" s="130">
        <v>100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306" t="s">
        <v>160</v>
      </c>
      <c r="P5" s="307"/>
      <c r="Q5" s="308"/>
      <c r="R5" s="33" t="s">
        <v>125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4994</v>
      </c>
      <c r="C6" s="67" t="s">
        <v>161</v>
      </c>
      <c r="D6" s="195" t="s">
        <v>162</v>
      </c>
      <c r="E6" s="266" t="s">
        <v>145</v>
      </c>
      <c r="F6" s="170">
        <v>1600</v>
      </c>
      <c r="G6" s="118" t="s">
        <v>109</v>
      </c>
      <c r="H6" s="91"/>
      <c r="I6" s="124">
        <v>95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309"/>
      <c r="P6" s="310"/>
      <c r="Q6" s="311"/>
      <c r="R6" s="132" t="s">
        <v>126</v>
      </c>
      <c r="S6" s="31">
        <v>0.33333333333333331</v>
      </c>
      <c r="T6" s="32">
        <v>0.60416666666666663</v>
      </c>
      <c r="U6" s="92">
        <f t="shared" si="0"/>
        <v>6.5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270"/>
      <c r="C7" s="67"/>
      <c r="D7" s="195"/>
      <c r="E7" s="266"/>
      <c r="F7" s="170"/>
      <c r="G7" s="118"/>
      <c r="H7" s="91"/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12"/>
      <c r="P7" s="313"/>
      <c r="Q7" s="314"/>
      <c r="R7" s="134" t="s">
        <v>127</v>
      </c>
      <c r="S7" s="31">
        <v>0.33333333333333331</v>
      </c>
      <c r="T7" s="32">
        <v>0.52083333333333337</v>
      </c>
      <c r="U7" s="92">
        <f t="shared" si="0"/>
        <v>4.5000000000000018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271"/>
      <c r="C8" s="27"/>
      <c r="D8" s="195"/>
      <c r="E8" s="266"/>
      <c r="F8" s="170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15"/>
      <c r="P8" s="316"/>
      <c r="Q8" s="317"/>
      <c r="R8" s="26"/>
      <c r="S8" s="31"/>
      <c r="T8" s="32"/>
      <c r="U8" s="92">
        <f t="shared" si="0"/>
        <v>0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270"/>
      <c r="C9" s="63"/>
      <c r="D9" s="196"/>
      <c r="E9" s="266"/>
      <c r="F9" s="171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15"/>
      <c r="P9" s="316"/>
      <c r="Q9" s="317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271"/>
      <c r="C10" s="28"/>
      <c r="D10" s="197"/>
      <c r="E10" s="266"/>
      <c r="F10" s="172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02"/>
      <c r="P10" s="303"/>
      <c r="Q10" s="30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270"/>
      <c r="C11" s="18"/>
      <c r="D11" s="198"/>
      <c r="E11" s="266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12"/>
      <c r="P11" s="313"/>
      <c r="Q11" s="31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/>
      <c r="C12" s="64"/>
      <c r="D12" s="199"/>
      <c r="E12" s="266"/>
      <c r="F12" s="172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12"/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/>
      <c r="C13" s="64"/>
      <c r="D13" s="199"/>
      <c r="E13" s="266"/>
      <c r="F13" s="172"/>
      <c r="G13" s="119"/>
      <c r="H13" s="168"/>
      <c r="I13" s="167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12"/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/>
      <c r="C14" s="65"/>
      <c r="D14" s="200"/>
      <c r="E14" s="266"/>
      <c r="F14" s="173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/>
      <c r="C15" s="65"/>
      <c r="D15" s="200"/>
      <c r="E15" s="266"/>
      <c r="F15" s="173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/>
      <c r="C16" s="65"/>
      <c r="D16" s="200"/>
      <c r="E16" s="266"/>
      <c r="F16" s="173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2"/>
      <c r="P16" s="313"/>
      <c r="Q16" s="314"/>
      <c r="R16" s="82">
        <f>H32/U16</f>
        <v>9.9999999999999978E-2</v>
      </c>
      <c r="S16" s="83">
        <f>H32/(U16-U5)</f>
        <v>0.1818181818181818</v>
      </c>
      <c r="T16" s="83">
        <f>C32/U16</f>
        <v>9.7499999999999982</v>
      </c>
      <c r="U16" s="83">
        <f>SUM(U5:U15)</f>
        <v>20.000000000000004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198"/>
      <c r="E17" s="266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266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66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2"/>
      <c r="P19" s="313"/>
      <c r="Q19" s="31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66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66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66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66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195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67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8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6" t="s">
        <v>48</v>
      </c>
      <c r="B30" s="347"/>
      <c r="C30" s="347"/>
      <c r="D30" s="347"/>
      <c r="E30" s="348"/>
      <c r="F30" s="347"/>
      <c r="G30" s="347"/>
      <c r="H30" s="245">
        <f t="shared" ref="H30:M30" si="3">SUM(H5:H29)</f>
        <v>0</v>
      </c>
      <c r="I30" s="105">
        <f>SUM(I5:I29)</f>
        <v>95</v>
      </c>
      <c r="J30" s="105">
        <f>J5+J6+J7+J8+J9+J10+J11+J12+J13+J14+J15+J16+J18+J19+J17+J20+J22+J23+J21+J24+J25+J26+J27+J28+J29</f>
        <v>100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1" t="s">
        <v>16</v>
      </c>
      <c r="B31" s="352"/>
      <c r="C31" s="352"/>
      <c r="D31" s="352"/>
      <c r="E31" s="352"/>
      <c r="F31" s="352"/>
      <c r="G31" s="352"/>
      <c r="H31" s="246">
        <f t="shared" ref="H31:J31" si="4">H30+H62+H94</f>
        <v>0</v>
      </c>
      <c r="I31" s="103">
        <f t="shared" si="4"/>
        <v>95</v>
      </c>
      <c r="J31" s="103">
        <f t="shared" si="4"/>
        <v>100</v>
      </c>
      <c r="K31" s="103">
        <f>K30+K62+K94</f>
        <v>0</v>
      </c>
      <c r="L31" s="97">
        <f>L30+L62+L94</f>
        <v>0</v>
      </c>
      <c r="M31" s="97">
        <f>M30+M62+M94</f>
        <v>0</v>
      </c>
      <c r="N31" s="251">
        <f>COUNT(H5:H29,H37:H61,H69:H93)</f>
        <v>0</v>
      </c>
      <c r="O31" s="104">
        <f>COUNT(I5:I29,I37:I61,I69:I93)</f>
        <v>1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0</v>
      </c>
      <c r="T31" s="336">
        <f>H31+I31+L31+M31</f>
        <v>95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7" t="s">
        <v>55</v>
      </c>
      <c r="B32" s="328"/>
      <c r="C32" s="107">
        <f>H31+I31+J31+K31</f>
        <v>195</v>
      </c>
      <c r="D32" s="192"/>
      <c r="E32" s="264"/>
      <c r="F32" s="329" t="s">
        <v>53</v>
      </c>
      <c r="G32" s="329"/>
      <c r="H32" s="109">
        <f>COUNT(B5:B29,B37:B61,B69:B93)</f>
        <v>2</v>
      </c>
      <c r="I32" s="330" t="s">
        <v>54</v>
      </c>
      <c r="J32" s="330"/>
      <c r="K32" s="108">
        <f>C32/H32</f>
        <v>97.5</v>
      </c>
      <c r="L32" s="252"/>
      <c r="M32" s="252"/>
      <c r="N32" s="252">
        <f>H31/C32</f>
        <v>0</v>
      </c>
      <c r="O32" s="252">
        <f>I31/C32</f>
        <v>0.48717948717948717</v>
      </c>
      <c r="P32" s="252">
        <f>K31/C32</f>
        <v>0</v>
      </c>
      <c r="Q32" s="110">
        <f>J31/C32</f>
        <v>0.51282051282051277</v>
      </c>
      <c r="R32" s="99" t="s">
        <v>82</v>
      </c>
      <c r="S32" s="247">
        <f>I31+M31</f>
        <v>95</v>
      </c>
      <c r="T32" s="338"/>
      <c r="U32" s="339"/>
      <c r="V32" s="55"/>
      <c r="W32" s="55"/>
      <c r="X32" s="56" t="s">
        <v>27</v>
      </c>
      <c r="Y32" s="56"/>
      <c r="Z32" s="54">
        <f>I31</f>
        <v>95</v>
      </c>
      <c r="AE32" s="37"/>
      <c r="AF32" s="37"/>
      <c r="AG32" s="37"/>
      <c r="AH32" s="37"/>
    </row>
    <row r="33" spans="1:34" ht="18" thickBot="1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-2650</v>
      </c>
      <c r="AE33" s="37"/>
      <c r="AF33" s="37"/>
      <c r="AG33" s="59"/>
      <c r="AH33" s="37"/>
    </row>
    <row r="34" spans="1:34" ht="18" thickBot="1">
      <c r="A34" s="295" t="str">
        <f>A2</f>
        <v>19-01-2022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RAIN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3</v>
      </c>
      <c r="U34" s="301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5" t="s">
        <v>8</v>
      </c>
      <c r="P36" s="305"/>
      <c r="Q36" s="305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8" thickBot="1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8" thickBot="1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8" thickBot="1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8" thickBot="1">
      <c r="A66" s="295" t="str">
        <f>A34</f>
        <v>19-01-2022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RAIN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3</v>
      </c>
      <c r="U66" s="301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5" t="s">
        <v>8</v>
      </c>
      <c r="P68" s="305"/>
      <c r="Q68" s="305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9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8" thickBot="1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8" thickBot="1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2">
    <dataValidation type="list" allowBlank="1" showInputMessage="1" showErrorMessage="1" sqref="X7" xr:uid="{ADD511C5-A579-4D7F-A8A7-A59758B4A0FC}">
      <formula1>$W$5:$W$7</formula1>
    </dataValidation>
    <dataValidation type="list" allowBlank="1" showInputMessage="1" showErrorMessage="1" sqref="W5:W8 E5:E29 E37:E61 E69:E93" xr:uid="{38F78852-FFA4-4967-A101-187D2DD6F1C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topLeftCell="A2" zoomScaleNormal="100" zoomScaleSheetLayoutView="77" workbookViewId="0">
      <selection activeCell="G28" sqref="G28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8" thickBot="1">
      <c r="A2" s="295" t="s">
        <v>103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190</v>
      </c>
      <c r="K2" s="297"/>
      <c r="L2" s="299" t="s">
        <v>93</v>
      </c>
      <c r="M2" s="300"/>
      <c r="N2" s="298"/>
      <c r="O2" s="296" t="s">
        <v>125</v>
      </c>
      <c r="P2" s="296"/>
      <c r="Q2" s="297"/>
      <c r="R2" s="299" t="s">
        <v>51</v>
      </c>
      <c r="S2" s="298"/>
      <c r="T2" s="301">
        <v>4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5" t="s">
        <v>8</v>
      </c>
      <c r="P4" s="305"/>
      <c r="Q4" s="305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4995</v>
      </c>
      <c r="C5" s="253" t="s">
        <v>163</v>
      </c>
      <c r="D5" s="254" t="s">
        <v>164</v>
      </c>
      <c r="E5" s="265" t="s">
        <v>97</v>
      </c>
      <c r="F5" s="169">
        <v>930</v>
      </c>
      <c r="G5" s="118" t="s">
        <v>134</v>
      </c>
      <c r="H5" s="91"/>
      <c r="I5" s="124">
        <v>75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125</v>
      </c>
      <c r="O5" s="306"/>
      <c r="P5" s="307"/>
      <c r="Q5" s="308"/>
      <c r="R5" s="33" t="s">
        <v>125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4996</v>
      </c>
      <c r="C6" s="67" t="s">
        <v>165</v>
      </c>
      <c r="D6" s="195" t="s">
        <v>166</v>
      </c>
      <c r="E6" s="266" t="s">
        <v>145</v>
      </c>
      <c r="F6" s="170">
        <v>930</v>
      </c>
      <c r="G6" s="118" t="s">
        <v>109</v>
      </c>
      <c r="H6" s="91"/>
      <c r="I6" s="124">
        <v>95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125</v>
      </c>
      <c r="O6" s="309"/>
      <c r="P6" s="310"/>
      <c r="Q6" s="311"/>
      <c r="R6" s="132" t="s">
        <v>126</v>
      </c>
      <c r="S6" s="31">
        <v>0.4375</v>
      </c>
      <c r="T6" s="32">
        <v>0.70833333333333337</v>
      </c>
      <c r="U6" s="92">
        <f t="shared" si="0"/>
        <v>6.5000000000000009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4997</v>
      </c>
      <c r="C7" s="67" t="s">
        <v>167</v>
      </c>
      <c r="D7" s="195" t="s">
        <v>168</v>
      </c>
      <c r="E7" s="266" t="s">
        <v>145</v>
      </c>
      <c r="F7" s="170">
        <v>1000</v>
      </c>
      <c r="G7" s="118" t="s">
        <v>109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125</v>
      </c>
      <c r="O7" s="312"/>
      <c r="P7" s="313"/>
      <c r="Q7" s="314"/>
      <c r="R7" s="134" t="s">
        <v>127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4998</v>
      </c>
      <c r="C8" s="27" t="s">
        <v>169</v>
      </c>
      <c r="D8" s="195" t="s">
        <v>170</v>
      </c>
      <c r="E8" s="266" t="s">
        <v>95</v>
      </c>
      <c r="F8" s="170">
        <v>1030</v>
      </c>
      <c r="G8" s="118" t="s">
        <v>109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125</v>
      </c>
      <c r="O8" s="315"/>
      <c r="P8" s="316"/>
      <c r="Q8" s="317"/>
      <c r="R8" s="26" t="s">
        <v>129</v>
      </c>
      <c r="S8" s="31">
        <v>0.41666666666666669</v>
      </c>
      <c r="T8" s="32">
        <v>0.66666666666666663</v>
      </c>
      <c r="U8" s="92">
        <f t="shared" si="0"/>
        <v>5.9999999999999982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4999</v>
      </c>
      <c r="C9" s="63" t="s">
        <v>171</v>
      </c>
      <c r="D9" s="196" t="s">
        <v>172</v>
      </c>
      <c r="E9" s="266" t="s">
        <v>116</v>
      </c>
      <c r="F9" s="171">
        <v>1100</v>
      </c>
      <c r="G9" s="119" t="s">
        <v>134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125</v>
      </c>
      <c r="O9" s="315"/>
      <c r="P9" s="316"/>
      <c r="Q9" s="317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5000</v>
      </c>
      <c r="C10" s="28" t="s">
        <v>173</v>
      </c>
      <c r="D10" s="197" t="s">
        <v>174</v>
      </c>
      <c r="E10" s="266" t="s">
        <v>116</v>
      </c>
      <c r="F10" s="172">
        <v>1110</v>
      </c>
      <c r="G10" s="120" t="s">
        <v>109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125</v>
      </c>
      <c r="O10" s="302"/>
      <c r="P10" s="303"/>
      <c r="Q10" s="30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272">
        <v>7</v>
      </c>
      <c r="B11" s="273">
        <v>2801</v>
      </c>
      <c r="C11" s="274" t="s">
        <v>175</v>
      </c>
      <c r="D11" s="275" t="s">
        <v>176</v>
      </c>
      <c r="E11" s="276" t="s">
        <v>145</v>
      </c>
      <c r="F11" s="277">
        <v>1140</v>
      </c>
      <c r="G11" s="278" t="s">
        <v>137</v>
      </c>
      <c r="H11" s="279"/>
      <c r="I11" s="280"/>
      <c r="J11" s="280" t="str">
        <f t="shared" si="1"/>
        <v>0</v>
      </c>
      <c r="K11" s="280" t="str">
        <f t="shared" si="2"/>
        <v>58.3</v>
      </c>
      <c r="L11" s="281"/>
      <c r="M11" s="281">
        <v>475</v>
      </c>
      <c r="N11" s="282" t="s">
        <v>125</v>
      </c>
      <c r="O11" s="383" t="s">
        <v>177</v>
      </c>
      <c r="P11" s="384"/>
      <c r="Q11" s="385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2802</v>
      </c>
      <c r="C12" s="64" t="s">
        <v>178</v>
      </c>
      <c r="D12" s="199" t="s">
        <v>179</v>
      </c>
      <c r="E12" s="266" t="s">
        <v>116</v>
      </c>
      <c r="F12" s="172">
        <v>1300</v>
      </c>
      <c r="G12" s="119" t="s">
        <v>185</v>
      </c>
      <c r="H12" s="123">
        <v>95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2" t="s">
        <v>126</v>
      </c>
      <c r="O12" s="312"/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2803</v>
      </c>
      <c r="C13" s="64" t="s">
        <v>180</v>
      </c>
      <c r="D13" s="199" t="s">
        <v>181</v>
      </c>
      <c r="E13" s="266" t="s">
        <v>145</v>
      </c>
      <c r="F13" s="172">
        <v>1310</v>
      </c>
      <c r="G13" s="119" t="s">
        <v>141</v>
      </c>
      <c r="H13" s="168"/>
      <c r="I13" s="167">
        <v>180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125</v>
      </c>
      <c r="O13" s="312" t="s">
        <v>182</v>
      </c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2804</v>
      </c>
      <c r="C14" s="65" t="s">
        <v>183</v>
      </c>
      <c r="D14" s="200" t="s">
        <v>184</v>
      </c>
      <c r="E14" s="266" t="s">
        <v>116</v>
      </c>
      <c r="F14" s="173">
        <v>1330</v>
      </c>
      <c r="G14" s="122" t="s">
        <v>185</v>
      </c>
      <c r="H14" s="123"/>
      <c r="I14" s="125">
        <v>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125</v>
      </c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2805</v>
      </c>
      <c r="C15" s="65" t="s">
        <v>186</v>
      </c>
      <c r="D15" s="200" t="s">
        <v>187</v>
      </c>
      <c r="E15" s="266" t="s">
        <v>116</v>
      </c>
      <c r="F15" s="173">
        <v>1350</v>
      </c>
      <c r="G15" s="122" t="s">
        <v>141</v>
      </c>
      <c r="H15" s="123"/>
      <c r="I15" s="124">
        <v>100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125</v>
      </c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2806</v>
      </c>
      <c r="C16" s="65" t="s">
        <v>188</v>
      </c>
      <c r="D16" s="200" t="s">
        <v>189</v>
      </c>
      <c r="E16" s="266" t="s">
        <v>145</v>
      </c>
      <c r="F16" s="173">
        <v>1425</v>
      </c>
      <c r="G16" s="122" t="s">
        <v>141</v>
      </c>
      <c r="H16" s="123"/>
      <c r="I16" s="124">
        <v>150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125</v>
      </c>
      <c r="O16" s="312"/>
      <c r="P16" s="313"/>
      <c r="Q16" s="314"/>
      <c r="R16" s="82">
        <f>H32/U16</f>
        <v>0.39344262295081955</v>
      </c>
      <c r="S16" s="83">
        <f>H32/(U16-U5)</f>
        <v>0.5581395348837207</v>
      </c>
      <c r="T16" s="83">
        <f>C32/U16</f>
        <v>36.829508196721299</v>
      </c>
      <c r="U16" s="83">
        <f>SUM(U5:U15)</f>
        <v>30.500000000000007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/>
      <c r="C17" s="18"/>
      <c r="D17" s="198"/>
      <c r="E17" s="266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/>
      <c r="C18" s="18"/>
      <c r="D18" s="198"/>
      <c r="E18" s="266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/>
      <c r="C19" s="18"/>
      <c r="D19" s="198"/>
      <c r="E19" s="266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2"/>
      <c r="P19" s="313"/>
      <c r="Q19" s="313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/>
      <c r="C20" s="18"/>
      <c r="D20" s="198"/>
      <c r="E20" s="266"/>
      <c r="F20" s="66"/>
      <c r="G20" s="121"/>
      <c r="H20" s="123"/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/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/>
      <c r="C21" s="18"/>
      <c r="D21" s="198"/>
      <c r="E21" s="266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66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66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1123.3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67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8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6" t="s">
        <v>48</v>
      </c>
      <c r="B30" s="347"/>
      <c r="C30" s="347"/>
      <c r="D30" s="347"/>
      <c r="E30" s="348"/>
      <c r="F30" s="347"/>
      <c r="G30" s="347"/>
      <c r="H30" s="245">
        <f t="shared" ref="H30:M30" si="3">SUM(H5:H29)</f>
        <v>95</v>
      </c>
      <c r="I30" s="105">
        <f>SUM(I5:I29)</f>
        <v>970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475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1" t="s">
        <v>16</v>
      </c>
      <c r="B31" s="352"/>
      <c r="C31" s="352"/>
      <c r="D31" s="352"/>
      <c r="E31" s="352"/>
      <c r="F31" s="352"/>
      <c r="G31" s="352"/>
      <c r="H31" s="246">
        <f t="shared" ref="H31:J31" si="4">H30+H62+H94</f>
        <v>95</v>
      </c>
      <c r="I31" s="103">
        <f t="shared" si="4"/>
        <v>970</v>
      </c>
      <c r="J31" s="103">
        <f t="shared" si="4"/>
        <v>0</v>
      </c>
      <c r="K31" s="103">
        <f>K30+K62+K94</f>
        <v>58.3</v>
      </c>
      <c r="L31" s="97">
        <f>L30+L62+L94</f>
        <v>0</v>
      </c>
      <c r="M31" s="97">
        <f>M30+M62+M94</f>
        <v>475</v>
      </c>
      <c r="N31" s="251">
        <f>COUNT(H5:H29,H37:H61,H69:H93)</f>
        <v>1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95</v>
      </c>
      <c r="T31" s="336">
        <f>H31+I31+L31+M31</f>
        <v>1540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7" t="s">
        <v>55</v>
      </c>
      <c r="B32" s="328"/>
      <c r="C32" s="107">
        <f>H31+I31+J31+K31</f>
        <v>1123.3</v>
      </c>
      <c r="D32" s="192"/>
      <c r="E32" s="264"/>
      <c r="F32" s="329" t="s">
        <v>53</v>
      </c>
      <c r="G32" s="329"/>
      <c r="H32" s="109">
        <f>COUNT(B5:B29,B37:B61,B69:B93)</f>
        <v>12</v>
      </c>
      <c r="I32" s="330" t="s">
        <v>54</v>
      </c>
      <c r="J32" s="330"/>
      <c r="K32" s="108">
        <f>C32/H32</f>
        <v>93.608333333333334</v>
      </c>
      <c r="L32" s="252"/>
      <c r="M32" s="252"/>
      <c r="N32" s="252">
        <f>H31/C32</f>
        <v>8.4572242499777447E-2</v>
      </c>
      <c r="O32" s="252">
        <f>I31/C32</f>
        <v>0.86352710762930651</v>
      </c>
      <c r="P32" s="252">
        <f>K31/C32</f>
        <v>5.1900649870916048E-2</v>
      </c>
      <c r="Q32" s="110">
        <f>J31/C32</f>
        <v>0</v>
      </c>
      <c r="R32" s="99" t="s">
        <v>82</v>
      </c>
      <c r="S32" s="247">
        <f>I31+M31</f>
        <v>1445</v>
      </c>
      <c r="T32" s="338"/>
      <c r="U32" s="339"/>
      <c r="V32" s="55"/>
      <c r="W32" s="55"/>
      <c r="X32" s="56" t="s">
        <v>27</v>
      </c>
      <c r="Y32" s="56"/>
      <c r="Z32" s="54">
        <f>I31</f>
        <v>970</v>
      </c>
      <c r="AE32" s="37"/>
      <c r="AF32" s="37"/>
      <c r="AG32" s="37"/>
      <c r="AH32" s="37"/>
    </row>
    <row r="33" spans="1:34" ht="18" thickBot="1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-1775</v>
      </c>
      <c r="AE33" s="37"/>
      <c r="AF33" s="37"/>
      <c r="AG33" s="59"/>
      <c r="AH33" s="37"/>
    </row>
    <row r="34" spans="1:34" ht="18" thickBot="1">
      <c r="A34" s="295" t="str">
        <f>A2</f>
        <v>20-01-2022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MIX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4</v>
      </c>
      <c r="U34" s="301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5" t="s">
        <v>8</v>
      </c>
      <c r="P36" s="305"/>
      <c r="Q36" s="305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8" thickBot="1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8" thickBot="1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8" thickBot="1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8" thickBot="1">
      <c r="A66" s="295" t="str">
        <f>A34</f>
        <v>20-01-2022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MIX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4</v>
      </c>
      <c r="U66" s="301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5" t="s">
        <v>8</v>
      </c>
      <c r="P68" s="305"/>
      <c r="Q68" s="305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9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8" thickBot="1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8" thickBot="1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2">
    <dataValidation type="list" allowBlank="1" showInputMessage="1" showErrorMessage="1" sqref="X7" xr:uid="{B4BD3761-17A6-476D-878A-FA2071D28076}">
      <formula1>$W$5:$W$7</formula1>
    </dataValidation>
    <dataValidation type="list" allowBlank="1" showInputMessage="1" showErrorMessage="1" sqref="W5:W8 E5:E29 E37:E61 E69:E93" xr:uid="{2DB5AA51-BE3E-4B78-8A11-B40E6120581E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R5" sqref="R5:S9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8" thickBot="1">
      <c r="A2" s="295" t="s">
        <v>104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131</v>
      </c>
      <c r="K2" s="297"/>
      <c r="L2" s="299" t="s">
        <v>93</v>
      </c>
      <c r="M2" s="300"/>
      <c r="N2" s="298"/>
      <c r="O2" s="296" t="s">
        <v>125</v>
      </c>
      <c r="P2" s="296"/>
      <c r="Q2" s="297"/>
      <c r="R2" s="299" t="s">
        <v>51</v>
      </c>
      <c r="S2" s="298"/>
      <c r="T2" s="301">
        <v>5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5" t="s">
        <v>8</v>
      </c>
      <c r="P4" s="305"/>
      <c r="Q4" s="305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2807</v>
      </c>
      <c r="C5" s="253" t="s">
        <v>191</v>
      </c>
      <c r="D5" s="254" t="s">
        <v>192</v>
      </c>
      <c r="E5" s="265" t="s">
        <v>95</v>
      </c>
      <c r="F5" s="169">
        <v>820</v>
      </c>
      <c r="G5" s="118" t="s">
        <v>112</v>
      </c>
      <c r="H5" s="91"/>
      <c r="I5" s="124"/>
      <c r="J5" s="130" t="str">
        <f>IF(G5="RSL","50","0")</f>
        <v>0</v>
      </c>
      <c r="K5" s="130">
        <v>62.5</v>
      </c>
      <c r="L5" s="131"/>
      <c r="M5" s="131"/>
      <c r="N5" s="134" t="s">
        <v>125</v>
      </c>
      <c r="O5" s="306" t="s">
        <v>193</v>
      </c>
      <c r="P5" s="307"/>
      <c r="Q5" s="308"/>
      <c r="R5" s="33" t="s">
        <v>125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2808</v>
      </c>
      <c r="C6" s="67" t="s">
        <v>194</v>
      </c>
      <c r="D6" s="195" t="s">
        <v>195</v>
      </c>
      <c r="E6" s="266" t="s">
        <v>116</v>
      </c>
      <c r="F6" s="170">
        <v>915</v>
      </c>
      <c r="G6" s="118" t="s">
        <v>112</v>
      </c>
      <c r="H6" s="91"/>
      <c r="I6" s="124"/>
      <c r="J6" s="130" t="str">
        <f t="shared" ref="J6:J29" si="1">IF(G6="RSL","50","0")</f>
        <v>0</v>
      </c>
      <c r="K6" s="130">
        <v>53.8</v>
      </c>
      <c r="L6" s="131"/>
      <c r="M6" s="131"/>
      <c r="N6" s="134" t="s">
        <v>125</v>
      </c>
      <c r="O6" s="309" t="s">
        <v>196</v>
      </c>
      <c r="P6" s="310"/>
      <c r="Q6" s="311"/>
      <c r="R6" s="132" t="s">
        <v>126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2809</v>
      </c>
      <c r="C7" s="67" t="s">
        <v>197</v>
      </c>
      <c r="D7" s="195" t="s">
        <v>198</v>
      </c>
      <c r="E7" s="266" t="s">
        <v>116</v>
      </c>
      <c r="F7" s="170">
        <v>925</v>
      </c>
      <c r="G7" s="118" t="s">
        <v>141</v>
      </c>
      <c r="H7" s="91">
        <v>140</v>
      </c>
      <c r="I7" s="124"/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125</v>
      </c>
      <c r="O7" s="312"/>
      <c r="P7" s="313"/>
      <c r="Q7" s="314"/>
      <c r="R7" s="134" t="s">
        <v>127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2810</v>
      </c>
      <c r="C8" s="27" t="s">
        <v>199</v>
      </c>
      <c r="D8" s="195" t="s">
        <v>200</v>
      </c>
      <c r="E8" s="266" t="s">
        <v>97</v>
      </c>
      <c r="F8" s="170">
        <v>1000</v>
      </c>
      <c r="G8" s="118" t="s">
        <v>44</v>
      </c>
      <c r="H8" s="91"/>
      <c r="I8" s="124"/>
      <c r="J8" s="130">
        <v>95</v>
      </c>
      <c r="K8" s="130" t="str">
        <f t="shared" si="2"/>
        <v>0</v>
      </c>
      <c r="L8" s="131"/>
      <c r="M8" s="131"/>
      <c r="N8" s="134" t="s">
        <v>125</v>
      </c>
      <c r="O8" s="315" t="s">
        <v>201</v>
      </c>
      <c r="P8" s="316"/>
      <c r="Q8" s="317"/>
      <c r="R8" s="26" t="s">
        <v>128</v>
      </c>
      <c r="S8" s="31">
        <v>0.41666666666666669</v>
      </c>
      <c r="T8" s="32">
        <v>0.66666666666666663</v>
      </c>
      <c r="U8" s="92">
        <f t="shared" si="0"/>
        <v>5.9999999999999982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2811</v>
      </c>
      <c r="C9" s="63" t="s">
        <v>202</v>
      </c>
      <c r="D9" s="196" t="s">
        <v>203</v>
      </c>
      <c r="E9" s="266" t="s">
        <v>145</v>
      </c>
      <c r="F9" s="171">
        <v>920</v>
      </c>
      <c r="G9" s="119" t="s">
        <v>134</v>
      </c>
      <c r="H9" s="91"/>
      <c r="I9" s="91">
        <v>80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125</v>
      </c>
      <c r="O9" s="315"/>
      <c r="P9" s="316"/>
      <c r="Q9" s="317"/>
      <c r="R9" s="26" t="s">
        <v>130</v>
      </c>
      <c r="S9" s="31">
        <v>0.41666666666666669</v>
      </c>
      <c r="T9" s="32">
        <v>0.66666666666666663</v>
      </c>
      <c r="U9" s="92">
        <f t="shared" si="0"/>
        <v>5.9999999999999982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2812</v>
      </c>
      <c r="C10" s="28" t="s">
        <v>204</v>
      </c>
      <c r="D10" s="197" t="s">
        <v>205</v>
      </c>
      <c r="E10" s="266" t="s">
        <v>116</v>
      </c>
      <c r="F10" s="172">
        <v>1025</v>
      </c>
      <c r="G10" s="120" t="s">
        <v>109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125</v>
      </c>
      <c r="O10" s="302"/>
      <c r="P10" s="303"/>
      <c r="Q10" s="30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2813</v>
      </c>
      <c r="C11" s="18" t="s">
        <v>206</v>
      </c>
      <c r="D11" s="198" t="s">
        <v>207</v>
      </c>
      <c r="E11" s="266" t="s">
        <v>145</v>
      </c>
      <c r="F11" s="66">
        <v>1040</v>
      </c>
      <c r="G11" s="121" t="s">
        <v>134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125</v>
      </c>
      <c r="O11" s="312"/>
      <c r="P11" s="313"/>
      <c r="Q11" s="31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2814</v>
      </c>
      <c r="C12" s="64" t="s">
        <v>208</v>
      </c>
      <c r="D12" s="199" t="s">
        <v>209</v>
      </c>
      <c r="E12" s="266" t="s">
        <v>145</v>
      </c>
      <c r="F12" s="172">
        <v>1055</v>
      </c>
      <c r="G12" s="119" t="s">
        <v>109</v>
      </c>
      <c r="H12" s="123"/>
      <c r="I12" s="125">
        <v>90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125</v>
      </c>
      <c r="O12" s="312"/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273">
        <v>2815</v>
      </c>
      <c r="C13" s="283" t="s">
        <v>210</v>
      </c>
      <c r="D13" s="284" t="s">
        <v>176</v>
      </c>
      <c r="E13" s="276" t="s">
        <v>116</v>
      </c>
      <c r="F13" s="285">
        <v>1120</v>
      </c>
      <c r="G13" s="286" t="s">
        <v>112</v>
      </c>
      <c r="H13" s="287"/>
      <c r="I13" s="288"/>
      <c r="J13" s="280" t="str">
        <f t="shared" si="1"/>
        <v>0</v>
      </c>
      <c r="K13" s="280" t="str">
        <f t="shared" si="2"/>
        <v>45.8</v>
      </c>
      <c r="L13" s="281"/>
      <c r="M13" s="281">
        <v>375</v>
      </c>
      <c r="N13" s="282" t="s">
        <v>125</v>
      </c>
      <c r="O13" s="383" t="s">
        <v>211</v>
      </c>
      <c r="P13" s="384"/>
      <c r="Q13" s="385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286">
        <v>2816</v>
      </c>
      <c r="C14" s="289" t="s">
        <v>212</v>
      </c>
      <c r="D14" s="290" t="s">
        <v>213</v>
      </c>
      <c r="E14" s="276" t="s">
        <v>96</v>
      </c>
      <c r="F14" s="291">
        <v>1145</v>
      </c>
      <c r="G14" s="273" t="s">
        <v>214</v>
      </c>
      <c r="H14" s="279"/>
      <c r="I14" s="279"/>
      <c r="J14" s="280" t="str">
        <f t="shared" si="1"/>
        <v>0</v>
      </c>
      <c r="K14" s="280" t="str">
        <f t="shared" si="2"/>
        <v>0</v>
      </c>
      <c r="L14" s="281"/>
      <c r="M14" s="281">
        <v>425</v>
      </c>
      <c r="N14" s="282" t="s">
        <v>125</v>
      </c>
      <c r="O14" s="383" t="s">
        <v>215</v>
      </c>
      <c r="P14" s="384"/>
      <c r="Q14" s="385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2817</v>
      </c>
      <c r="C15" s="65" t="s">
        <v>216</v>
      </c>
      <c r="D15" s="200" t="s">
        <v>217</v>
      </c>
      <c r="E15" s="266" t="s">
        <v>145</v>
      </c>
      <c r="F15" s="173">
        <v>1200</v>
      </c>
      <c r="G15" s="122" t="s">
        <v>109</v>
      </c>
      <c r="H15" s="123"/>
      <c r="I15" s="124">
        <v>100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125</v>
      </c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2818</v>
      </c>
      <c r="C16" s="65" t="s">
        <v>224</v>
      </c>
      <c r="D16" s="200" t="s">
        <v>225</v>
      </c>
      <c r="E16" s="266" t="s">
        <v>145</v>
      </c>
      <c r="F16" s="173">
        <v>1210</v>
      </c>
      <c r="G16" s="122" t="s">
        <v>109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125</v>
      </c>
      <c r="O16" s="312" t="s">
        <v>148</v>
      </c>
      <c r="P16" s="313"/>
      <c r="Q16" s="314"/>
      <c r="R16" s="82">
        <f>H32/U16</f>
        <v>0.44736842105263158</v>
      </c>
      <c r="S16" s="83">
        <f>H32/(U16-U5)</f>
        <v>0.58620689655172409</v>
      </c>
      <c r="T16" s="83">
        <f>C32/U16</f>
        <v>38.739473684210523</v>
      </c>
      <c r="U16" s="83">
        <f>SUM(U5:U15)</f>
        <v>38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2819</v>
      </c>
      <c r="C17" s="18" t="s">
        <v>218</v>
      </c>
      <c r="D17" s="198" t="s">
        <v>219</v>
      </c>
      <c r="E17" s="266" t="s">
        <v>116</v>
      </c>
      <c r="F17" s="66">
        <v>1215</v>
      </c>
      <c r="G17" s="121" t="s">
        <v>109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125</v>
      </c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2820</v>
      </c>
      <c r="C18" s="18" t="s">
        <v>220</v>
      </c>
      <c r="D18" s="198" t="s">
        <v>221</v>
      </c>
      <c r="E18" s="266" t="s">
        <v>145</v>
      </c>
      <c r="F18" s="66">
        <v>1300</v>
      </c>
      <c r="G18" s="20" t="s">
        <v>109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125</v>
      </c>
      <c r="O18" s="312" t="s">
        <v>148</v>
      </c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2821</v>
      </c>
      <c r="C19" s="18" t="s">
        <v>222</v>
      </c>
      <c r="D19" s="198" t="s">
        <v>223</v>
      </c>
      <c r="E19" s="266" t="s">
        <v>145</v>
      </c>
      <c r="F19" s="66">
        <v>1330</v>
      </c>
      <c r="G19" s="121" t="s">
        <v>109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125</v>
      </c>
      <c r="O19" s="312"/>
      <c r="P19" s="313"/>
      <c r="Q19" s="313"/>
      <c r="R19" s="93" t="s">
        <v>45</v>
      </c>
      <c r="S19" s="94">
        <f>COUNT(L5:M29,L37:M61,L69:M93)</f>
        <v>2</v>
      </c>
      <c r="T19" s="116">
        <f>SUM(L5:M29,L37:M61,L69:M93)</f>
        <v>800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2822</v>
      </c>
      <c r="C20" s="18" t="s">
        <v>226</v>
      </c>
      <c r="D20" s="198" t="s">
        <v>227</v>
      </c>
      <c r="E20" s="266" t="s">
        <v>145</v>
      </c>
      <c r="F20" s="66">
        <v>1340</v>
      </c>
      <c r="G20" s="121" t="s">
        <v>134</v>
      </c>
      <c r="H20" s="123"/>
      <c r="I20" s="124">
        <v>75</v>
      </c>
      <c r="J20" s="130" t="str">
        <f t="shared" si="1"/>
        <v>0</v>
      </c>
      <c r="K20" s="208" t="str">
        <f t="shared" si="2"/>
        <v>0</v>
      </c>
      <c r="L20" s="207"/>
      <c r="M20" s="207"/>
      <c r="N20" s="134" t="s">
        <v>125</v>
      </c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2823</v>
      </c>
      <c r="C21" s="18" t="s">
        <v>228</v>
      </c>
      <c r="D21" s="198" t="s">
        <v>229</v>
      </c>
      <c r="E21" s="266" t="s">
        <v>116</v>
      </c>
      <c r="F21" s="66">
        <v>1430</v>
      </c>
      <c r="G21" s="20" t="s">
        <v>230</v>
      </c>
      <c r="H21" s="123"/>
      <c r="I21" s="124">
        <v>220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125</v>
      </c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66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66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/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1</v>
      </c>
      <c r="T25" s="101">
        <f>COUNTIF(G5:G29,"GV3")+COUNTIF(G37:G61,"GV3")+COUNTIF(G69:G93,"GV3")</f>
        <v>0</v>
      </c>
      <c r="U25" s="322">
        <f>((C32+(R26+S26+T26)*0.5))</f>
        <v>1492.85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41.5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67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8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6" t="s">
        <v>48</v>
      </c>
      <c r="B30" s="347"/>
      <c r="C30" s="347"/>
      <c r="D30" s="347"/>
      <c r="E30" s="348"/>
      <c r="F30" s="347"/>
      <c r="G30" s="347"/>
      <c r="H30" s="245">
        <f t="shared" ref="H30:M30" si="3">SUM(H5:H29)</f>
        <v>140</v>
      </c>
      <c r="I30" s="105">
        <f>SUM(I5:I29)</f>
        <v>1075</v>
      </c>
      <c r="J30" s="105">
        <f>J5+J6+J7+J8+J9+J10+J11+J12+J13+J14+J15+J16+J18+J19+J17+J20+J22+J23+J21+J24+J25+J26+J27+J28+J29</f>
        <v>95</v>
      </c>
      <c r="K30" s="105">
        <f>K5+K6+K7+K8+K9+K10+K11+K12+K13+K14+K15+K16+K18+K19+K17+K20+K22+K23+K21+K24+K25+K26+K27+K28+K29</f>
        <v>162.1</v>
      </c>
      <c r="L30" s="106">
        <f t="shared" si="3"/>
        <v>0</v>
      </c>
      <c r="M30" s="106">
        <f t="shared" si="3"/>
        <v>800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1" t="s">
        <v>16</v>
      </c>
      <c r="B31" s="352"/>
      <c r="C31" s="352"/>
      <c r="D31" s="352"/>
      <c r="E31" s="352"/>
      <c r="F31" s="352"/>
      <c r="G31" s="352"/>
      <c r="H31" s="246">
        <f t="shared" ref="H31:J31" si="4">H30+H62+H94</f>
        <v>140</v>
      </c>
      <c r="I31" s="103">
        <f t="shared" si="4"/>
        <v>1075</v>
      </c>
      <c r="J31" s="103">
        <f t="shared" si="4"/>
        <v>95</v>
      </c>
      <c r="K31" s="103">
        <f>K30+K62+K94</f>
        <v>162.1</v>
      </c>
      <c r="L31" s="97">
        <f>L30+L62+L94</f>
        <v>0</v>
      </c>
      <c r="M31" s="97">
        <f>M30+M62+M94</f>
        <v>800</v>
      </c>
      <c r="N31" s="251">
        <f>COUNT(H5:H29,H37:H61,H69:H93)</f>
        <v>1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140</v>
      </c>
      <c r="T31" s="336">
        <f>H31+I31+L31+M31</f>
        <v>2015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7" t="s">
        <v>55</v>
      </c>
      <c r="B32" s="328"/>
      <c r="C32" s="107">
        <f>H31+I31+J31+K31</f>
        <v>1472.1</v>
      </c>
      <c r="D32" s="192"/>
      <c r="E32" s="264"/>
      <c r="F32" s="329" t="s">
        <v>53</v>
      </c>
      <c r="G32" s="329"/>
      <c r="H32" s="109">
        <f>COUNT(B5:B29,B37:B61,B69:B93)</f>
        <v>17</v>
      </c>
      <c r="I32" s="330" t="s">
        <v>54</v>
      </c>
      <c r="J32" s="330"/>
      <c r="K32" s="108">
        <f>C32/H32</f>
        <v>86.594117647058823</v>
      </c>
      <c r="L32" s="252"/>
      <c r="M32" s="252"/>
      <c r="N32" s="252">
        <f>H31/C32</f>
        <v>9.5102234902520219E-2</v>
      </c>
      <c r="O32" s="252">
        <f>I31/C32</f>
        <v>0.73024930371578023</v>
      </c>
      <c r="P32" s="252">
        <f>K31/C32</f>
        <v>0.1101148019835609</v>
      </c>
      <c r="Q32" s="110">
        <f>J31/C32</f>
        <v>6.4533659398138724E-2</v>
      </c>
      <c r="R32" s="99" t="s">
        <v>82</v>
      </c>
      <c r="S32" s="247">
        <f>I31+M31</f>
        <v>1875</v>
      </c>
      <c r="T32" s="338"/>
      <c r="U32" s="339"/>
      <c r="V32" s="55"/>
      <c r="W32" s="55"/>
      <c r="X32" s="56" t="s">
        <v>27</v>
      </c>
      <c r="Y32" s="56"/>
      <c r="Z32" s="54">
        <f>I31</f>
        <v>1075</v>
      </c>
      <c r="AE32" s="37"/>
      <c r="AF32" s="37"/>
      <c r="AG32" s="37"/>
      <c r="AH32" s="37"/>
    </row>
    <row r="33" spans="1:34" ht="18" thickBot="1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-1670</v>
      </c>
      <c r="AE33" s="37"/>
      <c r="AF33" s="37"/>
      <c r="AG33" s="59"/>
      <c r="AH33" s="37"/>
    </row>
    <row r="34" spans="1:34" ht="18" thickBot="1">
      <c r="A34" s="295" t="str">
        <f>A2</f>
        <v>21-01-2022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SUNNY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5</v>
      </c>
      <c r="U34" s="301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5" t="s">
        <v>8</v>
      </c>
      <c r="P36" s="305"/>
      <c r="Q36" s="305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8" thickBot="1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8" thickBot="1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8" thickBot="1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8" thickBot="1">
      <c r="A66" s="295" t="str">
        <f>A34</f>
        <v>21-01-2022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SUNNY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5</v>
      </c>
      <c r="U66" s="301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5" t="s">
        <v>8</v>
      </c>
      <c r="P68" s="305"/>
      <c r="Q68" s="305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9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8" thickBot="1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8" thickBot="1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disablePrompts="1" count="2">
    <dataValidation type="list" allowBlank="1" showInputMessage="1" showErrorMessage="1" sqref="X7" xr:uid="{AA69CB26-51B0-4898-BE1D-5010069443C1}">
      <formula1>$W$5:$W$7</formula1>
    </dataValidation>
    <dataValidation type="list" allowBlank="1" showInputMessage="1" showErrorMessage="1" sqref="W5:W8 E5:E29 E37:E61 E69:E93" xr:uid="{02D827E8-FE10-4132-B18A-E760A9555B32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R5" sqref="R5:S9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8" thickBot="1">
      <c r="A2" s="295" t="s">
        <v>105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131</v>
      </c>
      <c r="K2" s="297"/>
      <c r="L2" s="299" t="s">
        <v>93</v>
      </c>
      <c r="M2" s="300"/>
      <c r="N2" s="298"/>
      <c r="O2" s="296" t="s">
        <v>125</v>
      </c>
      <c r="P2" s="296"/>
      <c r="Q2" s="297"/>
      <c r="R2" s="299" t="s">
        <v>51</v>
      </c>
      <c r="S2" s="298"/>
      <c r="T2" s="301">
        <v>6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5" t="s">
        <v>8</v>
      </c>
      <c r="P4" s="305"/>
      <c r="Q4" s="305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2824</v>
      </c>
      <c r="C5" s="253" t="s">
        <v>231</v>
      </c>
      <c r="D5" s="254" t="s">
        <v>232</v>
      </c>
      <c r="E5" s="265" t="s">
        <v>95</v>
      </c>
      <c r="F5" s="169">
        <v>940</v>
      </c>
      <c r="G5" s="118" t="s">
        <v>134</v>
      </c>
      <c r="H5" s="91"/>
      <c r="I5" s="124">
        <v>60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125</v>
      </c>
      <c r="O5" s="306"/>
      <c r="P5" s="307"/>
      <c r="Q5" s="308"/>
      <c r="R5" s="33" t="s">
        <v>125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133">
        <v>2825</v>
      </c>
      <c r="C6" s="67" t="s">
        <v>233</v>
      </c>
      <c r="D6" s="195" t="s">
        <v>234</v>
      </c>
      <c r="E6" s="266" t="s">
        <v>97</v>
      </c>
      <c r="F6" s="170">
        <v>950</v>
      </c>
      <c r="G6" s="118" t="s">
        <v>141</v>
      </c>
      <c r="H6" s="91"/>
      <c r="I6" s="124">
        <v>150</v>
      </c>
      <c r="J6" s="130" t="str">
        <f t="shared" ref="J6:J29" si="1">IF(G6="RSL","50","0")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125</v>
      </c>
      <c r="O6" s="309"/>
      <c r="P6" s="310"/>
      <c r="Q6" s="311"/>
      <c r="R6" s="132" t="s">
        <v>126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2826</v>
      </c>
      <c r="C7" s="67" t="s">
        <v>235</v>
      </c>
      <c r="D7" s="195" t="s">
        <v>236</v>
      </c>
      <c r="E7" s="266" t="s">
        <v>116</v>
      </c>
      <c r="F7" s="170">
        <v>1000</v>
      </c>
      <c r="G7" s="118" t="s">
        <v>134</v>
      </c>
      <c r="H7" s="91">
        <v>55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125</v>
      </c>
      <c r="O7" s="312"/>
      <c r="P7" s="313"/>
      <c r="Q7" s="314"/>
      <c r="R7" s="134" t="s">
        <v>127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2827</v>
      </c>
      <c r="C8" s="27" t="s">
        <v>237</v>
      </c>
      <c r="D8" s="195" t="s">
        <v>238</v>
      </c>
      <c r="E8" s="266" t="s">
        <v>116</v>
      </c>
      <c r="F8" s="170">
        <v>1025</v>
      </c>
      <c r="G8" s="118" t="s">
        <v>185</v>
      </c>
      <c r="H8" s="91"/>
      <c r="I8" s="124">
        <v>60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125</v>
      </c>
      <c r="O8" s="315"/>
      <c r="P8" s="316"/>
      <c r="Q8" s="317"/>
      <c r="R8" s="26" t="s">
        <v>128</v>
      </c>
      <c r="S8" s="31">
        <v>0.41666666666666669</v>
      </c>
      <c r="T8" s="32">
        <v>0.70833333333333337</v>
      </c>
      <c r="U8" s="92">
        <f t="shared" si="0"/>
        <v>7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2828</v>
      </c>
      <c r="C9" s="63" t="s">
        <v>239</v>
      </c>
      <c r="D9" s="196" t="s">
        <v>240</v>
      </c>
      <c r="E9" s="266" t="s">
        <v>116</v>
      </c>
      <c r="F9" s="171">
        <v>1045</v>
      </c>
      <c r="G9" s="119" t="s">
        <v>109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125</v>
      </c>
      <c r="O9" s="315"/>
      <c r="P9" s="316"/>
      <c r="Q9" s="317"/>
      <c r="R9" s="26" t="s">
        <v>130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2829</v>
      </c>
      <c r="C10" s="28" t="s">
        <v>241</v>
      </c>
      <c r="D10" s="197" t="s">
        <v>242</v>
      </c>
      <c r="E10" s="266" t="s">
        <v>116</v>
      </c>
      <c r="F10" s="172">
        <v>1100</v>
      </c>
      <c r="G10" s="120" t="s">
        <v>109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125</v>
      </c>
      <c r="O10" s="302"/>
      <c r="P10" s="303"/>
      <c r="Q10" s="304"/>
      <c r="R10" s="26" t="s">
        <v>129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2830</v>
      </c>
      <c r="C11" s="18" t="s">
        <v>243</v>
      </c>
      <c r="D11" s="198" t="s">
        <v>244</v>
      </c>
      <c r="E11" s="266" t="s">
        <v>145</v>
      </c>
      <c r="F11" s="66">
        <v>1105</v>
      </c>
      <c r="G11" s="121" t="s">
        <v>245</v>
      </c>
      <c r="H11" s="123"/>
      <c r="I11" s="124">
        <v>380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125</v>
      </c>
      <c r="O11" s="312" t="s">
        <v>148</v>
      </c>
      <c r="P11" s="313"/>
      <c r="Q11" s="31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286">
        <v>2831</v>
      </c>
      <c r="C12" s="283" t="s">
        <v>246</v>
      </c>
      <c r="D12" s="284" t="s">
        <v>247</v>
      </c>
      <c r="E12" s="276" t="s">
        <v>96</v>
      </c>
      <c r="F12" s="285">
        <v>1110</v>
      </c>
      <c r="G12" s="286" t="s">
        <v>112</v>
      </c>
      <c r="H12" s="279"/>
      <c r="I12" s="279"/>
      <c r="J12" s="280" t="str">
        <f t="shared" si="1"/>
        <v>0</v>
      </c>
      <c r="K12" s="280">
        <v>58.3</v>
      </c>
      <c r="L12" s="281"/>
      <c r="M12" s="281">
        <v>425</v>
      </c>
      <c r="N12" s="282" t="s">
        <v>125</v>
      </c>
      <c r="O12" s="383" t="s">
        <v>248</v>
      </c>
      <c r="P12" s="384"/>
      <c r="Q12" s="38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2832</v>
      </c>
      <c r="C13" s="64" t="s">
        <v>249</v>
      </c>
      <c r="D13" s="199" t="s">
        <v>250</v>
      </c>
      <c r="E13" s="266" t="s">
        <v>116</v>
      </c>
      <c r="F13" s="172">
        <v>1120</v>
      </c>
      <c r="G13" s="119" t="s">
        <v>109</v>
      </c>
      <c r="H13" s="168"/>
      <c r="I13" s="167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125</v>
      </c>
      <c r="O13" s="312"/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2833</v>
      </c>
      <c r="C14" s="65" t="s">
        <v>251</v>
      </c>
      <c r="D14" s="200" t="s">
        <v>252</v>
      </c>
      <c r="E14" s="266" t="s">
        <v>116</v>
      </c>
      <c r="F14" s="173">
        <v>1130</v>
      </c>
      <c r="G14" s="122" t="s">
        <v>134</v>
      </c>
      <c r="H14" s="123"/>
      <c r="I14" s="125">
        <v>55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125</v>
      </c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2834</v>
      </c>
      <c r="C15" s="65" t="s">
        <v>253</v>
      </c>
      <c r="D15" s="200" t="s">
        <v>254</v>
      </c>
      <c r="E15" s="266" t="s">
        <v>116</v>
      </c>
      <c r="F15" s="173">
        <v>1205</v>
      </c>
      <c r="G15" s="122" t="s">
        <v>109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125</v>
      </c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2835</v>
      </c>
      <c r="C16" s="65" t="s">
        <v>255</v>
      </c>
      <c r="D16" s="200" t="s">
        <v>256</v>
      </c>
      <c r="E16" s="266" t="s">
        <v>116</v>
      </c>
      <c r="F16" s="173">
        <v>1210</v>
      </c>
      <c r="G16" s="122" t="s">
        <v>141</v>
      </c>
      <c r="H16" s="123">
        <v>120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125</v>
      </c>
      <c r="O16" s="312"/>
      <c r="P16" s="313"/>
      <c r="Q16" s="314"/>
      <c r="R16" s="82">
        <f>H32/U16</f>
        <v>0.41666666666666663</v>
      </c>
      <c r="S16" s="83">
        <f>H32/(U16-U5)</f>
        <v>0.51282051282051277</v>
      </c>
      <c r="T16" s="83">
        <f>C32/U16</f>
        <v>47.568749999999994</v>
      </c>
      <c r="U16" s="83">
        <f>SUM(U5:U15)</f>
        <v>48.000000000000007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2836</v>
      </c>
      <c r="C17" s="18" t="s">
        <v>257</v>
      </c>
      <c r="D17" s="198" t="s">
        <v>258</v>
      </c>
      <c r="E17" s="266" t="s">
        <v>116</v>
      </c>
      <c r="F17" s="66">
        <v>1230</v>
      </c>
      <c r="G17" s="121" t="s">
        <v>141</v>
      </c>
      <c r="H17" s="123"/>
      <c r="I17" s="124">
        <v>150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125</v>
      </c>
      <c r="O17" s="312"/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2837</v>
      </c>
      <c r="C18" s="18" t="s">
        <v>259</v>
      </c>
      <c r="D18" s="198" t="s">
        <v>260</v>
      </c>
      <c r="E18" s="266" t="s">
        <v>116</v>
      </c>
      <c r="F18" s="66">
        <v>1245</v>
      </c>
      <c r="G18" s="20" t="s">
        <v>109</v>
      </c>
      <c r="H18" s="123"/>
      <c r="I18" s="124">
        <v>60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125</v>
      </c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129">
        <v>2838</v>
      </c>
      <c r="C19" s="18" t="s">
        <v>261</v>
      </c>
      <c r="D19" s="198" t="s">
        <v>262</v>
      </c>
      <c r="E19" s="266" t="s">
        <v>116</v>
      </c>
      <c r="F19" s="66">
        <v>1310</v>
      </c>
      <c r="G19" s="121" t="s">
        <v>109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125</v>
      </c>
      <c r="O19" s="312"/>
      <c r="P19" s="313"/>
      <c r="Q19" s="313"/>
      <c r="R19" s="93" t="s">
        <v>45</v>
      </c>
      <c r="S19" s="94">
        <f>COUNT(L5:M29,L37:M61,L69:M93)</f>
        <v>1</v>
      </c>
      <c r="T19" s="116">
        <f>SUM(L5:M29,L37:M61,L69:M93)</f>
        <v>425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2839</v>
      </c>
      <c r="C20" s="18" t="s">
        <v>263</v>
      </c>
      <c r="D20" s="198" t="s">
        <v>264</v>
      </c>
      <c r="E20" s="266" t="s">
        <v>145</v>
      </c>
      <c r="F20" s="66">
        <v>1310</v>
      </c>
      <c r="G20" s="121" t="s">
        <v>265</v>
      </c>
      <c r="H20" s="123"/>
      <c r="I20" s="124">
        <v>420</v>
      </c>
      <c r="J20" s="130" t="str">
        <f t="shared" si="1"/>
        <v>0</v>
      </c>
      <c r="K20" s="208" t="str">
        <f t="shared" si="2"/>
        <v>0</v>
      </c>
      <c r="L20" s="207"/>
      <c r="M20" s="207"/>
      <c r="N20" s="134" t="s">
        <v>125</v>
      </c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2840</v>
      </c>
      <c r="C21" s="18" t="s">
        <v>266</v>
      </c>
      <c r="D21" s="198" t="s">
        <v>267</v>
      </c>
      <c r="E21" s="266" t="s">
        <v>116</v>
      </c>
      <c r="F21" s="66">
        <v>1330</v>
      </c>
      <c r="G21" s="20" t="s">
        <v>109</v>
      </c>
      <c r="H21" s="123">
        <v>75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125</v>
      </c>
      <c r="O21" s="312"/>
      <c r="P21" s="313"/>
      <c r="Q21" s="31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>
        <v>2841</v>
      </c>
      <c r="C22" s="127" t="s">
        <v>268</v>
      </c>
      <c r="D22" s="201" t="s">
        <v>269</v>
      </c>
      <c r="E22" s="266" t="s">
        <v>145</v>
      </c>
      <c r="F22" s="174">
        <v>1330</v>
      </c>
      <c r="G22" s="248" t="s">
        <v>134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125</v>
      </c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>
        <v>2842</v>
      </c>
      <c r="C23" s="136" t="s">
        <v>270</v>
      </c>
      <c r="D23" s="202" t="s">
        <v>271</v>
      </c>
      <c r="E23" s="266" t="s">
        <v>116</v>
      </c>
      <c r="F23" s="175">
        <v>1450</v>
      </c>
      <c r="G23" s="165" t="s">
        <v>109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125</v>
      </c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>
      <c r="A24" s="135">
        <v>20</v>
      </c>
      <c r="B24" s="133">
        <v>2843</v>
      </c>
      <c r="C24" s="127" t="s">
        <v>272</v>
      </c>
      <c r="D24" s="201" t="s">
        <v>273</v>
      </c>
      <c r="E24" s="266" t="s">
        <v>145</v>
      </c>
      <c r="F24" s="174">
        <v>1525</v>
      </c>
      <c r="G24" s="248" t="s">
        <v>134</v>
      </c>
      <c r="H24" s="89"/>
      <c r="I24" s="141">
        <v>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125</v>
      </c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2283.3000000000002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67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8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6" t="s">
        <v>48</v>
      </c>
      <c r="B30" s="347"/>
      <c r="C30" s="347"/>
      <c r="D30" s="347"/>
      <c r="E30" s="348"/>
      <c r="F30" s="347"/>
      <c r="G30" s="347"/>
      <c r="H30" s="245">
        <f t="shared" ref="H30:M30" si="3">SUM(H5:H29)</f>
        <v>250</v>
      </c>
      <c r="I30" s="105">
        <f>SUM(I5:I29)</f>
        <v>1975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425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1" t="s">
        <v>16</v>
      </c>
      <c r="B31" s="352"/>
      <c r="C31" s="352"/>
      <c r="D31" s="352"/>
      <c r="E31" s="352"/>
      <c r="F31" s="352"/>
      <c r="G31" s="352"/>
      <c r="H31" s="246">
        <f t="shared" ref="H31:J31" si="4">H30+H62+H94</f>
        <v>250</v>
      </c>
      <c r="I31" s="103">
        <f t="shared" si="4"/>
        <v>1975</v>
      </c>
      <c r="J31" s="103">
        <f t="shared" si="4"/>
        <v>0</v>
      </c>
      <c r="K31" s="103">
        <f>K30+K62+K94</f>
        <v>58.3</v>
      </c>
      <c r="L31" s="97">
        <f>L30+L62+L94</f>
        <v>0</v>
      </c>
      <c r="M31" s="97">
        <f>M30+M62+M94</f>
        <v>425</v>
      </c>
      <c r="N31" s="251">
        <f>COUNT(H5:H29,H37:H61,H69:H93)</f>
        <v>3</v>
      </c>
      <c r="O31" s="104">
        <f>COUNT(I5:I29,I37:I61,I69:I93)</f>
        <v>16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250</v>
      </c>
      <c r="T31" s="336">
        <f>H31+I31+L31+M31</f>
        <v>2650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7" t="s">
        <v>55</v>
      </c>
      <c r="B32" s="328"/>
      <c r="C32" s="107">
        <f>H31+I31+J31+K31</f>
        <v>2283.3000000000002</v>
      </c>
      <c r="D32" s="192"/>
      <c r="E32" s="264"/>
      <c r="F32" s="329" t="s">
        <v>53</v>
      </c>
      <c r="G32" s="329"/>
      <c r="H32" s="109">
        <f>COUNT(B5:B29,B37:B61,B69:B93)</f>
        <v>20</v>
      </c>
      <c r="I32" s="330" t="s">
        <v>54</v>
      </c>
      <c r="J32" s="330"/>
      <c r="K32" s="108">
        <f>C32/H32</f>
        <v>114.16500000000001</v>
      </c>
      <c r="L32" s="252"/>
      <c r="M32" s="252"/>
      <c r="N32" s="252">
        <f>H31/C32</f>
        <v>0.10949064949853282</v>
      </c>
      <c r="O32" s="252">
        <f>I31/C32</f>
        <v>0.8649761310384092</v>
      </c>
      <c r="P32" s="252">
        <f>K31/C32</f>
        <v>2.5533219463057852E-2</v>
      </c>
      <c r="Q32" s="110">
        <f>J31/C32</f>
        <v>0</v>
      </c>
      <c r="R32" s="99" t="s">
        <v>82</v>
      </c>
      <c r="S32" s="247">
        <f>I31+M31</f>
        <v>2400</v>
      </c>
      <c r="T32" s="338"/>
      <c r="U32" s="339"/>
      <c r="V32" s="55"/>
      <c r="W32" s="55"/>
      <c r="X32" s="56" t="s">
        <v>27</v>
      </c>
      <c r="Y32" s="56"/>
      <c r="Z32" s="54">
        <f>I31</f>
        <v>1975</v>
      </c>
      <c r="AE32" s="37"/>
      <c r="AF32" s="37"/>
      <c r="AG32" s="37"/>
      <c r="AH32" s="37"/>
    </row>
    <row r="33" spans="1:34" ht="18" thickBot="1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-770</v>
      </c>
      <c r="AE33" s="37"/>
      <c r="AF33" s="37"/>
      <c r="AG33" s="59"/>
      <c r="AH33" s="37"/>
    </row>
    <row r="34" spans="1:34" ht="18" thickBot="1">
      <c r="A34" s="295" t="str">
        <f>A2</f>
        <v>22-01-2022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SUNNY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6</v>
      </c>
      <c r="U34" s="301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5" t="s">
        <v>8</v>
      </c>
      <c r="P36" s="305"/>
      <c r="Q36" s="305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8" thickBot="1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8" thickBot="1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8" thickBot="1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8" thickBot="1">
      <c r="A66" s="295" t="str">
        <f>A34</f>
        <v>22-01-2022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SUNNY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6</v>
      </c>
      <c r="U66" s="301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5" t="s">
        <v>8</v>
      </c>
      <c r="P68" s="305"/>
      <c r="Q68" s="305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9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8" thickBot="1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8" thickBot="1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count="2">
    <dataValidation type="list" allowBlank="1" showInputMessage="1" showErrorMessage="1" sqref="X7" xr:uid="{9FB6D0A9-17A8-49F9-A555-872331B6777B}">
      <formula1>$W$5:$W$7</formula1>
    </dataValidation>
    <dataValidation type="list" allowBlank="1" showInputMessage="1" showErrorMessage="1" sqref="W5:W8 E5:E29 E37:E61 E69:E93" xr:uid="{6AEF1EA5-BBDC-40AD-BD7C-6EBADB1310C1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U10" sqref="U10"/>
    </sheetView>
  </sheetViews>
  <sheetFormatPr defaultColWidth="9" defaultRowHeight="17.399999999999999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0" customWidth="1"/>
    <col min="5" max="5" width="5.69921875" style="262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>
      <c r="A1" s="295" t="s">
        <v>77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7"/>
    </row>
    <row r="2" spans="1:44" ht="18" thickBot="1">
      <c r="A2" s="295" t="s">
        <v>106</v>
      </c>
      <c r="B2" s="296"/>
      <c r="C2" s="296"/>
      <c r="D2" s="296"/>
      <c r="E2" s="296"/>
      <c r="F2" s="296"/>
      <c r="G2" s="297"/>
      <c r="H2" s="298" t="s">
        <v>49</v>
      </c>
      <c r="I2" s="299"/>
      <c r="J2" s="295" t="s">
        <v>309</v>
      </c>
      <c r="K2" s="297"/>
      <c r="L2" s="299" t="s">
        <v>93</v>
      </c>
      <c r="M2" s="300"/>
      <c r="N2" s="298"/>
      <c r="O2" s="296" t="s">
        <v>125</v>
      </c>
      <c r="P2" s="296"/>
      <c r="Q2" s="297"/>
      <c r="R2" s="299" t="s">
        <v>51</v>
      </c>
      <c r="S2" s="298"/>
      <c r="T2" s="301">
        <v>5</v>
      </c>
      <c r="U2" s="30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>
      <c r="A3" s="15" t="s">
        <v>6</v>
      </c>
      <c r="H3" s="9"/>
      <c r="I3" s="19"/>
      <c r="T3" s="10"/>
      <c r="U3" s="11"/>
    </row>
    <row r="4" spans="1:44" ht="18" thickBot="1">
      <c r="A4" s="154" t="s">
        <v>0</v>
      </c>
      <c r="B4" s="249" t="s">
        <v>21</v>
      </c>
      <c r="C4" s="249" t="s">
        <v>7</v>
      </c>
      <c r="D4" s="255" t="s">
        <v>88</v>
      </c>
      <c r="E4" s="263" t="s">
        <v>94</v>
      </c>
      <c r="F4" s="249" t="s">
        <v>25</v>
      </c>
      <c r="G4" s="249" t="s">
        <v>1</v>
      </c>
      <c r="H4" s="249" t="s">
        <v>22</v>
      </c>
      <c r="I4" s="249" t="s">
        <v>20</v>
      </c>
      <c r="J4" s="249" t="s">
        <v>44</v>
      </c>
      <c r="K4" s="249" t="s">
        <v>45</v>
      </c>
      <c r="L4" s="249" t="s">
        <v>47</v>
      </c>
      <c r="M4" s="249" t="s">
        <v>46</v>
      </c>
      <c r="N4" s="249" t="s">
        <v>2</v>
      </c>
      <c r="O4" s="305" t="s">
        <v>8</v>
      </c>
      <c r="P4" s="305"/>
      <c r="Q4" s="305"/>
      <c r="R4" s="24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>
      <c r="A5" s="128">
        <v>1</v>
      </c>
      <c r="B5" s="129">
        <v>2844</v>
      </c>
      <c r="C5" s="253" t="s">
        <v>274</v>
      </c>
      <c r="D5" s="254" t="s">
        <v>275</v>
      </c>
      <c r="E5" s="265" t="s">
        <v>95</v>
      </c>
      <c r="F5" s="169">
        <v>930</v>
      </c>
      <c r="G5" s="118" t="s">
        <v>134</v>
      </c>
      <c r="H5" s="91"/>
      <c r="I5" s="124">
        <v>55</v>
      </c>
      <c r="J5" s="130" t="str">
        <f>IF(G5="RSL","50","0")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125</v>
      </c>
      <c r="O5" s="306"/>
      <c r="P5" s="307"/>
      <c r="Q5" s="308"/>
      <c r="R5" s="33" t="s">
        <v>125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>
      <c r="A6" s="128">
        <v>2</v>
      </c>
      <c r="B6" s="286">
        <v>2845</v>
      </c>
      <c r="C6" s="292" t="s">
        <v>276</v>
      </c>
      <c r="D6" s="293" t="s">
        <v>277</v>
      </c>
      <c r="E6" s="276" t="s">
        <v>97</v>
      </c>
      <c r="F6" s="294">
        <v>935</v>
      </c>
      <c r="G6" s="273" t="s">
        <v>134</v>
      </c>
      <c r="H6" s="280"/>
      <c r="I6" s="280">
        <v>75</v>
      </c>
      <c r="J6" s="280" t="str">
        <f t="shared" ref="J6:J29" si="1">IF(G6="RSL","50","0")</f>
        <v>0</v>
      </c>
      <c r="K6" s="280" t="str">
        <f t="shared" ref="K6:K29" si="2">IF(G6="GVS","37.5",IF(G6="GVM","41.5",IF(G6="GVL","50",IF(G6="PCS","45.8",IF(G6="PCM","50",IF(G6="PCL","58.3","0"))))))</f>
        <v>0</v>
      </c>
      <c r="L6" s="281"/>
      <c r="M6" s="281"/>
      <c r="N6" s="282" t="s">
        <v>125</v>
      </c>
      <c r="O6" s="386" t="s">
        <v>310</v>
      </c>
      <c r="P6" s="387"/>
      <c r="Q6" s="388"/>
      <c r="R6" s="132" t="s">
        <v>126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95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>
      <c r="A7" s="128">
        <v>3</v>
      </c>
      <c r="B7" s="129">
        <v>2846</v>
      </c>
      <c r="C7" s="67" t="s">
        <v>278</v>
      </c>
      <c r="D7" s="195" t="s">
        <v>279</v>
      </c>
      <c r="E7" s="266" t="s">
        <v>145</v>
      </c>
      <c r="F7" s="170">
        <v>1020</v>
      </c>
      <c r="G7" s="118" t="s">
        <v>134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125</v>
      </c>
      <c r="O7" s="312"/>
      <c r="P7" s="313"/>
      <c r="Q7" s="314"/>
      <c r="R7" s="134" t="s">
        <v>127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96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>
      <c r="A8" s="128">
        <v>4</v>
      </c>
      <c r="B8" s="133">
        <v>2847</v>
      </c>
      <c r="C8" s="27" t="s">
        <v>280</v>
      </c>
      <c r="D8" s="195" t="s">
        <v>281</v>
      </c>
      <c r="E8" s="266" t="s">
        <v>145</v>
      </c>
      <c r="F8" s="170">
        <v>1040</v>
      </c>
      <c r="G8" s="118" t="s">
        <v>109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125</v>
      </c>
      <c r="O8" s="315"/>
      <c r="P8" s="316"/>
      <c r="Q8" s="317"/>
      <c r="R8" s="26" t="s">
        <v>128</v>
      </c>
      <c r="S8" s="31">
        <v>0.41666666666666669</v>
      </c>
      <c r="T8" s="32">
        <v>0.70833333333333337</v>
      </c>
      <c r="U8" s="92">
        <f t="shared" si="0"/>
        <v>7</v>
      </c>
      <c r="W8" s="35" t="s">
        <v>97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>
      <c r="A9" s="135">
        <v>5</v>
      </c>
      <c r="B9" s="129">
        <v>2848</v>
      </c>
      <c r="C9" s="63" t="s">
        <v>282</v>
      </c>
      <c r="D9" s="196" t="s">
        <v>283</v>
      </c>
      <c r="E9" s="266" t="s">
        <v>116</v>
      </c>
      <c r="F9" s="171">
        <v>1100</v>
      </c>
      <c r="G9" s="119" t="s">
        <v>109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2" t="s">
        <v>126</v>
      </c>
      <c r="O9" s="315"/>
      <c r="P9" s="316"/>
      <c r="Q9" s="317"/>
      <c r="R9" s="26" t="s">
        <v>130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>
      <c r="A10" s="135">
        <v>6</v>
      </c>
      <c r="B10" s="133">
        <v>2849</v>
      </c>
      <c r="C10" s="28" t="s">
        <v>284</v>
      </c>
      <c r="D10" s="197" t="s">
        <v>285</v>
      </c>
      <c r="E10" s="266" t="s">
        <v>116</v>
      </c>
      <c r="F10" s="172">
        <v>1115</v>
      </c>
      <c r="G10" s="120" t="s">
        <v>134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125</v>
      </c>
      <c r="O10" s="302"/>
      <c r="P10" s="303"/>
      <c r="Q10" s="304"/>
      <c r="R10" s="26" t="s">
        <v>311</v>
      </c>
      <c r="S10" s="31">
        <v>0.66666666666666663</v>
      </c>
      <c r="T10" s="32">
        <v>0.6875</v>
      </c>
      <c r="U10" s="92">
        <f t="shared" si="0"/>
        <v>0.50000000000000089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>
      <c r="A11" s="135">
        <v>7</v>
      </c>
      <c r="B11" s="129">
        <v>2850</v>
      </c>
      <c r="C11" s="18" t="s">
        <v>286</v>
      </c>
      <c r="D11" s="198" t="s">
        <v>287</v>
      </c>
      <c r="E11" s="266" t="s">
        <v>116</v>
      </c>
      <c r="F11" s="66">
        <v>1130</v>
      </c>
      <c r="G11" s="121" t="s">
        <v>109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125</v>
      </c>
      <c r="O11" s="312"/>
      <c r="P11" s="313"/>
      <c r="Q11" s="31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>
      <c r="A12" s="135">
        <v>8</v>
      </c>
      <c r="B12" s="133">
        <v>2851</v>
      </c>
      <c r="C12" s="64" t="s">
        <v>288</v>
      </c>
      <c r="D12" s="199" t="s">
        <v>289</v>
      </c>
      <c r="E12" s="266" t="s">
        <v>145</v>
      </c>
      <c r="F12" s="172">
        <v>1150</v>
      </c>
      <c r="G12" s="119" t="s">
        <v>141</v>
      </c>
      <c r="H12" s="123">
        <v>150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125</v>
      </c>
      <c r="O12" s="312"/>
      <c r="P12" s="313"/>
      <c r="Q12" s="31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>
      <c r="A13" s="135">
        <v>9</v>
      </c>
      <c r="B13" s="129">
        <v>2852</v>
      </c>
      <c r="C13" s="64" t="s">
        <v>290</v>
      </c>
      <c r="D13" s="199" t="s">
        <v>291</v>
      </c>
      <c r="E13" s="266" t="s">
        <v>116</v>
      </c>
      <c r="F13" s="172">
        <v>1155</v>
      </c>
      <c r="G13" s="119" t="s">
        <v>44</v>
      </c>
      <c r="H13" s="168"/>
      <c r="I13" s="167">
        <v>10</v>
      </c>
      <c r="J13" s="130" t="str">
        <f t="shared" si="1"/>
        <v>50</v>
      </c>
      <c r="K13" s="130" t="str">
        <f t="shared" si="2"/>
        <v>0</v>
      </c>
      <c r="L13" s="131"/>
      <c r="M13" s="131"/>
      <c r="N13" s="134" t="s">
        <v>125</v>
      </c>
      <c r="O13" s="312">
        <v>202111042</v>
      </c>
      <c r="P13" s="313"/>
      <c r="Q13" s="31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>
      <c r="A14" s="135">
        <v>10</v>
      </c>
      <c r="B14" s="133">
        <v>2853</v>
      </c>
      <c r="C14" s="65" t="s">
        <v>292</v>
      </c>
      <c r="D14" s="200" t="s">
        <v>293</v>
      </c>
      <c r="E14" s="266" t="s">
        <v>145</v>
      </c>
      <c r="F14" s="173">
        <v>1215</v>
      </c>
      <c r="G14" s="122" t="s">
        <v>141</v>
      </c>
      <c r="H14" s="123"/>
      <c r="I14" s="125">
        <v>160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125</v>
      </c>
      <c r="O14" s="312"/>
      <c r="P14" s="313"/>
      <c r="Q14" s="31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>
      <c r="A15" s="135">
        <v>11</v>
      </c>
      <c r="B15" s="129">
        <v>2854</v>
      </c>
      <c r="C15" s="65" t="s">
        <v>294</v>
      </c>
      <c r="D15" s="200" t="s">
        <v>295</v>
      </c>
      <c r="E15" s="266" t="s">
        <v>116</v>
      </c>
      <c r="F15" s="173">
        <v>1220</v>
      </c>
      <c r="G15" s="122" t="s">
        <v>109</v>
      </c>
      <c r="H15" s="123"/>
      <c r="I15" s="124">
        <v>100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125</v>
      </c>
      <c r="O15" s="312"/>
      <c r="P15" s="313"/>
      <c r="Q15" s="31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>
      <c r="A16" s="135">
        <v>12</v>
      </c>
      <c r="B16" s="133">
        <v>2855</v>
      </c>
      <c r="C16" s="65" t="s">
        <v>296</v>
      </c>
      <c r="D16" s="200" t="s">
        <v>297</v>
      </c>
      <c r="E16" s="266" t="s">
        <v>145</v>
      </c>
      <c r="F16" s="173">
        <v>1230</v>
      </c>
      <c r="G16" s="122" t="s">
        <v>141</v>
      </c>
      <c r="H16" s="123"/>
      <c r="I16" s="124">
        <v>150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125</v>
      </c>
      <c r="O16" s="312"/>
      <c r="P16" s="313"/>
      <c r="Q16" s="314"/>
      <c r="R16" s="82">
        <f>H32/U16</f>
        <v>0.4096385542168674</v>
      </c>
      <c r="S16" s="83">
        <f>H32/(U16-U5)</f>
        <v>0.52307692307692299</v>
      </c>
      <c r="T16" s="83">
        <f>C32/U16</f>
        <v>39.857831325301198</v>
      </c>
      <c r="U16" s="83">
        <f>SUM(U5:U15)</f>
        <v>41.500000000000007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>
      <c r="A17" s="135">
        <v>13</v>
      </c>
      <c r="B17" s="129">
        <v>2856</v>
      </c>
      <c r="C17" s="18" t="s">
        <v>298</v>
      </c>
      <c r="D17" s="198" t="s">
        <v>299</v>
      </c>
      <c r="E17" s="266" t="s">
        <v>145</v>
      </c>
      <c r="F17" s="66">
        <v>1330</v>
      </c>
      <c r="G17" s="121" t="s">
        <v>134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125</v>
      </c>
      <c r="O17" s="312" t="s">
        <v>148</v>
      </c>
      <c r="P17" s="313"/>
      <c r="Q17" s="31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>
      <c r="A18" s="135">
        <v>14</v>
      </c>
      <c r="B18" s="133">
        <v>2857</v>
      </c>
      <c r="C18" s="18" t="s">
        <v>300</v>
      </c>
      <c r="D18" s="198" t="s">
        <v>301</v>
      </c>
      <c r="E18" s="266" t="s">
        <v>145</v>
      </c>
      <c r="F18" s="66">
        <v>1415</v>
      </c>
      <c r="G18" s="20" t="s">
        <v>141</v>
      </c>
      <c r="H18" s="123"/>
      <c r="I18" s="124">
        <v>150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125</v>
      </c>
      <c r="O18" s="312"/>
      <c r="P18" s="313"/>
      <c r="Q18" s="31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>
      <c r="A19" s="135">
        <v>15</v>
      </c>
      <c r="B19" s="273">
        <v>2858</v>
      </c>
      <c r="C19" s="274" t="s">
        <v>302</v>
      </c>
      <c r="D19" s="275" t="s">
        <v>303</v>
      </c>
      <c r="E19" s="276" t="s">
        <v>116</v>
      </c>
      <c r="F19" s="277">
        <v>1500</v>
      </c>
      <c r="G19" s="278" t="s">
        <v>137</v>
      </c>
      <c r="H19" s="279"/>
      <c r="I19" s="280"/>
      <c r="J19" s="280" t="str">
        <f t="shared" si="1"/>
        <v>0</v>
      </c>
      <c r="K19" s="280">
        <v>79.099999999999994</v>
      </c>
      <c r="L19" s="281"/>
      <c r="M19" s="281">
        <v>475</v>
      </c>
      <c r="N19" s="282" t="s">
        <v>125</v>
      </c>
      <c r="O19" s="383" t="s">
        <v>304</v>
      </c>
      <c r="P19" s="384"/>
      <c r="Q19" s="384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>
      <c r="A20" s="135">
        <v>16</v>
      </c>
      <c r="B20" s="133">
        <v>2859</v>
      </c>
      <c r="C20" s="18" t="s">
        <v>305</v>
      </c>
      <c r="D20" s="198" t="s">
        <v>306</v>
      </c>
      <c r="E20" s="266" t="s">
        <v>116</v>
      </c>
      <c r="F20" s="66">
        <v>1505</v>
      </c>
      <c r="G20" s="121" t="s">
        <v>109</v>
      </c>
      <c r="H20" s="123">
        <v>75</v>
      </c>
      <c r="I20" s="206"/>
      <c r="J20" s="130" t="str">
        <f t="shared" si="1"/>
        <v>0</v>
      </c>
      <c r="K20" s="208" t="str">
        <f t="shared" si="2"/>
        <v>0</v>
      </c>
      <c r="L20" s="207"/>
      <c r="M20" s="207"/>
      <c r="N20" s="134" t="s">
        <v>125</v>
      </c>
      <c r="O20" s="320"/>
      <c r="P20" s="321"/>
      <c r="Q20" s="32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>
      <c r="A21" s="135">
        <v>17</v>
      </c>
      <c r="B21" s="129">
        <v>2860</v>
      </c>
      <c r="C21" s="18" t="s">
        <v>307</v>
      </c>
      <c r="D21" s="198" t="s">
        <v>308</v>
      </c>
      <c r="E21" s="266" t="s">
        <v>145</v>
      </c>
      <c r="F21" s="66">
        <v>1540</v>
      </c>
      <c r="G21" s="20" t="s">
        <v>109</v>
      </c>
      <c r="H21" s="123">
        <v>150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125</v>
      </c>
      <c r="O21" s="312"/>
      <c r="P21" s="313"/>
      <c r="Q21" s="313"/>
      <c r="R21" s="113"/>
      <c r="S21" s="161"/>
      <c r="T21" s="160"/>
      <c r="U21" s="115"/>
      <c r="X21" s="42"/>
      <c r="Y21" s="28" t="s">
        <v>98</v>
      </c>
      <c r="Z21" s="197" t="s">
        <v>99</v>
      </c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>
      <c r="A22" s="142">
        <v>18</v>
      </c>
      <c r="B22" s="133"/>
      <c r="C22" s="127"/>
      <c r="D22" s="201"/>
      <c r="E22" s="266"/>
      <c r="F22" s="174"/>
      <c r="G22" s="248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2"/>
      <c r="P22" s="313"/>
      <c r="Q22" s="31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>
      <c r="A23" s="135">
        <v>19</v>
      </c>
      <c r="B23" s="129"/>
      <c r="C23" s="136"/>
      <c r="D23" s="202"/>
      <c r="E23" s="266"/>
      <c r="F23" s="175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8"/>
      <c r="Y23" s="319"/>
      <c r="Z23" s="319"/>
      <c r="AE23" s="17"/>
      <c r="AF23" s="17"/>
      <c r="AG23" s="37"/>
      <c r="AH23" s="37"/>
    </row>
    <row r="24" spans="1:44" ht="16.5" customHeight="1" thickBot="1">
      <c r="A24" s="135">
        <v>20</v>
      </c>
      <c r="B24" s="133"/>
      <c r="C24" s="127"/>
      <c r="D24" s="201"/>
      <c r="E24" s="266"/>
      <c r="F24" s="174"/>
      <c r="G24" s="248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2"/>
      <c r="P24" s="313"/>
      <c r="Q24" s="31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>
      <c r="A25" s="135">
        <v>21</v>
      </c>
      <c r="B25" s="129"/>
      <c r="C25" s="132"/>
      <c r="D25" s="203"/>
      <c r="E25" s="266"/>
      <c r="F25" s="174"/>
      <c r="G25" s="248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2"/>
      <c r="P25" s="313"/>
      <c r="Q25" s="31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2">
        <f>((C32+(R26+S26+T26)*0.5))</f>
        <v>1654.1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>
      <c r="A26" s="135">
        <v>22</v>
      </c>
      <c r="B26" s="133"/>
      <c r="C26" s="27"/>
      <c r="D26" s="204"/>
      <c r="E26" s="266"/>
      <c r="F26" s="176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2"/>
      <c r="P26" s="313"/>
      <c r="Q26" s="314"/>
      <c r="R26" s="112">
        <f>R25*37.5</f>
        <v>0</v>
      </c>
      <c r="S26" s="102">
        <f>S25*41.5</f>
        <v>0</v>
      </c>
      <c r="T26" s="102">
        <f>T25*50</f>
        <v>0</v>
      </c>
      <c r="U26" s="323"/>
      <c r="X26" s="47" t="s">
        <v>30</v>
      </c>
      <c r="Y26" s="47"/>
      <c r="Z26" s="47"/>
      <c r="AD26" s="48"/>
      <c r="AE26" s="49"/>
      <c r="AF26" s="50"/>
    </row>
    <row r="27" spans="1:44" ht="16.5" customHeight="1" thickBot="1">
      <c r="A27" s="135">
        <v>23</v>
      </c>
      <c r="B27" s="129"/>
      <c r="C27" s="27"/>
      <c r="D27" s="204"/>
      <c r="E27" s="266"/>
      <c r="F27" s="176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2"/>
      <c r="P27" s="313"/>
      <c r="Q27" s="314"/>
      <c r="R27" s="331" t="s">
        <v>56</v>
      </c>
      <c r="S27" s="332"/>
      <c r="T27" s="332"/>
      <c r="U27" s="33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thickBot="1">
      <c r="A28" s="135">
        <v>24</v>
      </c>
      <c r="B28" s="133"/>
      <c r="C28" s="27"/>
      <c r="D28" s="204"/>
      <c r="E28" s="267"/>
      <c r="F28" s="176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2"/>
      <c r="P28" s="313"/>
      <c r="Q28" s="314"/>
      <c r="R28" s="324"/>
      <c r="S28" s="325"/>
      <c r="T28" s="32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>
      <c r="A29" s="147">
        <v>25</v>
      </c>
      <c r="B29" s="129"/>
      <c r="C29" s="34"/>
      <c r="D29" s="205"/>
      <c r="E29" s="268"/>
      <c r="F29" s="176"/>
      <c r="G29" s="20"/>
      <c r="H29" s="89"/>
      <c r="I29" s="89"/>
      <c r="J29" s="261" t="str">
        <f t="shared" si="1"/>
        <v>0</v>
      </c>
      <c r="K29" s="261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>
      <c r="A30" s="346" t="s">
        <v>48</v>
      </c>
      <c r="B30" s="347"/>
      <c r="C30" s="347"/>
      <c r="D30" s="347"/>
      <c r="E30" s="348"/>
      <c r="F30" s="347"/>
      <c r="G30" s="347"/>
      <c r="H30" s="245">
        <f t="shared" ref="H30:M30" si="3">SUM(H5:H29)</f>
        <v>375</v>
      </c>
      <c r="I30" s="105">
        <f>SUM(I5:I29)</f>
        <v>1150</v>
      </c>
      <c r="J30" s="105">
        <f>J5+J6+J7+J8+J9+J10+J11+J12+J13+J14+J15+J16+J18+J19+J17+J20+J22+J23+J21+J24+J25+J26+J27+J28+J29</f>
        <v>50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475</v>
      </c>
      <c r="N30" s="250" t="s">
        <v>15</v>
      </c>
      <c r="O30" s="250" t="s">
        <v>20</v>
      </c>
      <c r="P30" s="250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>
      <c r="A31" s="351" t="s">
        <v>16</v>
      </c>
      <c r="B31" s="352"/>
      <c r="C31" s="352"/>
      <c r="D31" s="352"/>
      <c r="E31" s="352"/>
      <c r="F31" s="352"/>
      <c r="G31" s="352"/>
      <c r="H31" s="246">
        <f t="shared" ref="H31:J31" si="4">H30+H62+H94</f>
        <v>375</v>
      </c>
      <c r="I31" s="103">
        <f t="shared" si="4"/>
        <v>1150</v>
      </c>
      <c r="J31" s="103">
        <f t="shared" si="4"/>
        <v>50</v>
      </c>
      <c r="K31" s="103">
        <f>K30+K62+K94</f>
        <v>79.099999999999994</v>
      </c>
      <c r="L31" s="97">
        <f>L30+L62+L94</f>
        <v>0</v>
      </c>
      <c r="M31" s="97">
        <f>M30+M62+M94</f>
        <v>475</v>
      </c>
      <c r="N31" s="251">
        <f>COUNT(H5:H29,H37:H61,H69:H93)</f>
        <v>3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375</v>
      </c>
      <c r="T31" s="336">
        <f>H31+I31+L31+M31</f>
        <v>2000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>
      <c r="A32" s="327" t="s">
        <v>55</v>
      </c>
      <c r="B32" s="328"/>
      <c r="C32" s="107">
        <f>H31+I31+J31+K31</f>
        <v>1654.1</v>
      </c>
      <c r="D32" s="192"/>
      <c r="E32" s="264"/>
      <c r="F32" s="329" t="s">
        <v>53</v>
      </c>
      <c r="G32" s="329"/>
      <c r="H32" s="109">
        <f>COUNT(B5:B29,B37:B61,B69:B93)</f>
        <v>17</v>
      </c>
      <c r="I32" s="330" t="s">
        <v>54</v>
      </c>
      <c r="J32" s="330"/>
      <c r="K32" s="108">
        <f>C32/H32</f>
        <v>97.3</v>
      </c>
      <c r="L32" s="252"/>
      <c r="M32" s="252"/>
      <c r="N32" s="252">
        <f>H31/C32</f>
        <v>0.22670938879148783</v>
      </c>
      <c r="O32" s="252">
        <f>I31/C32</f>
        <v>0.69524212562722931</v>
      </c>
      <c r="P32" s="252">
        <f>K31/C32</f>
        <v>4.7820567075751164E-2</v>
      </c>
      <c r="Q32" s="110">
        <f>J31/C32</f>
        <v>3.022791850553171E-2</v>
      </c>
      <c r="R32" s="99" t="s">
        <v>82</v>
      </c>
      <c r="S32" s="247">
        <f>I31+M31</f>
        <v>1625</v>
      </c>
      <c r="T32" s="338"/>
      <c r="U32" s="339"/>
      <c r="V32" s="55"/>
      <c r="W32" s="55"/>
      <c r="X32" s="56" t="s">
        <v>27</v>
      </c>
      <c r="Y32" s="56"/>
      <c r="Z32" s="54">
        <f>I31</f>
        <v>1150</v>
      </c>
      <c r="AE32" s="37"/>
      <c r="AF32" s="37"/>
      <c r="AG32" s="37"/>
      <c r="AH32" s="37"/>
    </row>
    <row r="33" spans="1:34" ht="18" thickBot="1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6"/>
      <c r="U33" s="297"/>
      <c r="X33" s="57" t="s">
        <v>29</v>
      </c>
      <c r="Y33" s="57"/>
      <c r="Z33" s="58">
        <f>SUM(Z31:Z32)</f>
        <v>-1595</v>
      </c>
      <c r="AE33" s="37"/>
      <c r="AF33" s="37"/>
      <c r="AG33" s="59"/>
      <c r="AH33" s="37"/>
    </row>
    <row r="34" spans="1:34" ht="18" thickBot="1">
      <c r="A34" s="295" t="str">
        <f>A2</f>
        <v>23-01-2022</v>
      </c>
      <c r="B34" s="296"/>
      <c r="C34" s="296"/>
      <c r="D34" s="296"/>
      <c r="E34" s="296"/>
      <c r="F34" s="296"/>
      <c r="G34" s="297"/>
      <c r="H34" s="298" t="s">
        <v>49</v>
      </c>
      <c r="I34" s="299"/>
      <c r="J34" s="295" t="str">
        <f>J2</f>
        <v>CLOUDY</v>
      </c>
      <c r="K34" s="297"/>
      <c r="L34" s="299" t="s">
        <v>50</v>
      </c>
      <c r="M34" s="300"/>
      <c r="N34" s="298"/>
      <c r="O34" s="296" t="str">
        <f>O2</f>
        <v>JOHN</v>
      </c>
      <c r="P34" s="296"/>
      <c r="Q34" s="297"/>
      <c r="R34" s="299" t="s">
        <v>51</v>
      </c>
      <c r="S34" s="298"/>
      <c r="T34" s="301">
        <f>T2</f>
        <v>5</v>
      </c>
      <c r="U34" s="301"/>
      <c r="Z34" s="43"/>
      <c r="AE34" s="37"/>
      <c r="AF34" s="37"/>
      <c r="AG34" s="37"/>
      <c r="AH34" s="37"/>
    </row>
    <row r="35" spans="1:34" ht="18" thickBot="1">
      <c r="A35" s="15" t="s">
        <v>6</v>
      </c>
      <c r="H35" s="9"/>
      <c r="I35" s="19"/>
      <c r="T35" s="10"/>
      <c r="U35" s="11"/>
    </row>
    <row r="36" spans="1:34" ht="18" thickBot="1">
      <c r="A36" s="256" t="s">
        <v>0</v>
      </c>
      <c r="B36" s="154" t="s">
        <v>21</v>
      </c>
      <c r="C36" s="249" t="s">
        <v>7</v>
      </c>
      <c r="D36" s="255" t="s">
        <v>88</v>
      </c>
      <c r="E36" s="263" t="s">
        <v>94</v>
      </c>
      <c r="F36" s="249" t="s">
        <v>25</v>
      </c>
      <c r="G36" s="259" t="s">
        <v>1</v>
      </c>
      <c r="H36" s="257" t="s">
        <v>22</v>
      </c>
      <c r="I36" s="249" t="s">
        <v>20</v>
      </c>
      <c r="J36" s="249" t="s">
        <v>44</v>
      </c>
      <c r="K36" s="249" t="s">
        <v>45</v>
      </c>
      <c r="L36" s="249" t="s">
        <v>47</v>
      </c>
      <c r="M36" s="249" t="s">
        <v>46</v>
      </c>
      <c r="N36" s="249" t="s">
        <v>2</v>
      </c>
      <c r="O36" s="305" t="s">
        <v>8</v>
      </c>
      <c r="P36" s="305"/>
      <c r="Q36" s="305"/>
      <c r="R36" s="249" t="s">
        <v>26</v>
      </c>
      <c r="S36" s="155" t="s">
        <v>3</v>
      </c>
      <c r="T36" s="155" t="s">
        <v>4</v>
      </c>
      <c r="U36" s="156" t="s">
        <v>18</v>
      </c>
    </row>
    <row r="37" spans="1:34">
      <c r="A37" s="152">
        <f>A29+1</f>
        <v>26</v>
      </c>
      <c r="B37" s="118"/>
      <c r="C37" s="253"/>
      <c r="D37" s="258"/>
      <c r="E37" s="265"/>
      <c r="F37" s="173"/>
      <c r="G37" s="118"/>
      <c r="H37" s="91"/>
      <c r="I37" s="124"/>
      <c r="J37" s="130" t="str">
        <f>IF(G37="RSL","50","0")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2"/>
      <c r="P37" s="313"/>
      <c r="Q37" s="314"/>
      <c r="R37" s="60"/>
      <c r="S37" s="61"/>
      <c r="T37" s="61"/>
      <c r="U37" s="70"/>
    </row>
    <row r="38" spans="1:34">
      <c r="A38" s="128">
        <f>A37+1</f>
        <v>27</v>
      </c>
      <c r="B38" s="248"/>
      <c r="C38" s="67"/>
      <c r="D38" s="191"/>
      <c r="E38" s="266"/>
      <c r="F38" s="178"/>
      <c r="G38" s="118"/>
      <c r="H38" s="91"/>
      <c r="I38" s="124"/>
      <c r="J38" s="130" t="str">
        <f t="shared" ref="J38:J61" si="6">IF(G38="RSL","50","0")</f>
        <v>0</v>
      </c>
      <c r="K38" s="130" t="str">
        <f t="shared" si="5"/>
        <v>0</v>
      </c>
      <c r="L38" s="131"/>
      <c r="M38" s="131"/>
      <c r="N38" s="69"/>
      <c r="O38" s="309"/>
      <c r="P38" s="310"/>
      <c r="Q38" s="311"/>
      <c r="R38" s="78"/>
      <c r="S38" s="71"/>
      <c r="T38" s="16"/>
      <c r="U38" s="72"/>
    </row>
    <row r="39" spans="1:34">
      <c r="A39" s="128">
        <f t="shared" ref="A39:A61" si="7">A38+1</f>
        <v>28</v>
      </c>
      <c r="B39" s="118"/>
      <c r="C39" s="27"/>
      <c r="D39" s="180"/>
      <c r="E39" s="266"/>
      <c r="F39" s="178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2"/>
      <c r="P39" s="313"/>
      <c r="Q39" s="314"/>
      <c r="R39" s="79"/>
      <c r="S39" s="13"/>
      <c r="T39" s="12"/>
      <c r="U39" s="72"/>
    </row>
    <row r="40" spans="1:34">
      <c r="A40" s="128">
        <f t="shared" si="7"/>
        <v>29</v>
      </c>
      <c r="B40" s="248"/>
      <c r="C40" s="63"/>
      <c r="D40" s="181"/>
      <c r="E40" s="266"/>
      <c r="F40" s="179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5"/>
      <c r="P40" s="316"/>
      <c r="Q40" s="317"/>
      <c r="R40" s="78"/>
      <c r="S40" s="71"/>
      <c r="T40" s="71"/>
      <c r="U40" s="72"/>
    </row>
    <row r="41" spans="1:34">
      <c r="A41" s="128">
        <f t="shared" si="7"/>
        <v>30</v>
      </c>
      <c r="B41" s="118"/>
      <c r="C41" s="63"/>
      <c r="D41" s="181"/>
      <c r="E41" s="266"/>
      <c r="F41" s="179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5"/>
      <c r="P41" s="316"/>
      <c r="Q41" s="317"/>
      <c r="R41" s="80"/>
      <c r="S41" s="73"/>
      <c r="T41" s="73"/>
      <c r="U41" s="74"/>
    </row>
    <row r="42" spans="1:34">
      <c r="A42" s="128">
        <f t="shared" si="7"/>
        <v>31</v>
      </c>
      <c r="B42" s="248"/>
      <c r="C42" s="28"/>
      <c r="D42" s="182"/>
      <c r="E42" s="266"/>
      <c r="F42" s="172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2"/>
      <c r="P42" s="303"/>
      <c r="Q42" s="304"/>
      <c r="R42" s="80"/>
      <c r="S42" s="73"/>
      <c r="T42" s="73"/>
      <c r="U42" s="74"/>
    </row>
    <row r="43" spans="1:34">
      <c r="A43" s="128">
        <f t="shared" si="7"/>
        <v>32</v>
      </c>
      <c r="B43" s="118"/>
      <c r="C43" s="18"/>
      <c r="D43" s="188"/>
      <c r="E43" s="266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2"/>
      <c r="P43" s="313"/>
      <c r="Q43" s="314"/>
      <c r="R43" s="78"/>
      <c r="S43" s="71"/>
      <c r="T43" s="71"/>
      <c r="U43" s="72"/>
    </row>
    <row r="44" spans="1:34">
      <c r="A44" s="128">
        <f t="shared" si="7"/>
        <v>33</v>
      </c>
      <c r="B44" s="248"/>
      <c r="C44" s="64"/>
      <c r="D44" s="183"/>
      <c r="E44" s="266"/>
      <c r="F44" s="172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2"/>
      <c r="P44" s="313"/>
      <c r="Q44" s="314"/>
      <c r="R44" s="5"/>
      <c r="S44" s="71"/>
      <c r="T44" s="71"/>
      <c r="U44" s="72"/>
    </row>
    <row r="45" spans="1:34">
      <c r="A45" s="128">
        <f t="shared" si="7"/>
        <v>34</v>
      </c>
      <c r="B45" s="118"/>
      <c r="C45" s="64"/>
      <c r="D45" s="183"/>
      <c r="E45" s="266"/>
      <c r="F45" s="172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2"/>
      <c r="P45" s="313"/>
      <c r="Q45" s="314"/>
      <c r="R45" s="5"/>
      <c r="S45" s="71"/>
      <c r="T45" s="71"/>
      <c r="U45" s="72"/>
    </row>
    <row r="46" spans="1:34">
      <c r="A46" s="128">
        <f t="shared" si="7"/>
        <v>35</v>
      </c>
      <c r="B46" s="248"/>
      <c r="C46" s="65"/>
      <c r="D46" s="184"/>
      <c r="E46" s="266"/>
      <c r="F46" s="169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2"/>
      <c r="P46" s="313"/>
      <c r="Q46" s="314"/>
      <c r="R46" s="5"/>
      <c r="S46" s="71"/>
      <c r="T46" s="71"/>
      <c r="U46" s="72"/>
    </row>
    <row r="47" spans="1:34">
      <c r="A47" s="128">
        <f t="shared" si="7"/>
        <v>36</v>
      </c>
      <c r="B47" s="118"/>
      <c r="C47" s="18"/>
      <c r="D47" s="188"/>
      <c r="E47" s="266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2"/>
      <c r="P47" s="313"/>
      <c r="Q47" s="314"/>
      <c r="R47" s="5"/>
      <c r="S47" s="71"/>
      <c r="T47" s="71"/>
      <c r="U47" s="72"/>
    </row>
    <row r="48" spans="1:34">
      <c r="A48" s="128">
        <f t="shared" si="7"/>
        <v>37</v>
      </c>
      <c r="B48" s="248"/>
      <c r="C48" s="65"/>
      <c r="D48" s="184"/>
      <c r="E48" s="266"/>
      <c r="F48" s="169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2"/>
      <c r="P48" s="313"/>
      <c r="Q48" s="314"/>
      <c r="R48" s="5"/>
      <c r="S48" s="71"/>
      <c r="T48" s="71"/>
      <c r="U48" s="72"/>
    </row>
    <row r="49" spans="1:21">
      <c r="A49" s="128">
        <f t="shared" si="7"/>
        <v>38</v>
      </c>
      <c r="B49" s="248"/>
      <c r="C49" s="18"/>
      <c r="D49" s="188"/>
      <c r="E49" s="266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2"/>
      <c r="P49" s="313"/>
      <c r="Q49" s="314"/>
      <c r="R49" s="5"/>
      <c r="S49" s="71"/>
      <c r="T49" s="75"/>
      <c r="U49" s="72"/>
    </row>
    <row r="50" spans="1:21">
      <c r="A50" s="128">
        <f t="shared" si="7"/>
        <v>39</v>
      </c>
      <c r="B50" s="248"/>
      <c r="C50" s="18"/>
      <c r="D50" s="188"/>
      <c r="E50" s="266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2"/>
      <c r="P50" s="313"/>
      <c r="Q50" s="314"/>
      <c r="R50" s="5"/>
      <c r="S50" s="71"/>
      <c r="T50" s="75"/>
      <c r="U50" s="72"/>
    </row>
    <row r="51" spans="1:21">
      <c r="A51" s="128">
        <f t="shared" si="7"/>
        <v>40</v>
      </c>
      <c r="B51" s="248"/>
      <c r="C51" s="18"/>
      <c r="D51" s="188"/>
      <c r="E51" s="266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2"/>
      <c r="P51" s="313"/>
      <c r="Q51" s="313"/>
      <c r="R51" s="5"/>
      <c r="S51" s="71"/>
      <c r="T51" s="75"/>
      <c r="U51" s="72"/>
    </row>
    <row r="52" spans="1:21">
      <c r="A52" s="128">
        <f t="shared" si="7"/>
        <v>41</v>
      </c>
      <c r="B52" s="248"/>
      <c r="C52" s="66"/>
      <c r="D52" s="189"/>
      <c r="E52" s="266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2"/>
      <c r="P52" s="313"/>
      <c r="Q52" s="313"/>
      <c r="R52" s="81"/>
      <c r="S52" s="68"/>
      <c r="T52" s="76"/>
      <c r="U52" s="77"/>
    </row>
    <row r="53" spans="1:21">
      <c r="A53" s="128">
        <f t="shared" si="7"/>
        <v>42</v>
      </c>
      <c r="B53" s="248"/>
      <c r="C53" s="127"/>
      <c r="D53" s="185"/>
      <c r="E53" s="266"/>
      <c r="F53" s="174"/>
      <c r="G53" s="248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12"/>
      <c r="Q53" s="312"/>
      <c r="R53" s="81"/>
      <c r="S53" s="68"/>
      <c r="T53" s="76"/>
      <c r="U53" s="77"/>
    </row>
    <row r="54" spans="1:21">
      <c r="A54" s="128">
        <f t="shared" si="7"/>
        <v>43</v>
      </c>
      <c r="B54" s="248"/>
      <c r="C54" s="127"/>
      <c r="D54" s="185"/>
      <c r="E54" s="266"/>
      <c r="F54" s="174"/>
      <c r="G54" s="248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12"/>
      <c r="Q54" s="312"/>
      <c r="R54" s="81"/>
      <c r="S54" s="68"/>
      <c r="T54" s="76"/>
      <c r="U54" s="77"/>
    </row>
    <row r="55" spans="1:21">
      <c r="A55" s="128">
        <f t="shared" si="7"/>
        <v>44</v>
      </c>
      <c r="B55" s="248"/>
      <c r="C55" s="127"/>
      <c r="D55" s="185"/>
      <c r="E55" s="266"/>
      <c r="F55" s="174"/>
      <c r="G55" s="248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12"/>
      <c r="Q55" s="312"/>
      <c r="R55" s="81"/>
      <c r="S55" s="68"/>
      <c r="T55" s="76"/>
      <c r="U55" s="77"/>
    </row>
    <row r="56" spans="1:21">
      <c r="A56" s="128">
        <f t="shared" si="7"/>
        <v>45</v>
      </c>
      <c r="B56" s="248"/>
      <c r="C56" s="132"/>
      <c r="D56" s="186"/>
      <c r="E56" s="266"/>
      <c r="F56" s="174"/>
      <c r="G56" s="248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3"/>
      <c r="P56" s="313"/>
      <c r="Q56" s="313"/>
      <c r="R56" s="81"/>
      <c r="S56" s="68"/>
      <c r="T56" s="76"/>
      <c r="U56" s="77"/>
    </row>
    <row r="57" spans="1:21">
      <c r="A57" s="128">
        <f t="shared" si="7"/>
        <v>46</v>
      </c>
      <c r="B57" s="248"/>
      <c r="C57" s="27"/>
      <c r="D57" s="180"/>
      <c r="E57" s="266"/>
      <c r="F57" s="176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2"/>
      <c r="P57" s="313"/>
      <c r="Q57" s="313"/>
      <c r="R57" s="81"/>
      <c r="S57" s="68"/>
      <c r="T57" s="68"/>
      <c r="U57" s="77"/>
    </row>
    <row r="58" spans="1:21">
      <c r="A58" s="128">
        <f t="shared" si="7"/>
        <v>47</v>
      </c>
      <c r="B58" s="248"/>
      <c r="C58" s="27"/>
      <c r="D58" s="180"/>
      <c r="E58" s="266"/>
      <c r="F58" s="176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3"/>
      <c r="P58" s="313"/>
      <c r="Q58" s="313"/>
      <c r="R58" s="81"/>
      <c r="S58" s="68"/>
      <c r="T58" s="68"/>
      <c r="U58" s="77"/>
    </row>
    <row r="59" spans="1:21">
      <c r="A59" s="128">
        <f t="shared" si="7"/>
        <v>48</v>
      </c>
      <c r="B59" s="248"/>
      <c r="C59" s="27"/>
      <c r="D59" s="180"/>
      <c r="E59" s="266"/>
      <c r="F59" s="176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3"/>
      <c r="P59" s="313"/>
      <c r="Q59" s="313"/>
      <c r="R59" s="81"/>
      <c r="S59" s="68"/>
      <c r="T59" s="68"/>
      <c r="U59" s="77"/>
    </row>
    <row r="60" spans="1:21">
      <c r="A60" s="128">
        <f t="shared" si="7"/>
        <v>49</v>
      </c>
      <c r="B60" s="248"/>
      <c r="C60" s="34"/>
      <c r="D60" s="187"/>
      <c r="E60" s="266"/>
      <c r="F60" s="176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2"/>
      <c r="P60" s="313"/>
      <c r="Q60" s="314"/>
      <c r="R60" s="81"/>
      <c r="S60" s="68"/>
      <c r="T60" s="68"/>
      <c r="U60" s="77"/>
    </row>
    <row r="61" spans="1:21" ht="18" thickBot="1">
      <c r="A61" s="128">
        <f t="shared" si="7"/>
        <v>50</v>
      </c>
      <c r="B61" s="248"/>
      <c r="C61" s="30"/>
      <c r="D61" s="193"/>
      <c r="E61" s="266"/>
      <c r="F61" s="30"/>
      <c r="G61" s="248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8" thickBot="1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8" thickBot="1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8" thickBot="1">
      <c r="A65" s="295" t="s">
        <v>24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7"/>
    </row>
    <row r="66" spans="1:21" ht="18" thickBot="1">
      <c r="A66" s="295" t="str">
        <f>A34</f>
        <v>23-01-2022</v>
      </c>
      <c r="B66" s="296"/>
      <c r="C66" s="296"/>
      <c r="D66" s="296"/>
      <c r="E66" s="296"/>
      <c r="F66" s="296"/>
      <c r="G66" s="297"/>
      <c r="H66" s="298" t="s">
        <v>49</v>
      </c>
      <c r="I66" s="299"/>
      <c r="J66" s="295" t="str">
        <f>J34</f>
        <v>CLOUDY</v>
      </c>
      <c r="K66" s="297"/>
      <c r="L66" s="299" t="s">
        <v>50</v>
      </c>
      <c r="M66" s="300"/>
      <c r="N66" s="298"/>
      <c r="O66" s="296" t="str">
        <f>O34</f>
        <v>JOHN</v>
      </c>
      <c r="P66" s="296"/>
      <c r="Q66" s="297"/>
      <c r="R66" s="299" t="s">
        <v>51</v>
      </c>
      <c r="S66" s="298"/>
      <c r="T66" s="301">
        <f>T34</f>
        <v>5</v>
      </c>
      <c r="U66" s="301"/>
    </row>
    <row r="67" spans="1:21" ht="18" thickBot="1">
      <c r="A67" s="15" t="s">
        <v>6</v>
      </c>
      <c r="F67" s="166"/>
      <c r="H67" s="9"/>
      <c r="I67" s="19"/>
      <c r="T67" s="10"/>
      <c r="U67" s="11"/>
    </row>
    <row r="68" spans="1:21" ht="18" thickBot="1">
      <c r="A68" s="154" t="s">
        <v>0</v>
      </c>
      <c r="B68" s="249" t="s">
        <v>21</v>
      </c>
      <c r="C68" s="249" t="s">
        <v>7</v>
      </c>
      <c r="D68" s="255" t="s">
        <v>88</v>
      </c>
      <c r="E68" s="263" t="s">
        <v>94</v>
      </c>
      <c r="F68" s="249" t="s">
        <v>25</v>
      </c>
      <c r="G68" s="249" t="s">
        <v>1</v>
      </c>
      <c r="H68" s="249" t="s">
        <v>22</v>
      </c>
      <c r="I68" s="249" t="s">
        <v>20</v>
      </c>
      <c r="J68" s="249" t="s">
        <v>44</v>
      </c>
      <c r="K68" s="249" t="s">
        <v>45</v>
      </c>
      <c r="L68" s="249" t="s">
        <v>47</v>
      </c>
      <c r="M68" s="249" t="s">
        <v>46</v>
      </c>
      <c r="N68" s="249" t="s">
        <v>2</v>
      </c>
      <c r="O68" s="305" t="s">
        <v>8</v>
      </c>
      <c r="P68" s="305"/>
      <c r="Q68" s="305"/>
      <c r="R68" s="249" t="s">
        <v>26</v>
      </c>
      <c r="S68" s="155" t="s">
        <v>3</v>
      </c>
      <c r="T68" s="155" t="s">
        <v>4</v>
      </c>
      <c r="U68" s="156" t="s">
        <v>18</v>
      </c>
    </row>
    <row r="69" spans="1:21">
      <c r="A69" s="152">
        <f>A61+1</f>
        <v>51</v>
      </c>
      <c r="B69" s="248"/>
      <c r="C69" s="253"/>
      <c r="D69" s="260"/>
      <c r="E69" s="265"/>
      <c r="F69" s="170"/>
      <c r="G69" s="118"/>
      <c r="H69" s="91"/>
      <c r="I69" s="124"/>
      <c r="J69" s="130" t="str">
        <f>IF(G69="RSL","50","0")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2"/>
      <c r="P69" s="313"/>
      <c r="Q69" s="314"/>
      <c r="R69" s="60"/>
      <c r="S69" s="61"/>
      <c r="T69" s="61"/>
      <c r="U69" s="70"/>
    </row>
    <row r="70" spans="1:21">
      <c r="A70" s="128">
        <f>A69+1</f>
        <v>52</v>
      </c>
      <c r="B70" s="248"/>
      <c r="C70" s="67"/>
      <c r="D70" s="191"/>
      <c r="E70" s="266"/>
      <c r="F70" s="170"/>
      <c r="G70" s="118"/>
      <c r="H70" s="91"/>
      <c r="I70" s="124"/>
      <c r="J70" s="130" t="str">
        <f t="shared" ref="J70:J93" si="10">IF(G70="RSL","50","0")</f>
        <v>0</v>
      </c>
      <c r="K70" s="130" t="str">
        <f t="shared" si="9"/>
        <v>0</v>
      </c>
      <c r="L70" s="131"/>
      <c r="M70" s="131"/>
      <c r="N70" s="69"/>
      <c r="O70" s="309"/>
      <c r="P70" s="310"/>
      <c r="Q70" s="311"/>
      <c r="R70" s="78"/>
      <c r="S70" s="71"/>
      <c r="T70" s="16"/>
      <c r="U70" s="72"/>
    </row>
    <row r="71" spans="1:21">
      <c r="A71" s="128">
        <f t="shared" ref="A71:A93" si="11">A70+1</f>
        <v>53</v>
      </c>
      <c r="B71" s="248"/>
      <c r="C71" s="27"/>
      <c r="D71" s="180"/>
      <c r="E71" s="266"/>
      <c r="F71" s="170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2"/>
      <c r="P71" s="313"/>
      <c r="Q71" s="314"/>
      <c r="R71" s="79"/>
      <c r="S71" s="13"/>
      <c r="T71" s="12"/>
      <c r="U71" s="72"/>
    </row>
    <row r="72" spans="1:21">
      <c r="A72" s="128">
        <f t="shared" si="11"/>
        <v>54</v>
      </c>
      <c r="B72" s="248"/>
      <c r="C72" s="63"/>
      <c r="D72" s="181"/>
      <c r="E72" s="266"/>
      <c r="F72" s="171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5"/>
      <c r="P72" s="316"/>
      <c r="Q72" s="317"/>
      <c r="R72" s="78"/>
      <c r="S72" s="71"/>
      <c r="T72" s="71"/>
      <c r="U72" s="72"/>
    </row>
    <row r="73" spans="1:21">
      <c r="A73" s="128">
        <f t="shared" si="11"/>
        <v>55</v>
      </c>
      <c r="B73" s="248"/>
      <c r="C73" s="63"/>
      <c r="D73" s="181"/>
      <c r="E73" s="266"/>
      <c r="F73" s="171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5"/>
      <c r="P73" s="316"/>
      <c r="Q73" s="317"/>
      <c r="R73" s="80"/>
      <c r="S73" s="73"/>
      <c r="T73" s="73"/>
      <c r="U73" s="74"/>
    </row>
    <row r="74" spans="1:21">
      <c r="A74" s="128">
        <f t="shared" si="11"/>
        <v>56</v>
      </c>
      <c r="B74" s="248"/>
      <c r="C74" s="28"/>
      <c r="D74" s="182"/>
      <c r="E74" s="266"/>
      <c r="F74" s="172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2"/>
      <c r="P74" s="303"/>
      <c r="Q74" s="304"/>
      <c r="R74" s="80"/>
      <c r="S74" s="73"/>
      <c r="T74" s="73"/>
      <c r="U74" s="74"/>
    </row>
    <row r="75" spans="1:21">
      <c r="A75" s="128">
        <f t="shared" si="11"/>
        <v>57</v>
      </c>
      <c r="B75" s="248"/>
      <c r="C75" s="18"/>
      <c r="D75" s="188"/>
      <c r="E75" s="266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2"/>
      <c r="P75" s="313"/>
      <c r="Q75" s="314"/>
      <c r="R75" s="78"/>
      <c r="S75" s="71"/>
      <c r="T75" s="71"/>
      <c r="U75" s="72"/>
    </row>
    <row r="76" spans="1:21">
      <c r="A76" s="128">
        <f t="shared" si="11"/>
        <v>58</v>
      </c>
      <c r="B76" s="248"/>
      <c r="C76" s="64"/>
      <c r="D76" s="183"/>
      <c r="E76" s="266"/>
      <c r="F76" s="172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2"/>
      <c r="P76" s="313"/>
      <c r="Q76" s="314"/>
      <c r="R76" s="5"/>
      <c r="S76" s="71"/>
      <c r="T76" s="71"/>
      <c r="U76" s="72"/>
    </row>
    <row r="77" spans="1:21">
      <c r="A77" s="128">
        <f t="shared" si="11"/>
        <v>59</v>
      </c>
      <c r="B77" s="248"/>
      <c r="C77" s="64"/>
      <c r="D77" s="183"/>
      <c r="E77" s="266"/>
      <c r="F77" s="172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2"/>
      <c r="P77" s="313"/>
      <c r="Q77" s="314"/>
      <c r="R77" s="5"/>
      <c r="S77" s="71"/>
      <c r="T77" s="71"/>
      <c r="U77" s="72"/>
    </row>
    <row r="78" spans="1:21">
      <c r="A78" s="128">
        <f t="shared" si="11"/>
        <v>60</v>
      </c>
      <c r="B78" s="248"/>
      <c r="C78" s="65"/>
      <c r="D78" s="184"/>
      <c r="E78" s="266"/>
      <c r="F78" s="169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2"/>
      <c r="P78" s="313"/>
      <c r="Q78" s="314"/>
      <c r="R78" s="5"/>
      <c r="S78" s="71"/>
      <c r="T78" s="71"/>
      <c r="U78" s="72"/>
    </row>
    <row r="79" spans="1:21">
      <c r="A79" s="128">
        <f t="shared" si="11"/>
        <v>61</v>
      </c>
      <c r="B79" s="248"/>
      <c r="C79" s="18"/>
      <c r="D79" s="188"/>
      <c r="E79" s="266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2"/>
      <c r="P79" s="313"/>
      <c r="Q79" s="314"/>
      <c r="R79" s="5"/>
      <c r="S79" s="71"/>
      <c r="T79" s="71"/>
      <c r="U79" s="72"/>
    </row>
    <row r="80" spans="1:21">
      <c r="A80" s="128">
        <f t="shared" si="11"/>
        <v>62</v>
      </c>
      <c r="B80" s="248"/>
      <c r="C80" s="65"/>
      <c r="D80" s="184"/>
      <c r="E80" s="266"/>
      <c r="F80" s="169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2"/>
      <c r="P80" s="313"/>
      <c r="Q80" s="314"/>
      <c r="R80" s="5"/>
      <c r="S80" s="71"/>
      <c r="T80" s="71"/>
      <c r="U80" s="72"/>
    </row>
    <row r="81" spans="1:21">
      <c r="A81" s="128">
        <f t="shared" si="11"/>
        <v>63</v>
      </c>
      <c r="B81" s="248"/>
      <c r="C81" s="18"/>
      <c r="D81" s="188"/>
      <c r="E81" s="266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2"/>
      <c r="P81" s="313"/>
      <c r="Q81" s="314"/>
      <c r="R81" s="5"/>
      <c r="S81" s="71"/>
      <c r="T81" s="75"/>
      <c r="U81" s="72"/>
    </row>
    <row r="82" spans="1:21">
      <c r="A82" s="128">
        <f t="shared" si="11"/>
        <v>64</v>
      </c>
      <c r="B82" s="248"/>
      <c r="C82" s="18"/>
      <c r="D82" s="188"/>
      <c r="E82" s="266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2"/>
      <c r="P82" s="313"/>
      <c r="Q82" s="314"/>
      <c r="R82" s="5"/>
      <c r="S82" s="71"/>
      <c r="T82" s="75"/>
      <c r="U82" s="72"/>
    </row>
    <row r="83" spans="1:21">
      <c r="A83" s="128">
        <f t="shared" si="11"/>
        <v>65</v>
      </c>
      <c r="B83" s="248"/>
      <c r="C83" s="18"/>
      <c r="D83" s="188"/>
      <c r="E83" s="266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2"/>
      <c r="P83" s="313"/>
      <c r="Q83" s="313"/>
      <c r="R83" s="5"/>
      <c r="S83" s="71"/>
      <c r="T83" s="75"/>
      <c r="U83" s="72"/>
    </row>
    <row r="84" spans="1:21">
      <c r="A84" s="128">
        <f t="shared" si="11"/>
        <v>66</v>
      </c>
      <c r="B84" s="248"/>
      <c r="C84" s="66"/>
      <c r="D84" s="189"/>
      <c r="E84" s="266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2"/>
      <c r="P84" s="313"/>
      <c r="Q84" s="313"/>
      <c r="R84" s="81"/>
      <c r="S84" s="68"/>
      <c r="T84" s="76"/>
      <c r="U84" s="77"/>
    </row>
    <row r="85" spans="1:21">
      <c r="A85" s="128">
        <f t="shared" si="11"/>
        <v>67</v>
      </c>
      <c r="B85" s="248"/>
      <c r="C85" s="127"/>
      <c r="D85" s="185"/>
      <c r="E85" s="266"/>
      <c r="F85" s="174"/>
      <c r="G85" s="248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12"/>
      <c r="Q85" s="312"/>
      <c r="R85" s="81"/>
      <c r="S85" s="68"/>
      <c r="T85" s="76"/>
      <c r="U85" s="77"/>
    </row>
    <row r="86" spans="1:21">
      <c r="A86" s="128">
        <f t="shared" si="11"/>
        <v>68</v>
      </c>
      <c r="B86" s="248"/>
      <c r="C86" s="127"/>
      <c r="D86" s="185"/>
      <c r="E86" s="266"/>
      <c r="F86" s="174"/>
      <c r="G86" s="248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12"/>
      <c r="Q86" s="312"/>
      <c r="R86" s="81"/>
      <c r="S86" s="68"/>
      <c r="T86" s="76"/>
      <c r="U86" s="77"/>
    </row>
    <row r="87" spans="1:21">
      <c r="A87" s="128">
        <f t="shared" si="11"/>
        <v>69</v>
      </c>
      <c r="B87" s="248"/>
      <c r="C87" s="127"/>
      <c r="D87" s="185"/>
      <c r="E87" s="266"/>
      <c r="F87" s="174"/>
      <c r="G87" s="248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12"/>
      <c r="Q87" s="312"/>
      <c r="R87" s="81"/>
      <c r="S87" s="68"/>
      <c r="T87" s="76"/>
      <c r="U87" s="77"/>
    </row>
    <row r="88" spans="1:21">
      <c r="A88" s="128">
        <f t="shared" si="11"/>
        <v>70</v>
      </c>
      <c r="B88" s="248"/>
      <c r="C88" s="132"/>
      <c r="D88" s="186"/>
      <c r="E88" s="266"/>
      <c r="F88" s="174"/>
      <c r="G88" s="248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3"/>
      <c r="P88" s="313"/>
      <c r="Q88" s="313"/>
      <c r="R88" s="81"/>
      <c r="S88" s="68"/>
      <c r="T88" s="76"/>
      <c r="U88" s="77"/>
    </row>
    <row r="89" spans="1:21">
      <c r="A89" s="128">
        <f t="shared" si="11"/>
        <v>71</v>
      </c>
      <c r="B89" s="248"/>
      <c r="C89" s="27"/>
      <c r="D89" s="180"/>
      <c r="E89" s="266"/>
      <c r="F89" s="176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2"/>
      <c r="P89" s="313"/>
      <c r="Q89" s="313"/>
      <c r="R89" s="81"/>
      <c r="S89" s="68"/>
      <c r="T89" s="68"/>
      <c r="U89" s="77"/>
    </row>
    <row r="90" spans="1:21">
      <c r="A90" s="128">
        <f t="shared" si="11"/>
        <v>72</v>
      </c>
      <c r="B90" s="248"/>
      <c r="C90" s="27"/>
      <c r="D90" s="180"/>
      <c r="E90" s="266"/>
      <c r="F90" s="176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3"/>
      <c r="P90" s="313"/>
      <c r="Q90" s="313"/>
      <c r="R90" s="81"/>
      <c r="S90" s="68"/>
      <c r="T90" s="68"/>
      <c r="U90" s="77"/>
    </row>
    <row r="91" spans="1:21">
      <c r="A91" s="128">
        <f t="shared" si="11"/>
        <v>73</v>
      </c>
      <c r="B91" s="248"/>
      <c r="C91" s="27"/>
      <c r="D91" s="180"/>
      <c r="E91" s="266"/>
      <c r="F91" s="176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3"/>
      <c r="P91" s="313"/>
      <c r="Q91" s="313"/>
      <c r="R91" s="81"/>
      <c r="S91" s="68"/>
      <c r="T91" s="68"/>
      <c r="U91" s="77"/>
    </row>
    <row r="92" spans="1:21">
      <c r="A92" s="128">
        <f t="shared" si="11"/>
        <v>74</v>
      </c>
      <c r="B92" s="248"/>
      <c r="C92" s="34"/>
      <c r="D92" s="187"/>
      <c r="E92" s="266"/>
      <c r="F92" s="176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2"/>
      <c r="P92" s="313"/>
      <c r="Q92" s="314"/>
      <c r="R92" s="81"/>
      <c r="S92" s="68"/>
      <c r="T92" s="68"/>
      <c r="U92" s="77"/>
    </row>
    <row r="93" spans="1:21" ht="18" thickBot="1">
      <c r="A93" s="128">
        <f t="shared" si="11"/>
        <v>75</v>
      </c>
      <c r="B93" s="248"/>
      <c r="C93" s="30"/>
      <c r="D93" s="194"/>
      <c r="E93" s="269"/>
      <c r="F93" s="177"/>
      <c r="G93" s="248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8" thickBot="1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8" thickBot="1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2">
    <dataValidation type="list" allowBlank="1" showInputMessage="1" showErrorMessage="1" sqref="X7" xr:uid="{FD5B6664-3DDE-4CAD-AC28-192AB3F4E41D}">
      <formula1>$W$5:$W$7</formula1>
    </dataValidation>
    <dataValidation type="list" allowBlank="1" showInputMessage="1" showErrorMessage="1" sqref="W5:W8 E5:E29 E37:E61 E69:E93" xr:uid="{A697709A-21A4-47C8-B625-72B51ECF845F}">
      <formula1>$W$5:$W$8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abSelected="1" topLeftCell="A19" workbookViewId="0">
      <selection activeCell="V36" sqref="V36:Z36"/>
    </sheetView>
  </sheetViews>
  <sheetFormatPr defaultColWidth="9" defaultRowHeight="17.399999999999999"/>
  <cols>
    <col min="1" max="477" width="2.59765625" style="35" customWidth="1"/>
    <col min="478" max="16384" width="9" style="35"/>
  </cols>
  <sheetData>
    <row r="1" spans="1:30" ht="32.25" customHeight="1">
      <c r="A1" s="538"/>
      <c r="B1" s="538"/>
      <c r="C1" s="538"/>
      <c r="D1" s="538"/>
      <c r="E1" s="536" t="s">
        <v>59</v>
      </c>
      <c r="F1" s="536"/>
      <c r="G1" s="536"/>
      <c r="H1" s="536" t="s">
        <v>60</v>
      </c>
      <c r="I1" s="536"/>
      <c r="J1" s="536"/>
      <c r="K1" s="536"/>
      <c r="L1" s="536" t="s">
        <v>61</v>
      </c>
      <c r="M1" s="536"/>
      <c r="N1" s="536"/>
      <c r="O1" s="536"/>
      <c r="P1" s="536"/>
      <c r="Q1" s="536" t="s">
        <v>62</v>
      </c>
      <c r="R1" s="536"/>
      <c r="S1" s="536"/>
      <c r="T1" s="536"/>
      <c r="U1" s="536"/>
      <c r="V1" s="536" t="s">
        <v>63</v>
      </c>
      <c r="W1" s="536"/>
      <c r="X1" s="536"/>
      <c r="Y1" s="536"/>
      <c r="Z1" s="536"/>
      <c r="AA1" s="536" t="s">
        <v>64</v>
      </c>
      <c r="AB1" s="536"/>
      <c r="AC1" s="536"/>
      <c r="AD1" s="536"/>
    </row>
    <row r="2" spans="1:30" ht="20.100000000000001" customHeight="1">
      <c r="A2" s="455" t="s">
        <v>66</v>
      </c>
      <c r="B2" s="478" t="s">
        <v>57</v>
      </c>
      <c r="C2" s="478"/>
      <c r="D2" s="537"/>
      <c r="E2" s="537">
        <f>MON!N31</f>
        <v>2</v>
      </c>
      <c r="F2" s="537"/>
      <c r="G2" s="537"/>
      <c r="H2" s="539">
        <f>MON!S31</f>
        <v>145</v>
      </c>
      <c r="I2" s="539"/>
      <c r="J2" s="539"/>
      <c r="K2" s="539"/>
      <c r="L2" s="540">
        <f>MON!N32</f>
        <v>0.17367349383159661</v>
      </c>
      <c r="M2" s="540"/>
      <c r="N2" s="540"/>
      <c r="O2" s="540"/>
      <c r="P2" s="540"/>
      <c r="Q2" s="608">
        <f>SUM(E2:G5)</f>
        <v>12</v>
      </c>
      <c r="R2" s="609"/>
      <c r="S2" s="609"/>
      <c r="T2" s="609"/>
      <c r="U2" s="610"/>
      <c r="V2" s="550">
        <f>SUM(H2,H3,H5)</f>
        <v>660</v>
      </c>
      <c r="W2" s="551"/>
      <c r="X2" s="551"/>
      <c r="Y2" s="551"/>
      <c r="Z2" s="552"/>
      <c r="AA2" s="559">
        <f>V2/Q2</f>
        <v>55</v>
      </c>
      <c r="AB2" s="560"/>
      <c r="AC2" s="560"/>
      <c r="AD2" s="561"/>
    </row>
    <row r="3" spans="1:30" ht="20.100000000000001" customHeight="1">
      <c r="A3" s="456"/>
      <c r="B3" s="478" t="s">
        <v>58</v>
      </c>
      <c r="C3" s="478"/>
      <c r="D3" s="537"/>
      <c r="E3" s="537">
        <f>MON!O31</f>
        <v>5</v>
      </c>
      <c r="F3" s="537"/>
      <c r="G3" s="537"/>
      <c r="H3" s="539">
        <f>MON!S32</f>
        <v>365</v>
      </c>
      <c r="I3" s="539"/>
      <c r="J3" s="539"/>
      <c r="K3" s="539"/>
      <c r="L3" s="540">
        <f>MON!O32</f>
        <v>0.43717810516229488</v>
      </c>
      <c r="M3" s="540"/>
      <c r="N3" s="540"/>
      <c r="O3" s="540"/>
      <c r="P3" s="540"/>
      <c r="Q3" s="611"/>
      <c r="R3" s="612"/>
      <c r="S3" s="612"/>
      <c r="T3" s="612"/>
      <c r="U3" s="613"/>
      <c r="V3" s="553"/>
      <c r="W3" s="554"/>
      <c r="X3" s="554"/>
      <c r="Y3" s="554"/>
      <c r="Z3" s="555"/>
      <c r="AA3" s="562"/>
      <c r="AB3" s="563"/>
      <c r="AC3" s="563"/>
      <c r="AD3" s="564"/>
    </row>
    <row r="4" spans="1:30" ht="20.100000000000001" customHeight="1">
      <c r="A4" s="456"/>
      <c r="B4" s="478" t="s">
        <v>45</v>
      </c>
      <c r="C4" s="478"/>
      <c r="D4" s="537"/>
      <c r="E4" s="537">
        <f>MON!P31</f>
        <v>3</v>
      </c>
      <c r="F4" s="537"/>
      <c r="G4" s="537"/>
      <c r="H4" s="539">
        <f>MON!K31</f>
        <v>174.89999999999998</v>
      </c>
      <c r="I4" s="539"/>
      <c r="J4" s="539"/>
      <c r="K4" s="539"/>
      <c r="L4" s="540">
        <f>MON!P32</f>
        <v>0.20948616600790512</v>
      </c>
      <c r="M4" s="540"/>
      <c r="N4" s="540"/>
      <c r="O4" s="540"/>
      <c r="P4" s="540"/>
      <c r="Q4" s="611"/>
      <c r="R4" s="612"/>
      <c r="S4" s="612"/>
      <c r="T4" s="612"/>
      <c r="U4" s="613"/>
      <c r="V4" s="553"/>
      <c r="W4" s="554"/>
      <c r="X4" s="554"/>
      <c r="Y4" s="554"/>
      <c r="Z4" s="555"/>
      <c r="AA4" s="562"/>
      <c r="AB4" s="563"/>
      <c r="AC4" s="563"/>
      <c r="AD4" s="564"/>
    </row>
    <row r="5" spans="1:30" ht="20.100000000000001" customHeight="1">
      <c r="A5" s="456"/>
      <c r="B5" s="476" t="s">
        <v>65</v>
      </c>
      <c r="C5" s="477"/>
      <c r="D5" s="478"/>
      <c r="E5" s="476">
        <f>MON!Q31</f>
        <v>2</v>
      </c>
      <c r="F5" s="477"/>
      <c r="G5" s="478"/>
      <c r="H5" s="596">
        <f>MON!J31</f>
        <v>150</v>
      </c>
      <c r="I5" s="597"/>
      <c r="J5" s="597"/>
      <c r="K5" s="598"/>
      <c r="L5" s="599">
        <f>MON!Q32</f>
        <v>0.17966223499820339</v>
      </c>
      <c r="M5" s="600"/>
      <c r="N5" s="600"/>
      <c r="O5" s="600"/>
      <c r="P5" s="601"/>
      <c r="Q5" s="614"/>
      <c r="R5" s="615"/>
      <c r="S5" s="615"/>
      <c r="T5" s="615"/>
      <c r="U5" s="616"/>
      <c r="V5" s="556"/>
      <c r="W5" s="557"/>
      <c r="X5" s="557"/>
      <c r="Y5" s="557"/>
      <c r="Z5" s="558"/>
      <c r="AA5" s="565"/>
      <c r="AB5" s="566"/>
      <c r="AC5" s="566"/>
      <c r="AD5" s="567"/>
    </row>
    <row r="6" spans="1:30" ht="20.100000000000001" customHeight="1">
      <c r="A6" s="457"/>
      <c r="B6" s="476" t="s">
        <v>91</v>
      </c>
      <c r="C6" s="477"/>
      <c r="D6" s="478"/>
      <c r="E6" s="476">
        <f>MON!U16</f>
        <v>44.750000000000007</v>
      </c>
      <c r="F6" s="477"/>
      <c r="G6" s="478"/>
      <c r="H6" s="596" t="s">
        <v>92</v>
      </c>
      <c r="I6" s="597"/>
      <c r="J6" s="597"/>
      <c r="K6" s="598"/>
      <c r="L6" s="656">
        <f>MON!T2</f>
        <v>6</v>
      </c>
      <c r="M6" s="657"/>
      <c r="N6" s="657"/>
      <c r="O6" s="657"/>
      <c r="P6" s="658"/>
      <c r="Q6" s="659"/>
      <c r="R6" s="660"/>
      <c r="S6" s="660"/>
      <c r="T6" s="660"/>
      <c r="U6" s="661"/>
      <c r="V6" s="426"/>
      <c r="W6" s="427"/>
      <c r="X6" s="427"/>
      <c r="Y6" s="427"/>
      <c r="Z6" s="428"/>
      <c r="AA6" s="429"/>
      <c r="AB6" s="430"/>
      <c r="AC6" s="430"/>
      <c r="AD6" s="431"/>
    </row>
    <row r="7" spans="1:30" ht="20.100000000000001" customHeight="1">
      <c r="A7" s="458" t="s">
        <v>67</v>
      </c>
      <c r="B7" s="434" t="s">
        <v>57</v>
      </c>
      <c r="C7" s="434"/>
      <c r="D7" s="450"/>
      <c r="E7" s="450">
        <f>TUE!N31</f>
        <v>0</v>
      </c>
      <c r="F7" s="450"/>
      <c r="G7" s="450"/>
      <c r="H7" s="451">
        <f>TUE!S31</f>
        <v>0</v>
      </c>
      <c r="I7" s="451"/>
      <c r="J7" s="451"/>
      <c r="K7" s="451"/>
      <c r="L7" s="452">
        <f>TUE!N32</f>
        <v>0</v>
      </c>
      <c r="M7" s="453"/>
      <c r="N7" s="453"/>
      <c r="O7" s="453"/>
      <c r="P7" s="454"/>
      <c r="Q7" s="638">
        <f>SUM(E7:G10)</f>
        <v>5</v>
      </c>
      <c r="R7" s="639"/>
      <c r="S7" s="639"/>
      <c r="T7" s="639"/>
      <c r="U7" s="640"/>
      <c r="V7" s="541">
        <f>SUM(H7,H8,H10)</f>
        <v>440</v>
      </c>
      <c r="W7" s="542"/>
      <c r="X7" s="542"/>
      <c r="Y7" s="542"/>
      <c r="Z7" s="543"/>
      <c r="AA7" s="568">
        <f>V7/Q7</f>
        <v>88</v>
      </c>
      <c r="AB7" s="569"/>
      <c r="AC7" s="569"/>
      <c r="AD7" s="570"/>
    </row>
    <row r="8" spans="1:30" ht="20.100000000000001" customHeight="1">
      <c r="A8" s="459"/>
      <c r="B8" s="434" t="s">
        <v>58</v>
      </c>
      <c r="C8" s="434"/>
      <c r="D8" s="450"/>
      <c r="E8" s="450">
        <f>TUE!O31</f>
        <v>5</v>
      </c>
      <c r="F8" s="450"/>
      <c r="G8" s="450"/>
      <c r="H8" s="451">
        <f>TUE!S32</f>
        <v>440</v>
      </c>
      <c r="I8" s="451"/>
      <c r="J8" s="451"/>
      <c r="K8" s="451"/>
      <c r="L8" s="452">
        <f>TUE!O32</f>
        <v>1</v>
      </c>
      <c r="M8" s="453"/>
      <c r="N8" s="453"/>
      <c r="O8" s="453"/>
      <c r="P8" s="454"/>
      <c r="Q8" s="641"/>
      <c r="R8" s="642"/>
      <c r="S8" s="642"/>
      <c r="T8" s="642"/>
      <c r="U8" s="643"/>
      <c r="V8" s="544"/>
      <c r="W8" s="545"/>
      <c r="X8" s="545"/>
      <c r="Y8" s="545"/>
      <c r="Z8" s="546"/>
      <c r="AA8" s="571"/>
      <c r="AB8" s="572"/>
      <c r="AC8" s="572"/>
      <c r="AD8" s="573"/>
    </row>
    <row r="9" spans="1:30" ht="20.100000000000001" customHeight="1">
      <c r="A9" s="459"/>
      <c r="B9" s="434" t="s">
        <v>45</v>
      </c>
      <c r="C9" s="434"/>
      <c r="D9" s="450"/>
      <c r="E9" s="450">
        <f>TUE!P31</f>
        <v>0</v>
      </c>
      <c r="F9" s="450"/>
      <c r="G9" s="450"/>
      <c r="H9" s="451">
        <f>TUE!K31</f>
        <v>0</v>
      </c>
      <c r="I9" s="451"/>
      <c r="J9" s="451"/>
      <c r="K9" s="451"/>
      <c r="L9" s="452">
        <f>TUE!P32</f>
        <v>0</v>
      </c>
      <c r="M9" s="453"/>
      <c r="N9" s="453"/>
      <c r="O9" s="453"/>
      <c r="P9" s="454"/>
      <c r="Q9" s="641"/>
      <c r="R9" s="642"/>
      <c r="S9" s="642"/>
      <c r="T9" s="642"/>
      <c r="U9" s="643"/>
      <c r="V9" s="544"/>
      <c r="W9" s="545"/>
      <c r="X9" s="545"/>
      <c r="Y9" s="545"/>
      <c r="Z9" s="546"/>
      <c r="AA9" s="571"/>
      <c r="AB9" s="572"/>
      <c r="AC9" s="572"/>
      <c r="AD9" s="573"/>
    </row>
    <row r="10" spans="1:30" ht="20.100000000000001" customHeight="1">
      <c r="A10" s="459"/>
      <c r="B10" s="432" t="s">
        <v>65</v>
      </c>
      <c r="C10" s="433"/>
      <c r="D10" s="434"/>
      <c r="E10" s="432">
        <f>TUE!Q31</f>
        <v>0</v>
      </c>
      <c r="F10" s="433"/>
      <c r="G10" s="434"/>
      <c r="H10" s="435">
        <f>TUE!J31</f>
        <v>0</v>
      </c>
      <c r="I10" s="436"/>
      <c r="J10" s="436"/>
      <c r="K10" s="437"/>
      <c r="L10" s="452">
        <f>TUE!Q32</f>
        <v>0</v>
      </c>
      <c r="M10" s="453"/>
      <c r="N10" s="453"/>
      <c r="O10" s="453"/>
      <c r="P10" s="454"/>
      <c r="Q10" s="644"/>
      <c r="R10" s="645"/>
      <c r="S10" s="645"/>
      <c r="T10" s="645"/>
      <c r="U10" s="646"/>
      <c r="V10" s="547"/>
      <c r="W10" s="548"/>
      <c r="X10" s="548"/>
      <c r="Y10" s="548"/>
      <c r="Z10" s="549"/>
      <c r="AA10" s="574"/>
      <c r="AB10" s="575"/>
      <c r="AC10" s="575"/>
      <c r="AD10" s="576"/>
    </row>
    <row r="11" spans="1:30" ht="20.100000000000001" customHeight="1">
      <c r="A11" s="460"/>
      <c r="B11" s="432" t="s">
        <v>91</v>
      </c>
      <c r="C11" s="433"/>
      <c r="D11" s="434"/>
      <c r="E11" s="432">
        <f>TUE!U16</f>
        <v>28.75</v>
      </c>
      <c r="F11" s="433"/>
      <c r="G11" s="434"/>
      <c r="H11" s="435" t="s">
        <v>92</v>
      </c>
      <c r="I11" s="436"/>
      <c r="J11" s="436"/>
      <c r="K11" s="437"/>
      <c r="L11" s="438">
        <f>TUE!T2</f>
        <v>5</v>
      </c>
      <c r="M11" s="439"/>
      <c r="N11" s="439"/>
      <c r="O11" s="439"/>
      <c r="P11" s="440"/>
      <c r="Q11" s="441"/>
      <c r="R11" s="442"/>
      <c r="S11" s="442"/>
      <c r="T11" s="442"/>
      <c r="U11" s="443"/>
      <c r="V11" s="444"/>
      <c r="W11" s="445"/>
      <c r="X11" s="445"/>
      <c r="Y11" s="445"/>
      <c r="Z11" s="446"/>
      <c r="AA11" s="447"/>
      <c r="AB11" s="448"/>
      <c r="AC11" s="448"/>
      <c r="AD11" s="449"/>
    </row>
    <row r="12" spans="1:30" ht="20.100000000000001" customHeight="1">
      <c r="A12" s="461" t="s">
        <v>68</v>
      </c>
      <c r="B12" s="481" t="s">
        <v>57</v>
      </c>
      <c r="C12" s="481"/>
      <c r="D12" s="360"/>
      <c r="E12" s="360">
        <f>WED!N31</f>
        <v>0</v>
      </c>
      <c r="F12" s="360"/>
      <c r="G12" s="360"/>
      <c r="H12" s="602">
        <f>WED!S31</f>
        <v>0</v>
      </c>
      <c r="I12" s="603"/>
      <c r="J12" s="603"/>
      <c r="K12" s="604"/>
      <c r="L12" s="605">
        <f>WED!N32</f>
        <v>0</v>
      </c>
      <c r="M12" s="606"/>
      <c r="N12" s="606"/>
      <c r="O12" s="606"/>
      <c r="P12" s="607"/>
      <c r="Q12" s="617">
        <f>SUM(E12:G15)</f>
        <v>2</v>
      </c>
      <c r="R12" s="618"/>
      <c r="S12" s="618"/>
      <c r="T12" s="618"/>
      <c r="U12" s="619"/>
      <c r="V12" s="398">
        <f>SUM(H12,H13,H15)</f>
        <v>195</v>
      </c>
      <c r="W12" s="399"/>
      <c r="X12" s="399"/>
      <c r="Y12" s="399"/>
      <c r="Z12" s="400"/>
      <c r="AA12" s="389">
        <f>V12/Q12</f>
        <v>97.5</v>
      </c>
      <c r="AB12" s="390"/>
      <c r="AC12" s="390"/>
      <c r="AD12" s="391"/>
    </row>
    <row r="13" spans="1:30" ht="20.100000000000001" customHeight="1">
      <c r="A13" s="462"/>
      <c r="B13" s="481" t="s">
        <v>58</v>
      </c>
      <c r="C13" s="481"/>
      <c r="D13" s="360"/>
      <c r="E13" s="360">
        <f>WED!O31</f>
        <v>1</v>
      </c>
      <c r="F13" s="360"/>
      <c r="G13" s="360"/>
      <c r="H13" s="602">
        <f>WED!S32</f>
        <v>95</v>
      </c>
      <c r="I13" s="603"/>
      <c r="J13" s="603"/>
      <c r="K13" s="604"/>
      <c r="L13" s="605">
        <f>WED!O32</f>
        <v>0.48717948717948717</v>
      </c>
      <c r="M13" s="606"/>
      <c r="N13" s="606"/>
      <c r="O13" s="606"/>
      <c r="P13" s="607"/>
      <c r="Q13" s="620"/>
      <c r="R13" s="621"/>
      <c r="S13" s="621"/>
      <c r="T13" s="621"/>
      <c r="U13" s="622"/>
      <c r="V13" s="401"/>
      <c r="W13" s="402"/>
      <c r="X13" s="402"/>
      <c r="Y13" s="402"/>
      <c r="Z13" s="403"/>
      <c r="AA13" s="392"/>
      <c r="AB13" s="393"/>
      <c r="AC13" s="393"/>
      <c r="AD13" s="394"/>
    </row>
    <row r="14" spans="1:30" ht="20.100000000000001" customHeight="1">
      <c r="A14" s="462"/>
      <c r="B14" s="481" t="s">
        <v>45</v>
      </c>
      <c r="C14" s="481"/>
      <c r="D14" s="360"/>
      <c r="E14" s="360">
        <f>WED!P31</f>
        <v>0</v>
      </c>
      <c r="F14" s="360"/>
      <c r="G14" s="360"/>
      <c r="H14" s="602">
        <f>WED!K31</f>
        <v>0</v>
      </c>
      <c r="I14" s="603"/>
      <c r="J14" s="603"/>
      <c r="K14" s="604"/>
      <c r="L14" s="605">
        <f>WED!P32</f>
        <v>0</v>
      </c>
      <c r="M14" s="606"/>
      <c r="N14" s="606"/>
      <c r="O14" s="606"/>
      <c r="P14" s="607"/>
      <c r="Q14" s="620"/>
      <c r="R14" s="621"/>
      <c r="S14" s="621"/>
      <c r="T14" s="621"/>
      <c r="U14" s="622"/>
      <c r="V14" s="401"/>
      <c r="W14" s="402"/>
      <c r="X14" s="402"/>
      <c r="Y14" s="402"/>
      <c r="Z14" s="403"/>
      <c r="AA14" s="392"/>
      <c r="AB14" s="393"/>
      <c r="AC14" s="393"/>
      <c r="AD14" s="394"/>
    </row>
    <row r="15" spans="1:30" ht="20.100000000000001" customHeight="1">
      <c r="A15" s="462"/>
      <c r="B15" s="479" t="s">
        <v>65</v>
      </c>
      <c r="C15" s="480"/>
      <c r="D15" s="481"/>
      <c r="E15" s="479">
        <f>WED!Q31</f>
        <v>1</v>
      </c>
      <c r="F15" s="480"/>
      <c r="G15" s="481"/>
      <c r="H15" s="602">
        <f>WED!J31</f>
        <v>100</v>
      </c>
      <c r="I15" s="603"/>
      <c r="J15" s="603"/>
      <c r="K15" s="604"/>
      <c r="L15" s="605">
        <f>WED!Q32</f>
        <v>0.51282051282051277</v>
      </c>
      <c r="M15" s="606"/>
      <c r="N15" s="606"/>
      <c r="O15" s="606"/>
      <c r="P15" s="607"/>
      <c r="Q15" s="623"/>
      <c r="R15" s="624"/>
      <c r="S15" s="624"/>
      <c r="T15" s="624"/>
      <c r="U15" s="625"/>
      <c r="V15" s="404"/>
      <c r="W15" s="405"/>
      <c r="X15" s="405"/>
      <c r="Y15" s="405"/>
      <c r="Z15" s="406"/>
      <c r="AA15" s="395"/>
      <c r="AB15" s="396"/>
      <c r="AC15" s="396"/>
      <c r="AD15" s="397"/>
    </row>
    <row r="16" spans="1:30" ht="20.100000000000001" customHeight="1">
      <c r="A16" s="463"/>
      <c r="B16" s="479" t="s">
        <v>91</v>
      </c>
      <c r="C16" s="480"/>
      <c r="D16" s="481"/>
      <c r="E16" s="479">
        <f>WED!U16</f>
        <v>20.000000000000004</v>
      </c>
      <c r="F16" s="480"/>
      <c r="G16" s="481"/>
      <c r="H16" s="602" t="s">
        <v>92</v>
      </c>
      <c r="I16" s="603"/>
      <c r="J16" s="603"/>
      <c r="K16" s="604"/>
      <c r="L16" s="662">
        <f>WED!T2</f>
        <v>3</v>
      </c>
      <c r="M16" s="663"/>
      <c r="N16" s="663"/>
      <c r="O16" s="663"/>
      <c r="P16" s="664"/>
      <c r="Q16" s="221"/>
      <c r="R16" s="222"/>
      <c r="S16" s="222"/>
      <c r="T16" s="222"/>
      <c r="U16" s="223"/>
      <c r="V16" s="212"/>
      <c r="W16" s="213"/>
      <c r="X16" s="213"/>
      <c r="Y16" s="213"/>
      <c r="Z16" s="214"/>
      <c r="AA16" s="209"/>
      <c r="AB16" s="210"/>
      <c r="AC16" s="210"/>
      <c r="AD16" s="211"/>
    </row>
    <row r="17" spans="1:30" ht="20.100000000000001" customHeight="1">
      <c r="A17" s="464" t="s">
        <v>69</v>
      </c>
      <c r="B17" s="484" t="s">
        <v>57</v>
      </c>
      <c r="C17" s="484"/>
      <c r="D17" s="411"/>
      <c r="E17" s="411">
        <f>THU!N31</f>
        <v>1</v>
      </c>
      <c r="F17" s="411"/>
      <c r="G17" s="411"/>
      <c r="H17" s="410">
        <f>THU!S31</f>
        <v>95</v>
      </c>
      <c r="I17" s="410"/>
      <c r="J17" s="410"/>
      <c r="K17" s="410"/>
      <c r="L17" s="420">
        <f>THU!N32</f>
        <v>8.4572242499777447E-2</v>
      </c>
      <c r="M17" s="420"/>
      <c r="N17" s="420"/>
      <c r="O17" s="420"/>
      <c r="P17" s="420"/>
      <c r="Q17" s="647">
        <f>SUM(E17:G20)</f>
        <v>12</v>
      </c>
      <c r="R17" s="648"/>
      <c r="S17" s="648"/>
      <c r="T17" s="648"/>
      <c r="U17" s="649"/>
      <c r="V17" s="587">
        <f>SUM(H17,H18,H20)</f>
        <v>1540</v>
      </c>
      <c r="W17" s="588"/>
      <c r="X17" s="588"/>
      <c r="Y17" s="588"/>
      <c r="Z17" s="589"/>
      <c r="AA17" s="578">
        <f>V17/Q17</f>
        <v>128.33333333333334</v>
      </c>
      <c r="AB17" s="579"/>
      <c r="AC17" s="579"/>
      <c r="AD17" s="580"/>
    </row>
    <row r="18" spans="1:30" ht="20.100000000000001" customHeight="1">
      <c r="A18" s="465"/>
      <c r="B18" s="484" t="s">
        <v>58</v>
      </c>
      <c r="C18" s="484"/>
      <c r="D18" s="411"/>
      <c r="E18" s="411">
        <f>THU!O31</f>
        <v>10</v>
      </c>
      <c r="F18" s="411"/>
      <c r="G18" s="411"/>
      <c r="H18" s="410">
        <f>THU!S32</f>
        <v>1445</v>
      </c>
      <c r="I18" s="410"/>
      <c r="J18" s="410"/>
      <c r="K18" s="410"/>
      <c r="L18" s="420">
        <f>THU!O32</f>
        <v>0.86352710762930651</v>
      </c>
      <c r="M18" s="420"/>
      <c r="N18" s="420"/>
      <c r="O18" s="420"/>
      <c r="P18" s="420"/>
      <c r="Q18" s="650"/>
      <c r="R18" s="651"/>
      <c r="S18" s="651"/>
      <c r="T18" s="651"/>
      <c r="U18" s="652"/>
      <c r="V18" s="590"/>
      <c r="W18" s="591"/>
      <c r="X18" s="591"/>
      <c r="Y18" s="591"/>
      <c r="Z18" s="592"/>
      <c r="AA18" s="581"/>
      <c r="AB18" s="582"/>
      <c r="AC18" s="582"/>
      <c r="AD18" s="583"/>
    </row>
    <row r="19" spans="1:30" ht="20.100000000000001" customHeight="1">
      <c r="A19" s="465"/>
      <c r="B19" s="484" t="s">
        <v>45</v>
      </c>
      <c r="C19" s="484"/>
      <c r="D19" s="411"/>
      <c r="E19" s="411">
        <f>THU!P31</f>
        <v>1</v>
      </c>
      <c r="F19" s="411"/>
      <c r="G19" s="411"/>
      <c r="H19" s="410">
        <f>THU!K31</f>
        <v>58.3</v>
      </c>
      <c r="I19" s="410"/>
      <c r="J19" s="410"/>
      <c r="K19" s="410"/>
      <c r="L19" s="420">
        <f>THU!P32</f>
        <v>5.1900649870916048E-2</v>
      </c>
      <c r="M19" s="420"/>
      <c r="N19" s="420"/>
      <c r="O19" s="420"/>
      <c r="P19" s="420"/>
      <c r="Q19" s="650"/>
      <c r="R19" s="651"/>
      <c r="S19" s="651"/>
      <c r="T19" s="651"/>
      <c r="U19" s="652"/>
      <c r="V19" s="590"/>
      <c r="W19" s="591"/>
      <c r="X19" s="591"/>
      <c r="Y19" s="591"/>
      <c r="Z19" s="592"/>
      <c r="AA19" s="581"/>
      <c r="AB19" s="582"/>
      <c r="AC19" s="582"/>
      <c r="AD19" s="583"/>
    </row>
    <row r="20" spans="1:30" ht="20.100000000000001" customHeight="1">
      <c r="A20" s="465"/>
      <c r="B20" s="482" t="s">
        <v>65</v>
      </c>
      <c r="C20" s="483"/>
      <c r="D20" s="484"/>
      <c r="E20" s="482">
        <f>THU!Q31</f>
        <v>0</v>
      </c>
      <c r="F20" s="483"/>
      <c r="G20" s="484"/>
      <c r="H20" s="665">
        <f>THU!J31</f>
        <v>0</v>
      </c>
      <c r="I20" s="666"/>
      <c r="J20" s="666"/>
      <c r="K20" s="667"/>
      <c r="L20" s="677">
        <f>THU!Q32</f>
        <v>0</v>
      </c>
      <c r="M20" s="678"/>
      <c r="N20" s="678"/>
      <c r="O20" s="678"/>
      <c r="P20" s="679"/>
      <c r="Q20" s="653"/>
      <c r="R20" s="654"/>
      <c r="S20" s="654"/>
      <c r="T20" s="654"/>
      <c r="U20" s="655"/>
      <c r="V20" s="593"/>
      <c r="W20" s="594"/>
      <c r="X20" s="594"/>
      <c r="Y20" s="594"/>
      <c r="Z20" s="595"/>
      <c r="AA20" s="584"/>
      <c r="AB20" s="585"/>
      <c r="AC20" s="585"/>
      <c r="AD20" s="586"/>
    </row>
    <row r="21" spans="1:30" ht="20.100000000000001" customHeight="1">
      <c r="A21" s="466"/>
      <c r="B21" s="482" t="s">
        <v>91</v>
      </c>
      <c r="C21" s="483"/>
      <c r="D21" s="484"/>
      <c r="E21" s="482">
        <f>THU!U16</f>
        <v>30.500000000000007</v>
      </c>
      <c r="F21" s="483"/>
      <c r="G21" s="484"/>
      <c r="H21" s="665" t="s">
        <v>92</v>
      </c>
      <c r="I21" s="666"/>
      <c r="J21" s="666"/>
      <c r="K21" s="667"/>
      <c r="L21" s="684">
        <f>THU!T2</f>
        <v>4</v>
      </c>
      <c r="M21" s="685"/>
      <c r="N21" s="685"/>
      <c r="O21" s="685"/>
      <c r="P21" s="686"/>
      <c r="Q21" s="227"/>
      <c r="R21" s="228"/>
      <c r="S21" s="228"/>
      <c r="T21" s="228"/>
      <c r="U21" s="229"/>
      <c r="V21" s="218"/>
      <c r="W21" s="219"/>
      <c r="X21" s="219"/>
      <c r="Y21" s="219"/>
      <c r="Z21" s="220"/>
      <c r="AA21" s="215"/>
      <c r="AB21" s="216"/>
      <c r="AC21" s="216"/>
      <c r="AD21" s="217"/>
    </row>
    <row r="22" spans="1:30" ht="20.100000000000001" customHeight="1">
      <c r="A22" s="467" t="s">
        <v>90</v>
      </c>
      <c r="B22" s="487" t="s">
        <v>57</v>
      </c>
      <c r="C22" s="487"/>
      <c r="D22" s="492"/>
      <c r="E22" s="492">
        <f>FRI!N31</f>
        <v>1</v>
      </c>
      <c r="F22" s="492"/>
      <c r="G22" s="492"/>
      <c r="H22" s="415">
        <f>FRI!S31</f>
        <v>140</v>
      </c>
      <c r="I22" s="415"/>
      <c r="J22" s="415"/>
      <c r="K22" s="415"/>
      <c r="L22" s="416">
        <f>FRI!N32</f>
        <v>9.5102234902520219E-2</v>
      </c>
      <c r="M22" s="416"/>
      <c r="N22" s="416"/>
      <c r="O22" s="416"/>
      <c r="P22" s="416"/>
      <c r="Q22" s="723">
        <f>SUM(E22:G25)</f>
        <v>17</v>
      </c>
      <c r="R22" s="724"/>
      <c r="S22" s="724"/>
      <c r="T22" s="724"/>
      <c r="U22" s="725"/>
      <c r="V22" s="668">
        <f>SUM(H22,H23,H25)</f>
        <v>2110</v>
      </c>
      <c r="W22" s="669"/>
      <c r="X22" s="669"/>
      <c r="Y22" s="669"/>
      <c r="Z22" s="670"/>
      <c r="AA22" s="690">
        <f>V22/Q22</f>
        <v>124.11764705882354</v>
      </c>
      <c r="AB22" s="691"/>
      <c r="AC22" s="691"/>
      <c r="AD22" s="692"/>
    </row>
    <row r="23" spans="1:30" ht="20.100000000000001" customHeight="1">
      <c r="A23" s="468"/>
      <c r="B23" s="487" t="s">
        <v>58</v>
      </c>
      <c r="C23" s="487"/>
      <c r="D23" s="492"/>
      <c r="E23" s="492">
        <f>FRI!O31</f>
        <v>11</v>
      </c>
      <c r="F23" s="492"/>
      <c r="G23" s="492"/>
      <c r="H23" s="415">
        <f>FRI!S32</f>
        <v>1875</v>
      </c>
      <c r="I23" s="415"/>
      <c r="J23" s="415"/>
      <c r="K23" s="415"/>
      <c r="L23" s="416">
        <f>FRI!O32</f>
        <v>0.73024930371578023</v>
      </c>
      <c r="M23" s="416"/>
      <c r="N23" s="416"/>
      <c r="O23" s="416"/>
      <c r="P23" s="416"/>
      <c r="Q23" s="726"/>
      <c r="R23" s="727"/>
      <c r="S23" s="727"/>
      <c r="T23" s="727"/>
      <c r="U23" s="728"/>
      <c r="V23" s="671"/>
      <c r="W23" s="672"/>
      <c r="X23" s="672"/>
      <c r="Y23" s="672"/>
      <c r="Z23" s="673"/>
      <c r="AA23" s="693"/>
      <c r="AB23" s="694"/>
      <c r="AC23" s="694"/>
      <c r="AD23" s="695"/>
    </row>
    <row r="24" spans="1:30" ht="20.100000000000001" customHeight="1">
      <c r="A24" s="468"/>
      <c r="B24" s="487" t="s">
        <v>45</v>
      </c>
      <c r="C24" s="487"/>
      <c r="D24" s="492"/>
      <c r="E24" s="492">
        <f>FRI!P31</f>
        <v>4</v>
      </c>
      <c r="F24" s="492"/>
      <c r="G24" s="492"/>
      <c r="H24" s="415">
        <f>FRI!K31</f>
        <v>162.1</v>
      </c>
      <c r="I24" s="415"/>
      <c r="J24" s="415"/>
      <c r="K24" s="415"/>
      <c r="L24" s="416">
        <f>FRI!P32</f>
        <v>0.1101148019835609</v>
      </c>
      <c r="M24" s="416"/>
      <c r="N24" s="416"/>
      <c r="O24" s="416"/>
      <c r="P24" s="416"/>
      <c r="Q24" s="726"/>
      <c r="R24" s="727"/>
      <c r="S24" s="727"/>
      <c r="T24" s="727"/>
      <c r="U24" s="728"/>
      <c r="V24" s="671"/>
      <c r="W24" s="672"/>
      <c r="X24" s="672"/>
      <c r="Y24" s="672"/>
      <c r="Z24" s="673"/>
      <c r="AA24" s="693"/>
      <c r="AB24" s="694"/>
      <c r="AC24" s="694"/>
      <c r="AD24" s="695"/>
    </row>
    <row r="25" spans="1:30" ht="20.100000000000001" customHeight="1">
      <c r="A25" s="468"/>
      <c r="B25" s="485" t="s">
        <v>65</v>
      </c>
      <c r="C25" s="486"/>
      <c r="D25" s="487"/>
      <c r="E25" s="485">
        <f>FRI!Q31</f>
        <v>1</v>
      </c>
      <c r="F25" s="486"/>
      <c r="G25" s="487"/>
      <c r="H25" s="717">
        <f>FRI!J31</f>
        <v>95</v>
      </c>
      <c r="I25" s="718"/>
      <c r="J25" s="718"/>
      <c r="K25" s="719"/>
      <c r="L25" s="720">
        <f>FRI!Q32</f>
        <v>6.4533659398138724E-2</v>
      </c>
      <c r="M25" s="721"/>
      <c r="N25" s="721"/>
      <c r="O25" s="721"/>
      <c r="P25" s="722"/>
      <c r="Q25" s="729"/>
      <c r="R25" s="730"/>
      <c r="S25" s="730"/>
      <c r="T25" s="730"/>
      <c r="U25" s="731"/>
      <c r="V25" s="674"/>
      <c r="W25" s="675"/>
      <c r="X25" s="675"/>
      <c r="Y25" s="675"/>
      <c r="Z25" s="676"/>
      <c r="AA25" s="696"/>
      <c r="AB25" s="697"/>
      <c r="AC25" s="697"/>
      <c r="AD25" s="698"/>
    </row>
    <row r="26" spans="1:30" ht="20.100000000000001" customHeight="1">
      <c r="A26" s="469"/>
      <c r="B26" s="485" t="s">
        <v>91</v>
      </c>
      <c r="C26" s="486"/>
      <c r="D26" s="487"/>
      <c r="E26" s="485">
        <f>FRI!U16</f>
        <v>38</v>
      </c>
      <c r="F26" s="486"/>
      <c r="G26" s="487"/>
      <c r="H26" s="717" t="s">
        <v>92</v>
      </c>
      <c r="I26" s="718"/>
      <c r="J26" s="718"/>
      <c r="K26" s="719"/>
      <c r="L26" s="687">
        <f>FRI!T2</f>
        <v>5</v>
      </c>
      <c r="M26" s="688"/>
      <c r="N26" s="688"/>
      <c r="O26" s="688"/>
      <c r="P26" s="689"/>
      <c r="Q26" s="230"/>
      <c r="R26" s="231"/>
      <c r="S26" s="231"/>
      <c r="T26" s="231"/>
      <c r="U26" s="232"/>
      <c r="V26" s="233"/>
      <c r="W26" s="234"/>
      <c r="X26" s="234"/>
      <c r="Y26" s="234"/>
      <c r="Z26" s="235"/>
      <c r="AA26" s="236"/>
      <c r="AB26" s="237"/>
      <c r="AC26" s="237"/>
      <c r="AD26" s="238"/>
    </row>
    <row r="27" spans="1:30" ht="20.100000000000001" customHeight="1">
      <c r="A27" s="470" t="s">
        <v>70</v>
      </c>
      <c r="B27" s="425" t="s">
        <v>57</v>
      </c>
      <c r="C27" s="425"/>
      <c r="D27" s="422"/>
      <c r="E27" s="422">
        <f>SAT!N31</f>
        <v>3</v>
      </c>
      <c r="F27" s="422"/>
      <c r="G27" s="422"/>
      <c r="H27" s="577">
        <f>SAT!S31</f>
        <v>250</v>
      </c>
      <c r="I27" s="577"/>
      <c r="J27" s="577"/>
      <c r="K27" s="577"/>
      <c r="L27" s="421">
        <f>SAT!N32</f>
        <v>0.10949064949853282</v>
      </c>
      <c r="M27" s="421"/>
      <c r="N27" s="421"/>
      <c r="O27" s="421"/>
      <c r="P27" s="421"/>
      <c r="Q27" s="626">
        <f>SUM(E27:G30)</f>
        <v>20</v>
      </c>
      <c r="R27" s="627"/>
      <c r="S27" s="627"/>
      <c r="T27" s="627"/>
      <c r="U27" s="628"/>
      <c r="V27" s="708">
        <f>SUM(H27,H28,H30)</f>
        <v>2650</v>
      </c>
      <c r="W27" s="709"/>
      <c r="X27" s="709"/>
      <c r="Y27" s="709"/>
      <c r="Z27" s="710"/>
      <c r="AA27" s="699">
        <f>V27/Q27</f>
        <v>132.5</v>
      </c>
      <c r="AB27" s="700"/>
      <c r="AC27" s="700"/>
      <c r="AD27" s="701"/>
    </row>
    <row r="28" spans="1:30" ht="20.100000000000001" customHeight="1">
      <c r="A28" s="471"/>
      <c r="B28" s="425" t="s">
        <v>58</v>
      </c>
      <c r="C28" s="425"/>
      <c r="D28" s="422"/>
      <c r="E28" s="422">
        <f>SAT!O31</f>
        <v>16</v>
      </c>
      <c r="F28" s="422"/>
      <c r="G28" s="422"/>
      <c r="H28" s="577">
        <f>SAT!S32</f>
        <v>2400</v>
      </c>
      <c r="I28" s="577"/>
      <c r="J28" s="577"/>
      <c r="K28" s="577"/>
      <c r="L28" s="421">
        <f>SAT!O32</f>
        <v>0.8649761310384092</v>
      </c>
      <c r="M28" s="421"/>
      <c r="N28" s="421"/>
      <c r="O28" s="421"/>
      <c r="P28" s="421"/>
      <c r="Q28" s="629"/>
      <c r="R28" s="630"/>
      <c r="S28" s="630"/>
      <c r="T28" s="630"/>
      <c r="U28" s="631"/>
      <c r="V28" s="711"/>
      <c r="W28" s="712"/>
      <c r="X28" s="712"/>
      <c r="Y28" s="712"/>
      <c r="Z28" s="713"/>
      <c r="AA28" s="702"/>
      <c r="AB28" s="703"/>
      <c r="AC28" s="703"/>
      <c r="AD28" s="704"/>
    </row>
    <row r="29" spans="1:30" ht="20.100000000000001" customHeight="1">
      <c r="A29" s="471"/>
      <c r="B29" s="425" t="s">
        <v>45</v>
      </c>
      <c r="C29" s="425"/>
      <c r="D29" s="422"/>
      <c r="E29" s="422">
        <f>SAT!P31</f>
        <v>1</v>
      </c>
      <c r="F29" s="422"/>
      <c r="G29" s="422"/>
      <c r="H29" s="577">
        <f>SAT!K31</f>
        <v>58.3</v>
      </c>
      <c r="I29" s="577"/>
      <c r="J29" s="577"/>
      <c r="K29" s="577"/>
      <c r="L29" s="421">
        <f>SAT!P32</f>
        <v>2.5533219463057852E-2</v>
      </c>
      <c r="M29" s="421"/>
      <c r="N29" s="421"/>
      <c r="O29" s="421"/>
      <c r="P29" s="421"/>
      <c r="Q29" s="629"/>
      <c r="R29" s="630"/>
      <c r="S29" s="630"/>
      <c r="T29" s="630"/>
      <c r="U29" s="631"/>
      <c r="V29" s="711"/>
      <c r="W29" s="712"/>
      <c r="X29" s="712"/>
      <c r="Y29" s="712"/>
      <c r="Z29" s="713"/>
      <c r="AA29" s="702"/>
      <c r="AB29" s="703"/>
      <c r="AC29" s="703"/>
      <c r="AD29" s="704"/>
    </row>
    <row r="30" spans="1:30" ht="20.100000000000001" customHeight="1">
      <c r="A30" s="471"/>
      <c r="B30" s="423" t="s">
        <v>65</v>
      </c>
      <c r="C30" s="424"/>
      <c r="D30" s="425"/>
      <c r="E30" s="423">
        <f>SAT!Q31</f>
        <v>0</v>
      </c>
      <c r="F30" s="424"/>
      <c r="G30" s="425"/>
      <c r="H30" s="417">
        <f>SAT!J31</f>
        <v>0</v>
      </c>
      <c r="I30" s="418"/>
      <c r="J30" s="418"/>
      <c r="K30" s="419"/>
      <c r="L30" s="635">
        <f>SAT!Q32</f>
        <v>0</v>
      </c>
      <c r="M30" s="636"/>
      <c r="N30" s="636"/>
      <c r="O30" s="636"/>
      <c r="P30" s="637"/>
      <c r="Q30" s="632"/>
      <c r="R30" s="633"/>
      <c r="S30" s="633"/>
      <c r="T30" s="633"/>
      <c r="U30" s="634"/>
      <c r="V30" s="714"/>
      <c r="W30" s="715"/>
      <c r="X30" s="715"/>
      <c r="Y30" s="715"/>
      <c r="Z30" s="716"/>
      <c r="AA30" s="705"/>
      <c r="AB30" s="706"/>
      <c r="AC30" s="706"/>
      <c r="AD30" s="707"/>
    </row>
    <row r="31" spans="1:30" ht="20.100000000000001" customHeight="1">
      <c r="A31" s="472"/>
      <c r="B31" s="423" t="s">
        <v>91</v>
      </c>
      <c r="C31" s="424"/>
      <c r="D31" s="425"/>
      <c r="E31" s="423">
        <f>SAT!U16</f>
        <v>48.000000000000007</v>
      </c>
      <c r="F31" s="424"/>
      <c r="G31" s="425"/>
      <c r="H31" s="417" t="s">
        <v>92</v>
      </c>
      <c r="I31" s="418"/>
      <c r="J31" s="418"/>
      <c r="K31" s="419"/>
      <c r="L31" s="407">
        <f>SAT!T2</f>
        <v>6</v>
      </c>
      <c r="M31" s="408"/>
      <c r="N31" s="408"/>
      <c r="O31" s="408"/>
      <c r="P31" s="409"/>
      <c r="Q31" s="224"/>
      <c r="R31" s="225"/>
      <c r="S31" s="225"/>
      <c r="T31" s="225"/>
      <c r="U31" s="226"/>
      <c r="V31" s="242"/>
      <c r="W31" s="243"/>
      <c r="X31" s="243"/>
      <c r="Y31" s="243"/>
      <c r="Z31" s="244"/>
      <c r="AA31" s="239"/>
      <c r="AB31" s="240"/>
      <c r="AC31" s="240"/>
      <c r="AD31" s="241"/>
    </row>
    <row r="32" spans="1:30" ht="20.100000000000001" customHeight="1">
      <c r="A32" s="473" t="s">
        <v>71</v>
      </c>
      <c r="B32" s="491" t="s">
        <v>57</v>
      </c>
      <c r="C32" s="412"/>
      <c r="D32" s="412"/>
      <c r="E32" s="412">
        <f>SUN!N31</f>
        <v>3</v>
      </c>
      <c r="F32" s="412"/>
      <c r="G32" s="412"/>
      <c r="H32" s="413">
        <f>SUN!S31</f>
        <v>375</v>
      </c>
      <c r="I32" s="413"/>
      <c r="J32" s="413"/>
      <c r="K32" s="413"/>
      <c r="L32" s="414">
        <f>SUN!N32</f>
        <v>0.22670938879148783</v>
      </c>
      <c r="M32" s="414"/>
      <c r="N32" s="414"/>
      <c r="O32" s="414"/>
      <c r="P32" s="414"/>
      <c r="Q32" s="683">
        <f>SUM(E32:G35)</f>
        <v>18</v>
      </c>
      <c r="R32" s="683"/>
      <c r="S32" s="683"/>
      <c r="T32" s="683"/>
      <c r="U32" s="683"/>
      <c r="V32" s="741">
        <f>SUM(H32,H33,H35)</f>
        <v>2050</v>
      </c>
      <c r="W32" s="741"/>
      <c r="X32" s="741"/>
      <c r="Y32" s="741"/>
      <c r="Z32" s="741"/>
      <c r="AA32" s="758">
        <f>V32/Q32</f>
        <v>113.88888888888889</v>
      </c>
      <c r="AB32" s="758"/>
      <c r="AC32" s="758"/>
      <c r="AD32" s="758"/>
    </row>
    <row r="33" spans="1:30" ht="20.100000000000001" customHeight="1">
      <c r="A33" s="474"/>
      <c r="B33" s="491" t="s">
        <v>58</v>
      </c>
      <c r="C33" s="412"/>
      <c r="D33" s="412"/>
      <c r="E33" s="412">
        <f>SUN!O31</f>
        <v>13</v>
      </c>
      <c r="F33" s="412"/>
      <c r="G33" s="412"/>
      <c r="H33" s="413">
        <f>SUN!S32</f>
        <v>1625</v>
      </c>
      <c r="I33" s="413"/>
      <c r="J33" s="413"/>
      <c r="K33" s="413"/>
      <c r="L33" s="414">
        <f>SUN!O32</f>
        <v>0.69524212562722931</v>
      </c>
      <c r="M33" s="414"/>
      <c r="N33" s="414"/>
      <c r="O33" s="414"/>
      <c r="P33" s="414"/>
      <c r="Q33" s="683"/>
      <c r="R33" s="683"/>
      <c r="S33" s="683"/>
      <c r="T33" s="683"/>
      <c r="U33" s="683"/>
      <c r="V33" s="741"/>
      <c r="W33" s="741"/>
      <c r="X33" s="741"/>
      <c r="Y33" s="741"/>
      <c r="Z33" s="741"/>
      <c r="AA33" s="758"/>
      <c r="AB33" s="758"/>
      <c r="AC33" s="758"/>
      <c r="AD33" s="758"/>
    </row>
    <row r="34" spans="1:30" ht="20.100000000000001" customHeight="1">
      <c r="A34" s="474"/>
      <c r="B34" s="491" t="s">
        <v>45</v>
      </c>
      <c r="C34" s="412"/>
      <c r="D34" s="412"/>
      <c r="E34" s="412">
        <f>SUN!P31</f>
        <v>1</v>
      </c>
      <c r="F34" s="412"/>
      <c r="G34" s="412"/>
      <c r="H34" s="413">
        <f>SUN!K31</f>
        <v>79.099999999999994</v>
      </c>
      <c r="I34" s="413"/>
      <c r="J34" s="413"/>
      <c r="K34" s="413"/>
      <c r="L34" s="414">
        <f>SUN!P32</f>
        <v>4.7820567075751164E-2</v>
      </c>
      <c r="M34" s="414"/>
      <c r="N34" s="414"/>
      <c r="O34" s="414"/>
      <c r="P34" s="414"/>
      <c r="Q34" s="683"/>
      <c r="R34" s="683"/>
      <c r="S34" s="683"/>
      <c r="T34" s="683"/>
      <c r="U34" s="683"/>
      <c r="V34" s="741"/>
      <c r="W34" s="741"/>
      <c r="X34" s="741"/>
      <c r="Y34" s="741"/>
      <c r="Z34" s="741"/>
      <c r="AA34" s="758"/>
      <c r="AB34" s="758"/>
      <c r="AC34" s="758"/>
      <c r="AD34" s="758"/>
    </row>
    <row r="35" spans="1:30" ht="20.100000000000001" customHeight="1">
      <c r="A35" s="474"/>
      <c r="B35" s="491" t="s">
        <v>65</v>
      </c>
      <c r="C35" s="412"/>
      <c r="D35" s="412"/>
      <c r="E35" s="412">
        <f>SUN!Q31</f>
        <v>1</v>
      </c>
      <c r="F35" s="412"/>
      <c r="G35" s="412"/>
      <c r="H35" s="413">
        <f>SUN!J31</f>
        <v>50</v>
      </c>
      <c r="I35" s="413"/>
      <c r="J35" s="413"/>
      <c r="K35" s="413"/>
      <c r="L35" s="414">
        <f>SUN!Q32</f>
        <v>3.022791850553171E-2</v>
      </c>
      <c r="M35" s="414"/>
      <c r="N35" s="414"/>
      <c r="O35" s="414"/>
      <c r="P35" s="414"/>
      <c r="Q35" s="683"/>
      <c r="R35" s="683"/>
      <c r="S35" s="683"/>
      <c r="T35" s="683"/>
      <c r="U35" s="683"/>
      <c r="V35" s="741"/>
      <c r="W35" s="741"/>
      <c r="X35" s="741"/>
      <c r="Y35" s="741"/>
      <c r="Z35" s="741"/>
      <c r="AA35" s="758"/>
      <c r="AB35" s="758"/>
      <c r="AC35" s="758"/>
      <c r="AD35" s="758"/>
    </row>
    <row r="36" spans="1:30" ht="20.100000000000001" customHeight="1" thickBot="1">
      <c r="A36" s="475"/>
      <c r="B36" s="488" t="s">
        <v>91</v>
      </c>
      <c r="C36" s="489"/>
      <c r="D36" s="490"/>
      <c r="E36" s="488">
        <f>SUN!U16</f>
        <v>41.500000000000007</v>
      </c>
      <c r="F36" s="489"/>
      <c r="G36" s="490"/>
      <c r="H36" s="488" t="s">
        <v>92</v>
      </c>
      <c r="I36" s="489"/>
      <c r="J36" s="489"/>
      <c r="K36" s="490"/>
      <c r="L36" s="755">
        <f>SUN!T2</f>
        <v>5</v>
      </c>
      <c r="M36" s="756"/>
      <c r="N36" s="756"/>
      <c r="O36" s="756"/>
      <c r="P36" s="757"/>
      <c r="Q36" s="680"/>
      <c r="R36" s="681"/>
      <c r="S36" s="681"/>
      <c r="T36" s="681"/>
      <c r="U36" s="682"/>
      <c r="V36" s="744"/>
      <c r="W36" s="745"/>
      <c r="X36" s="745"/>
      <c r="Y36" s="745"/>
      <c r="Z36" s="746"/>
      <c r="AA36" s="747"/>
      <c r="AB36" s="748"/>
      <c r="AC36" s="748"/>
      <c r="AD36" s="749"/>
    </row>
    <row r="37" spans="1:30" ht="16.5" customHeight="1">
      <c r="A37" s="732" t="s">
        <v>72</v>
      </c>
      <c r="B37" s="733"/>
      <c r="C37" s="733"/>
      <c r="D37" s="733"/>
      <c r="E37" s="733" t="s">
        <v>73</v>
      </c>
      <c r="F37" s="733"/>
      <c r="G37" s="733"/>
      <c r="H37" s="733"/>
      <c r="I37" s="733"/>
      <c r="J37" s="733"/>
      <c r="K37" s="733" t="s">
        <v>74</v>
      </c>
      <c r="L37" s="733"/>
      <c r="M37" s="733"/>
      <c r="N37" s="733"/>
      <c r="O37" s="733" t="s">
        <v>65</v>
      </c>
      <c r="P37" s="733"/>
      <c r="Q37" s="733"/>
      <c r="R37" s="733"/>
      <c r="S37" s="733"/>
      <c r="T37" s="733" t="s">
        <v>75</v>
      </c>
      <c r="U37" s="733"/>
      <c r="V37" s="733"/>
      <c r="W37" s="733"/>
      <c r="X37" s="733"/>
      <c r="Y37" s="733" t="s">
        <v>76</v>
      </c>
      <c r="Z37" s="733"/>
      <c r="AA37" s="733"/>
      <c r="AB37" s="733"/>
      <c r="AC37" s="733"/>
      <c r="AD37" s="742"/>
    </row>
    <row r="38" spans="1:30" ht="16.5" customHeight="1">
      <c r="A38" s="734"/>
      <c r="B38" s="735"/>
      <c r="C38" s="735"/>
      <c r="D38" s="735"/>
      <c r="E38" s="735"/>
      <c r="F38" s="735"/>
      <c r="G38" s="735"/>
      <c r="H38" s="735"/>
      <c r="I38" s="735"/>
      <c r="J38" s="735"/>
      <c r="K38" s="735"/>
      <c r="L38" s="735"/>
      <c r="M38" s="735"/>
      <c r="N38" s="735"/>
      <c r="O38" s="735"/>
      <c r="P38" s="735"/>
      <c r="Q38" s="735"/>
      <c r="R38" s="735"/>
      <c r="S38" s="735"/>
      <c r="T38" s="735"/>
      <c r="U38" s="735"/>
      <c r="V38" s="735"/>
      <c r="W38" s="735"/>
      <c r="X38" s="735"/>
      <c r="Y38" s="735"/>
      <c r="Z38" s="735"/>
      <c r="AA38" s="735"/>
      <c r="AB38" s="735"/>
      <c r="AC38" s="735"/>
      <c r="AD38" s="743"/>
    </row>
    <row r="39" spans="1:30" ht="16.5" customHeight="1">
      <c r="A39" s="736">
        <f>SUM(Q2:U35)</f>
        <v>86</v>
      </c>
      <c r="B39" s="737"/>
      <c r="C39" s="737"/>
      <c r="D39" s="737"/>
      <c r="E39" s="740">
        <f>SUM(V2:Z35)</f>
        <v>9645</v>
      </c>
      <c r="F39" s="737"/>
      <c r="G39" s="737"/>
      <c r="H39" s="737"/>
      <c r="I39" s="737"/>
      <c r="J39" s="737"/>
      <c r="K39" s="740">
        <f>E39/A39</f>
        <v>112.15116279069767</v>
      </c>
      <c r="L39" s="737"/>
      <c r="M39" s="737"/>
      <c r="N39" s="737"/>
      <c r="O39" s="737">
        <f>SUM(MON:SUN!Q31)</f>
        <v>5</v>
      </c>
      <c r="P39" s="737"/>
      <c r="Q39" s="737"/>
      <c r="R39" s="737"/>
      <c r="S39" s="737"/>
      <c r="T39" s="737">
        <f>SUM(MON:SUN!P31)</f>
        <v>10</v>
      </c>
      <c r="U39" s="737"/>
      <c r="V39" s="737"/>
      <c r="W39" s="737"/>
      <c r="X39" s="737"/>
      <c r="Y39" s="737">
        <f>SUM(MON:SUN!S19)</f>
        <v>5</v>
      </c>
      <c r="Z39" s="737"/>
      <c r="AA39" s="737"/>
      <c r="AB39" s="737"/>
      <c r="AC39" s="737"/>
      <c r="AD39" s="752"/>
    </row>
    <row r="40" spans="1:30" ht="16.5" customHeight="1">
      <c r="A40" s="736"/>
      <c r="B40" s="737"/>
      <c r="C40" s="737"/>
      <c r="D40" s="737"/>
      <c r="E40" s="737"/>
      <c r="F40" s="737"/>
      <c r="G40" s="737"/>
      <c r="H40" s="737"/>
      <c r="I40" s="737"/>
      <c r="J40" s="737"/>
      <c r="K40" s="737"/>
      <c r="L40" s="737"/>
      <c r="M40" s="737"/>
      <c r="N40" s="737"/>
      <c r="O40" s="737"/>
      <c r="P40" s="737"/>
      <c r="Q40" s="737"/>
      <c r="R40" s="737"/>
      <c r="S40" s="737"/>
      <c r="T40" s="737"/>
      <c r="U40" s="737"/>
      <c r="V40" s="737"/>
      <c r="W40" s="737"/>
      <c r="X40" s="737"/>
      <c r="Y40" s="737"/>
      <c r="Z40" s="737"/>
      <c r="AA40" s="737"/>
      <c r="AB40" s="737"/>
      <c r="AC40" s="737"/>
      <c r="AD40" s="752"/>
    </row>
    <row r="41" spans="1:30" ht="16.5" customHeight="1">
      <c r="A41" s="736"/>
      <c r="B41" s="737"/>
      <c r="C41" s="737"/>
      <c r="D41" s="737"/>
      <c r="E41" s="737"/>
      <c r="F41" s="737"/>
      <c r="G41" s="737"/>
      <c r="H41" s="737"/>
      <c r="I41" s="737"/>
      <c r="J41" s="737"/>
      <c r="K41" s="737"/>
      <c r="L41" s="737"/>
      <c r="M41" s="737"/>
      <c r="N41" s="737"/>
      <c r="O41" s="750">
        <f>SUM(MON:SUN!J31)</f>
        <v>395</v>
      </c>
      <c r="P41" s="750"/>
      <c r="Q41" s="750"/>
      <c r="R41" s="750"/>
      <c r="S41" s="750"/>
      <c r="T41" s="750">
        <f>SUM(MON:SUN!K31)</f>
        <v>532.69999999999993</v>
      </c>
      <c r="U41" s="750"/>
      <c r="V41" s="750"/>
      <c r="W41" s="750"/>
      <c r="X41" s="750"/>
      <c r="Y41" s="750">
        <f>SUM(MON:SUN!T19)</f>
        <v>2175</v>
      </c>
      <c r="Z41" s="750"/>
      <c r="AA41" s="750"/>
      <c r="AB41" s="750"/>
      <c r="AC41" s="750"/>
      <c r="AD41" s="753"/>
    </row>
    <row r="42" spans="1:30" ht="16.5" customHeight="1" thickBot="1">
      <c r="A42" s="738"/>
      <c r="B42" s="739"/>
      <c r="C42" s="739"/>
      <c r="D42" s="739"/>
      <c r="E42" s="739"/>
      <c r="F42" s="739"/>
      <c r="G42" s="739"/>
      <c r="H42" s="739"/>
      <c r="I42" s="739"/>
      <c r="J42" s="739"/>
      <c r="K42" s="739"/>
      <c r="L42" s="739"/>
      <c r="M42" s="739"/>
      <c r="N42" s="739"/>
      <c r="O42" s="751"/>
      <c r="P42" s="751"/>
      <c r="Q42" s="751"/>
      <c r="R42" s="751"/>
      <c r="S42" s="751"/>
      <c r="T42" s="751"/>
      <c r="U42" s="751"/>
      <c r="V42" s="751"/>
      <c r="W42" s="751"/>
      <c r="X42" s="751"/>
      <c r="Y42" s="751"/>
      <c r="Z42" s="751"/>
      <c r="AA42" s="751"/>
      <c r="AB42" s="751"/>
      <c r="AC42" s="751"/>
      <c r="AD42" s="754"/>
    </row>
    <row r="43" spans="1:30" ht="17.399999999999999" customHeight="1">
      <c r="A43" s="511" t="s">
        <v>84</v>
      </c>
      <c r="B43" s="512"/>
      <c r="C43" s="512"/>
      <c r="D43" s="512"/>
      <c r="E43" s="513"/>
      <c r="F43" s="511" t="s">
        <v>85</v>
      </c>
      <c r="G43" s="512"/>
      <c r="H43" s="512"/>
      <c r="I43" s="512"/>
      <c r="J43" s="513"/>
      <c r="K43" s="511" t="s">
        <v>86</v>
      </c>
      <c r="L43" s="512"/>
      <c r="M43" s="512"/>
      <c r="N43" s="512"/>
      <c r="O43" s="513"/>
      <c r="P43" s="511" t="s">
        <v>87</v>
      </c>
      <c r="Q43" s="512"/>
      <c r="R43" s="512"/>
      <c r="S43" s="512"/>
      <c r="T43" s="513"/>
      <c r="U43" s="511" t="s">
        <v>89</v>
      </c>
      <c r="V43" s="512"/>
      <c r="W43" s="512"/>
      <c r="X43" s="512"/>
      <c r="Y43" s="513"/>
      <c r="Z43" s="517" t="s">
        <v>92</v>
      </c>
      <c r="AA43" s="518"/>
      <c r="AB43" s="518"/>
      <c r="AC43" s="518"/>
      <c r="AD43" s="519"/>
    </row>
    <row r="44" spans="1:30" ht="17.399999999999999" customHeight="1">
      <c r="A44" s="514"/>
      <c r="B44" s="515"/>
      <c r="C44" s="515"/>
      <c r="D44" s="515"/>
      <c r="E44" s="516"/>
      <c r="F44" s="514"/>
      <c r="G44" s="515"/>
      <c r="H44" s="515"/>
      <c r="I44" s="515"/>
      <c r="J44" s="516"/>
      <c r="K44" s="514"/>
      <c r="L44" s="515"/>
      <c r="M44" s="515"/>
      <c r="N44" s="515"/>
      <c r="O44" s="516"/>
      <c r="P44" s="514"/>
      <c r="Q44" s="515"/>
      <c r="R44" s="515"/>
      <c r="S44" s="515"/>
      <c r="T44" s="516"/>
      <c r="U44" s="514"/>
      <c r="V44" s="515"/>
      <c r="W44" s="515"/>
      <c r="X44" s="515"/>
      <c r="Y44" s="516"/>
      <c r="Z44" s="520"/>
      <c r="AA44" s="521"/>
      <c r="AB44" s="521"/>
      <c r="AC44" s="521"/>
      <c r="AD44" s="522"/>
    </row>
    <row r="45" spans="1:30">
      <c r="A45" s="523">
        <f>SUM(H2,H7,H12,H17,H22,H27,H32)</f>
        <v>1005</v>
      </c>
      <c r="B45" s="524"/>
      <c r="C45" s="524"/>
      <c r="D45" s="524"/>
      <c r="E45" s="525"/>
      <c r="F45" s="523">
        <f>SUM(,H3,H8,H13,H18,H23,H28,H33)</f>
        <v>8245</v>
      </c>
      <c r="G45" s="524"/>
      <c r="H45" s="524"/>
      <c r="I45" s="524"/>
      <c r="J45" s="525"/>
      <c r="K45" s="523">
        <f>SUM(H5,H10,H15,H20,H25,H30,H35)</f>
        <v>395</v>
      </c>
      <c r="L45" s="524"/>
      <c r="M45" s="524"/>
      <c r="N45" s="524"/>
      <c r="O45" s="525"/>
      <c r="P45" s="523">
        <f>SUM(H4,H9,H14,H19,H24,H29,H34)</f>
        <v>532.69999999999993</v>
      </c>
      <c r="Q45" s="524"/>
      <c r="R45" s="524"/>
      <c r="S45" s="524"/>
      <c r="T45" s="525"/>
      <c r="U45" s="532">
        <f>SUM(E6,E11,E16,E21,E26,E31,E36)</f>
        <v>251.5</v>
      </c>
      <c r="V45" s="524"/>
      <c r="W45" s="524"/>
      <c r="X45" s="524"/>
      <c r="Y45" s="525"/>
      <c r="Z45" s="532">
        <f>SUM(L6,L11,L16,L21,L26,L31,L36)</f>
        <v>34</v>
      </c>
      <c r="AA45" s="524"/>
      <c r="AB45" s="524"/>
      <c r="AC45" s="524"/>
      <c r="AD45" s="533"/>
    </row>
    <row r="46" spans="1:30">
      <c r="A46" s="526"/>
      <c r="B46" s="527"/>
      <c r="C46" s="527"/>
      <c r="D46" s="527"/>
      <c r="E46" s="528"/>
      <c r="F46" s="526"/>
      <c r="G46" s="527"/>
      <c r="H46" s="527"/>
      <c r="I46" s="527"/>
      <c r="J46" s="528"/>
      <c r="K46" s="526"/>
      <c r="L46" s="527"/>
      <c r="M46" s="527"/>
      <c r="N46" s="527"/>
      <c r="O46" s="528"/>
      <c r="P46" s="526"/>
      <c r="Q46" s="527"/>
      <c r="R46" s="527"/>
      <c r="S46" s="527"/>
      <c r="T46" s="528"/>
      <c r="U46" s="526"/>
      <c r="V46" s="527"/>
      <c r="W46" s="527"/>
      <c r="X46" s="527"/>
      <c r="Y46" s="528"/>
      <c r="Z46" s="526"/>
      <c r="AA46" s="527"/>
      <c r="AB46" s="527"/>
      <c r="AC46" s="527"/>
      <c r="AD46" s="534"/>
    </row>
    <row r="47" spans="1:30">
      <c r="A47" s="526"/>
      <c r="B47" s="527"/>
      <c r="C47" s="527"/>
      <c r="D47" s="527"/>
      <c r="E47" s="528"/>
      <c r="F47" s="526"/>
      <c r="G47" s="527"/>
      <c r="H47" s="527"/>
      <c r="I47" s="527"/>
      <c r="J47" s="528"/>
      <c r="K47" s="526"/>
      <c r="L47" s="527"/>
      <c r="M47" s="527"/>
      <c r="N47" s="527"/>
      <c r="O47" s="528"/>
      <c r="P47" s="526"/>
      <c r="Q47" s="527"/>
      <c r="R47" s="527"/>
      <c r="S47" s="527"/>
      <c r="T47" s="528"/>
      <c r="U47" s="526"/>
      <c r="V47" s="527"/>
      <c r="W47" s="527"/>
      <c r="X47" s="527"/>
      <c r="Y47" s="528"/>
      <c r="Z47" s="526"/>
      <c r="AA47" s="527"/>
      <c r="AB47" s="527"/>
      <c r="AC47" s="527"/>
      <c r="AD47" s="534"/>
    </row>
    <row r="48" spans="1:30" ht="18" thickBot="1">
      <c r="A48" s="529"/>
      <c r="B48" s="530"/>
      <c r="C48" s="530"/>
      <c r="D48" s="530"/>
      <c r="E48" s="531"/>
      <c r="F48" s="529"/>
      <c r="G48" s="530"/>
      <c r="H48" s="530"/>
      <c r="I48" s="530"/>
      <c r="J48" s="531"/>
      <c r="K48" s="529"/>
      <c r="L48" s="530"/>
      <c r="M48" s="530"/>
      <c r="N48" s="530"/>
      <c r="O48" s="531"/>
      <c r="P48" s="529"/>
      <c r="Q48" s="530"/>
      <c r="R48" s="530"/>
      <c r="S48" s="530"/>
      <c r="T48" s="531"/>
      <c r="U48" s="529"/>
      <c r="V48" s="530"/>
      <c r="W48" s="530"/>
      <c r="X48" s="530"/>
      <c r="Y48" s="531"/>
      <c r="Z48" s="529"/>
      <c r="AA48" s="530"/>
      <c r="AB48" s="530"/>
      <c r="AC48" s="530"/>
      <c r="AD48" s="535"/>
    </row>
    <row r="49" spans="1:30" ht="17.399999999999999" customHeight="1">
      <c r="A49" s="493">
        <f>A45/E39</f>
        <v>0.104199066874028</v>
      </c>
      <c r="B49" s="494"/>
      <c r="C49" s="494"/>
      <c r="D49" s="494"/>
      <c r="E49" s="495"/>
      <c r="F49" s="493">
        <f>F45/E39</f>
        <v>0.85484707102125457</v>
      </c>
      <c r="G49" s="494"/>
      <c r="H49" s="494"/>
      <c r="I49" s="494"/>
      <c r="J49" s="495"/>
      <c r="K49" s="493">
        <f>K45/E39</f>
        <v>4.0953862104717471E-2</v>
      </c>
      <c r="L49" s="494"/>
      <c r="M49" s="494"/>
      <c r="N49" s="494"/>
      <c r="O49" s="495"/>
      <c r="P49" s="493">
        <f>P45/E39</f>
        <v>5.5230689476412645E-2</v>
      </c>
      <c r="Q49" s="494"/>
      <c r="R49" s="494"/>
      <c r="S49" s="494"/>
      <c r="T49" s="495"/>
      <c r="U49" s="502">
        <f>U45/7</f>
        <v>35.928571428571431</v>
      </c>
      <c r="V49" s="503"/>
      <c r="W49" s="503"/>
      <c r="X49" s="503"/>
      <c r="Y49" s="504"/>
      <c r="Z49" s="502">
        <f>U45/Z45</f>
        <v>7.3970588235294121</v>
      </c>
      <c r="AA49" s="503"/>
      <c r="AB49" s="503"/>
      <c r="AC49" s="503"/>
      <c r="AD49" s="504"/>
    </row>
    <row r="50" spans="1:30" ht="17.399999999999999" customHeight="1">
      <c r="A50" s="496"/>
      <c r="B50" s="497"/>
      <c r="C50" s="497"/>
      <c r="D50" s="497"/>
      <c r="E50" s="498"/>
      <c r="F50" s="496"/>
      <c r="G50" s="497"/>
      <c r="H50" s="497"/>
      <c r="I50" s="497"/>
      <c r="J50" s="498"/>
      <c r="K50" s="496"/>
      <c r="L50" s="497"/>
      <c r="M50" s="497"/>
      <c r="N50" s="497"/>
      <c r="O50" s="498"/>
      <c r="P50" s="496"/>
      <c r="Q50" s="497"/>
      <c r="R50" s="497"/>
      <c r="S50" s="497"/>
      <c r="T50" s="498"/>
      <c r="U50" s="505"/>
      <c r="V50" s="506"/>
      <c r="W50" s="506"/>
      <c r="X50" s="506"/>
      <c r="Y50" s="507"/>
      <c r="Z50" s="505"/>
      <c r="AA50" s="506"/>
      <c r="AB50" s="506"/>
      <c r="AC50" s="506"/>
      <c r="AD50" s="507"/>
    </row>
    <row r="51" spans="1:30" ht="17.399999999999999" customHeight="1">
      <c r="A51" s="496"/>
      <c r="B51" s="497"/>
      <c r="C51" s="497"/>
      <c r="D51" s="497"/>
      <c r="E51" s="498"/>
      <c r="F51" s="496"/>
      <c r="G51" s="497"/>
      <c r="H51" s="497"/>
      <c r="I51" s="497"/>
      <c r="J51" s="498"/>
      <c r="K51" s="496"/>
      <c r="L51" s="497"/>
      <c r="M51" s="497"/>
      <c r="N51" s="497"/>
      <c r="O51" s="498"/>
      <c r="P51" s="496"/>
      <c r="Q51" s="497"/>
      <c r="R51" s="497"/>
      <c r="S51" s="497"/>
      <c r="T51" s="498"/>
      <c r="U51" s="505"/>
      <c r="V51" s="506"/>
      <c r="W51" s="506"/>
      <c r="X51" s="506"/>
      <c r="Y51" s="507"/>
      <c r="Z51" s="505"/>
      <c r="AA51" s="506"/>
      <c r="AB51" s="506"/>
      <c r="AC51" s="506"/>
      <c r="AD51" s="507"/>
    </row>
    <row r="52" spans="1:30" ht="18" customHeight="1" thickBot="1">
      <c r="A52" s="499"/>
      <c r="B52" s="500"/>
      <c r="C52" s="500"/>
      <c r="D52" s="500"/>
      <c r="E52" s="501"/>
      <c r="F52" s="499"/>
      <c r="G52" s="500"/>
      <c r="H52" s="500"/>
      <c r="I52" s="500"/>
      <c r="J52" s="501"/>
      <c r="K52" s="499"/>
      <c r="L52" s="500"/>
      <c r="M52" s="500"/>
      <c r="N52" s="500"/>
      <c r="O52" s="501"/>
      <c r="P52" s="499"/>
      <c r="Q52" s="500"/>
      <c r="R52" s="500"/>
      <c r="S52" s="500"/>
      <c r="T52" s="501"/>
      <c r="U52" s="508"/>
      <c r="V52" s="509"/>
      <c r="W52" s="509"/>
      <c r="X52" s="509"/>
      <c r="Y52" s="510"/>
      <c r="Z52" s="508"/>
      <c r="AA52" s="509"/>
      <c r="AB52" s="509"/>
      <c r="AC52" s="509"/>
      <c r="AD52" s="510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FB2D47C9-DA0C-427F-A10C-8C819DCAEE59}"/>
</file>

<file path=customXml/itemProps2.xml><?xml version="1.0" encoding="utf-8"?>
<ds:datastoreItem xmlns:ds="http://schemas.openxmlformats.org/officeDocument/2006/customXml" ds:itemID="{E28A1684-7501-469B-9AE5-2D656F7AC897}"/>
</file>

<file path=customXml/itemProps3.xml><?xml version="1.0" encoding="utf-8"?>
<ds:datastoreItem xmlns:ds="http://schemas.openxmlformats.org/officeDocument/2006/customXml" ds:itemID="{F4CCED4C-0903-4AA6-BC48-A6346B9DDC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 Care</cp:lastModifiedBy>
  <cp:lastPrinted>2022-01-23T23:37:31Z</cp:lastPrinted>
  <dcterms:created xsi:type="dcterms:W3CDTF">2011-11-24T03:16:40Z</dcterms:created>
  <dcterms:modified xsi:type="dcterms:W3CDTF">2022-02-11T06:45:20Z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