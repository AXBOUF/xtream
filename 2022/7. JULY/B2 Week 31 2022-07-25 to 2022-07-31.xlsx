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homes\B2\2022\"/>
    </mc:Choice>
  </mc:AlternateContent>
  <xr:revisionPtr revIDLastSave="0" documentId="13_ncr:1_{107BA584-B9CA-4553-A47C-EFDBA0C39030}" xr6:coauthVersionLast="47" xr6:coauthVersionMax="47" xr10:uidLastSave="{00000000-0000-0000-0000-000000000000}"/>
  <bookViews>
    <workbookView xWindow="-240" yWindow="600" windowWidth="14964" windowHeight="12360" activeTab="5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8" l="1"/>
  <c r="V22" i="8" s="1"/>
  <c r="V17" i="8"/>
  <c r="S31" i="7"/>
  <c r="M94" i="2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A66" i="2"/>
  <c r="M62" i="2"/>
  <c r="L62" i="2"/>
  <c r="I62" i="2"/>
  <c r="H62" i="2"/>
  <c r="K61" i="2"/>
  <c r="K62" i="2" s="1"/>
  <c r="J61" i="2"/>
  <c r="J62" i="2" s="1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J66" i="2" s="1"/>
  <c r="A34" i="2"/>
  <c r="H32" i="2"/>
  <c r="Z31" i="2"/>
  <c r="Q31" i="2"/>
  <c r="P31" i="2"/>
  <c r="O31" i="2"/>
  <c r="N31" i="2"/>
  <c r="M31" i="2"/>
  <c r="L31" i="2"/>
  <c r="M30" i="2"/>
  <c r="L30" i="2"/>
  <c r="I30" i="2"/>
  <c r="I31" i="2" s="1"/>
  <c r="S32" i="2" s="1"/>
  <c r="H33" i="8" s="1"/>
  <c r="H30" i="2"/>
  <c r="H31" i="2" s="1"/>
  <c r="K29" i="2"/>
  <c r="J29" i="2"/>
  <c r="K28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K21" i="2"/>
  <c r="J21" i="2"/>
  <c r="K20" i="2"/>
  <c r="J20" i="2"/>
  <c r="T19" i="2"/>
  <c r="S19" i="2"/>
  <c r="J19" i="2"/>
  <c r="K18" i="2"/>
  <c r="J18" i="2"/>
  <c r="K17" i="2"/>
  <c r="J17" i="2"/>
  <c r="K16" i="2"/>
  <c r="J16" i="2"/>
  <c r="U15" i="2"/>
  <c r="J15" i="2"/>
  <c r="U14" i="2"/>
  <c r="K14" i="2"/>
  <c r="J14" i="2"/>
  <c r="U13" i="2"/>
  <c r="K13" i="2"/>
  <c r="J13" i="2"/>
  <c r="U12" i="2"/>
  <c r="K12" i="2"/>
  <c r="J12" i="2"/>
  <c r="U11" i="2"/>
  <c r="J11" i="2"/>
  <c r="U10" i="2"/>
  <c r="K10" i="2"/>
  <c r="J10" i="2"/>
  <c r="U9" i="2"/>
  <c r="J9" i="2"/>
  <c r="U8" i="2"/>
  <c r="K8" i="2"/>
  <c r="J8" i="2"/>
  <c r="U7" i="2"/>
  <c r="K7" i="2"/>
  <c r="J7" i="2"/>
  <c r="U6" i="2"/>
  <c r="K6" i="2"/>
  <c r="J6" i="2"/>
  <c r="U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J66" i="1"/>
  <c r="M62" i="1"/>
  <c r="L62" i="1"/>
  <c r="I62" i="1"/>
  <c r="H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A34" i="1"/>
  <c r="A66" i="1" s="1"/>
  <c r="H32" i="1"/>
  <c r="Z31" i="1"/>
  <c r="Q31" i="1"/>
  <c r="P31" i="1"/>
  <c r="O31" i="1"/>
  <c r="N31" i="1"/>
  <c r="M31" i="1"/>
  <c r="L31" i="1"/>
  <c r="M30" i="1"/>
  <c r="L30" i="1"/>
  <c r="I30" i="1"/>
  <c r="H30" i="1"/>
  <c r="K29" i="1"/>
  <c r="J29" i="1"/>
  <c r="K28" i="1"/>
  <c r="J28" i="1"/>
  <c r="K27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K21" i="1"/>
  <c r="J21" i="1"/>
  <c r="K20" i="1"/>
  <c r="J20" i="1"/>
  <c r="T19" i="1"/>
  <c r="S19" i="1"/>
  <c r="K19" i="1"/>
  <c r="J19" i="1"/>
  <c r="K18" i="1"/>
  <c r="J18" i="1"/>
  <c r="K17" i="1"/>
  <c r="J17" i="1"/>
  <c r="K16" i="1"/>
  <c r="J16" i="1"/>
  <c r="U15" i="1"/>
  <c r="K15" i="1"/>
  <c r="J15" i="1"/>
  <c r="U14" i="1"/>
  <c r="K14" i="1"/>
  <c r="J14" i="1"/>
  <c r="U13" i="1"/>
  <c r="K13" i="1"/>
  <c r="J13" i="1"/>
  <c r="U12" i="1"/>
  <c r="K12" i="1"/>
  <c r="J12" i="1"/>
  <c r="U11" i="1"/>
  <c r="K11" i="1"/>
  <c r="J11" i="1"/>
  <c r="U10" i="1"/>
  <c r="K10" i="1"/>
  <c r="J10" i="1"/>
  <c r="U9" i="1"/>
  <c r="K9" i="1"/>
  <c r="J9" i="1"/>
  <c r="U8" i="1"/>
  <c r="K8" i="1"/>
  <c r="J8" i="1"/>
  <c r="U7" i="1"/>
  <c r="K7" i="1"/>
  <c r="J7" i="1"/>
  <c r="U6" i="1"/>
  <c r="K6" i="1"/>
  <c r="J6" i="1"/>
  <c r="U5" i="1"/>
  <c r="K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J66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A34" i="3"/>
  <c r="A66" i="3" s="1"/>
  <c r="H32" i="3"/>
  <c r="Z31" i="3"/>
  <c r="Q31" i="3"/>
  <c r="P31" i="3"/>
  <c r="O31" i="3"/>
  <c r="N31" i="3"/>
  <c r="M31" i="3"/>
  <c r="L31" i="3"/>
  <c r="I31" i="3"/>
  <c r="S32" i="3" s="1"/>
  <c r="M30" i="3"/>
  <c r="L30" i="3"/>
  <c r="I30" i="3"/>
  <c r="H30" i="3"/>
  <c r="H31" i="3" s="1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K17" i="3"/>
  <c r="J17" i="3"/>
  <c r="K16" i="3"/>
  <c r="U15" i="3"/>
  <c r="K15" i="3"/>
  <c r="J15" i="3"/>
  <c r="U14" i="3"/>
  <c r="K14" i="3"/>
  <c r="J14" i="3"/>
  <c r="U13" i="3"/>
  <c r="K13" i="3"/>
  <c r="J13" i="3"/>
  <c r="U12" i="3"/>
  <c r="K12" i="3"/>
  <c r="J12" i="3"/>
  <c r="U11" i="3"/>
  <c r="K11" i="3"/>
  <c r="J11" i="3"/>
  <c r="U10" i="3"/>
  <c r="J10" i="3"/>
  <c r="U9" i="3"/>
  <c r="J9" i="3"/>
  <c r="U8" i="3"/>
  <c r="J8" i="3"/>
  <c r="U7" i="3"/>
  <c r="K7" i="3"/>
  <c r="J7" i="3"/>
  <c r="U6" i="3"/>
  <c r="K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J66" i="4"/>
  <c r="M62" i="4"/>
  <c r="L62" i="4"/>
  <c r="I62" i="4"/>
  <c r="H62" i="4"/>
  <c r="K61" i="4"/>
  <c r="J61" i="4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A34" i="4"/>
  <c r="A66" i="4" s="1"/>
  <c r="H32" i="4"/>
  <c r="Z31" i="4"/>
  <c r="Q31" i="4"/>
  <c r="P31" i="4"/>
  <c r="O31" i="4"/>
  <c r="N31" i="4"/>
  <c r="M31" i="4"/>
  <c r="L31" i="4"/>
  <c r="M30" i="4"/>
  <c r="L30" i="4"/>
  <c r="I30" i="4"/>
  <c r="I31" i="4" s="1"/>
  <c r="H30" i="4"/>
  <c r="H31" i="4" s="1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J25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J21" i="4"/>
  <c r="K20" i="4"/>
  <c r="J20" i="4"/>
  <c r="T19" i="4"/>
  <c r="S19" i="4"/>
  <c r="K19" i="4"/>
  <c r="J19" i="4"/>
  <c r="K18" i="4"/>
  <c r="J18" i="4"/>
  <c r="K17" i="4"/>
  <c r="J17" i="4"/>
  <c r="J16" i="4"/>
  <c r="U15" i="4"/>
  <c r="K15" i="4"/>
  <c r="J15" i="4"/>
  <c r="U14" i="4"/>
  <c r="K14" i="4"/>
  <c r="J14" i="4"/>
  <c r="U13" i="4"/>
  <c r="J13" i="4"/>
  <c r="U12" i="4"/>
  <c r="K12" i="4"/>
  <c r="J12" i="4"/>
  <c r="U11" i="4"/>
  <c r="K11" i="4"/>
  <c r="J11" i="4"/>
  <c r="U10" i="4"/>
  <c r="K10" i="4"/>
  <c r="J10" i="4"/>
  <c r="U9" i="4"/>
  <c r="K9" i="4"/>
  <c r="J9" i="4"/>
  <c r="U8" i="4"/>
  <c r="K8" i="4"/>
  <c r="J8" i="4"/>
  <c r="U7" i="4"/>
  <c r="J7" i="4"/>
  <c r="U6" i="4"/>
  <c r="K6" i="4"/>
  <c r="J6" i="4"/>
  <c r="U5" i="4"/>
  <c r="K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J66" i="5" s="1"/>
  <c r="A34" i="5"/>
  <c r="A66" i="5" s="1"/>
  <c r="H32" i="5"/>
  <c r="Z31" i="5"/>
  <c r="Q31" i="5"/>
  <c r="P31" i="5"/>
  <c r="O31" i="5"/>
  <c r="N31" i="5"/>
  <c r="M31" i="5"/>
  <c r="L31" i="5"/>
  <c r="M30" i="5"/>
  <c r="L30" i="5"/>
  <c r="I30" i="5"/>
  <c r="I31" i="5" s="1"/>
  <c r="S32" i="5" s="1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J18" i="5"/>
  <c r="K17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K12" i="5"/>
  <c r="J12" i="5"/>
  <c r="U11" i="5"/>
  <c r="J11" i="5"/>
  <c r="U10" i="5"/>
  <c r="K10" i="5"/>
  <c r="J10" i="5"/>
  <c r="U9" i="5"/>
  <c r="K9" i="5"/>
  <c r="J9" i="5"/>
  <c r="U8" i="5"/>
  <c r="K8" i="5"/>
  <c r="J8" i="5"/>
  <c r="U7" i="5"/>
  <c r="K7" i="5"/>
  <c r="J7" i="5"/>
  <c r="U6" i="5"/>
  <c r="K6" i="5"/>
  <c r="J6" i="5"/>
  <c r="U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M31" i="6"/>
  <c r="L31" i="6"/>
  <c r="I31" i="6"/>
  <c r="S32" i="6" s="1"/>
  <c r="H8" i="8" s="1"/>
  <c r="M30" i="6"/>
  <c r="L30" i="6"/>
  <c r="I30" i="6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K16" i="6"/>
  <c r="J16" i="6"/>
  <c r="U15" i="6"/>
  <c r="K15" i="6"/>
  <c r="J15" i="6"/>
  <c r="U14" i="6"/>
  <c r="K14" i="6"/>
  <c r="J14" i="6"/>
  <c r="U13" i="6"/>
  <c r="K13" i="6"/>
  <c r="J13" i="6"/>
  <c r="U12" i="6"/>
  <c r="K12" i="6"/>
  <c r="J12" i="6"/>
  <c r="U11" i="6"/>
  <c r="K11" i="6"/>
  <c r="J11" i="6"/>
  <c r="U10" i="6"/>
  <c r="K10" i="6"/>
  <c r="J10" i="6"/>
  <c r="U9" i="6"/>
  <c r="K9" i="6"/>
  <c r="J9" i="6"/>
  <c r="U8" i="6"/>
  <c r="K8" i="6"/>
  <c r="J8" i="6"/>
  <c r="U7" i="6"/>
  <c r="K7" i="6"/>
  <c r="J7" i="6"/>
  <c r="U6" i="6"/>
  <c r="K6" i="6"/>
  <c r="J6" i="6"/>
  <c r="U5" i="6"/>
  <c r="K5" i="6"/>
  <c r="J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2" i="7"/>
  <c r="J11" i="7"/>
  <c r="J10" i="7"/>
  <c r="J9" i="7"/>
  <c r="J8" i="7"/>
  <c r="J7" i="7"/>
  <c r="J6" i="7"/>
  <c r="J5" i="7"/>
  <c r="T19" i="7"/>
  <c r="S19" i="7"/>
  <c r="K24" i="7"/>
  <c r="J30" i="2" l="1"/>
  <c r="J31" i="2" s="1"/>
  <c r="H35" i="8" s="1"/>
  <c r="K30" i="2"/>
  <c r="K31" i="2" s="1"/>
  <c r="U16" i="2"/>
  <c r="S16" i="2" s="1"/>
  <c r="I31" i="1"/>
  <c r="S32" i="1" s="1"/>
  <c r="H28" i="8" s="1"/>
  <c r="H31" i="1"/>
  <c r="S31" i="1" s="1"/>
  <c r="H27" i="8" s="1"/>
  <c r="K62" i="1"/>
  <c r="J62" i="1"/>
  <c r="J30" i="1"/>
  <c r="K30" i="1"/>
  <c r="U16" i="1"/>
  <c r="R16" i="1" s="1"/>
  <c r="K30" i="3"/>
  <c r="K31" i="3" s="1"/>
  <c r="J30" i="3"/>
  <c r="J31" i="3" s="1"/>
  <c r="U16" i="3"/>
  <c r="S16" i="3" s="1"/>
  <c r="J62" i="4"/>
  <c r="K62" i="4"/>
  <c r="U16" i="4"/>
  <c r="R16" i="4" s="1"/>
  <c r="J30" i="4"/>
  <c r="S32" i="4"/>
  <c r="H18" i="8" s="1"/>
  <c r="K30" i="4"/>
  <c r="K31" i="4" s="1"/>
  <c r="K30" i="5"/>
  <c r="K31" i="5" s="1"/>
  <c r="J30" i="5"/>
  <c r="J31" i="5" s="1"/>
  <c r="U16" i="5"/>
  <c r="S16" i="5" s="1"/>
  <c r="K30" i="6"/>
  <c r="K31" i="6" s="1"/>
  <c r="J30" i="6"/>
  <c r="J31" i="6" s="1"/>
  <c r="U16" i="6"/>
  <c r="E11" i="8" s="1"/>
  <c r="AD25" i="2"/>
  <c r="AI25" i="2"/>
  <c r="Z32" i="2"/>
  <c r="Z33" i="2" s="1"/>
  <c r="S31" i="2"/>
  <c r="H32" i="8" s="1"/>
  <c r="T31" i="2"/>
  <c r="AD25" i="1"/>
  <c r="AI25" i="1"/>
  <c r="AD25" i="3"/>
  <c r="AI25" i="3"/>
  <c r="Z32" i="3"/>
  <c r="Z33" i="3" s="1"/>
  <c r="S31" i="3"/>
  <c r="T31" i="3"/>
  <c r="AD25" i="4"/>
  <c r="AI25" i="4"/>
  <c r="Z32" i="4"/>
  <c r="Z33" i="4" s="1"/>
  <c r="S31" i="4"/>
  <c r="Y39" i="8"/>
  <c r="T31" i="4"/>
  <c r="AI25" i="5"/>
  <c r="AD25" i="5"/>
  <c r="Z33" i="5"/>
  <c r="S31" i="5"/>
  <c r="H12" i="8" s="1"/>
  <c r="Z32" i="5"/>
  <c r="T31" i="5"/>
  <c r="AD25" i="6"/>
  <c r="AI25" i="6"/>
  <c r="S31" i="6"/>
  <c r="H7" i="8" s="1"/>
  <c r="Z32" i="6"/>
  <c r="Z33" i="6" s="1"/>
  <c r="T31" i="6"/>
  <c r="H22" i="8"/>
  <c r="H13" i="8"/>
  <c r="H17" i="8"/>
  <c r="L36" i="8"/>
  <c r="L31" i="8"/>
  <c r="L26" i="8"/>
  <c r="L21" i="8"/>
  <c r="L16" i="8"/>
  <c r="L11" i="8"/>
  <c r="L6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L31" i="7"/>
  <c r="M30" i="7"/>
  <c r="L30" i="7"/>
  <c r="I30" i="7"/>
  <c r="I31" i="7" s="1"/>
  <c r="S32" i="7" s="1"/>
  <c r="H3" i="8" s="1"/>
  <c r="H30" i="7"/>
  <c r="H31" i="7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1" i="7"/>
  <c r="K20" i="7"/>
  <c r="K19" i="7"/>
  <c r="K18" i="7"/>
  <c r="K17" i="7"/>
  <c r="U15" i="7"/>
  <c r="K15" i="7"/>
  <c r="U14" i="7"/>
  <c r="K14" i="7"/>
  <c r="U13" i="7"/>
  <c r="K13" i="7"/>
  <c r="U12" i="7"/>
  <c r="U11" i="7"/>
  <c r="K11" i="7"/>
  <c r="U10" i="7"/>
  <c r="K10" i="7"/>
  <c r="U9" i="7"/>
  <c r="K9" i="7"/>
  <c r="U8" i="7"/>
  <c r="K8" i="7"/>
  <c r="U7" i="7"/>
  <c r="U6" i="7"/>
  <c r="K6" i="7"/>
  <c r="U5" i="7"/>
  <c r="J30" i="7"/>
  <c r="A34" i="7"/>
  <c r="A66" i="7" s="1"/>
  <c r="E34" i="8"/>
  <c r="E33" i="8"/>
  <c r="E32" i="8"/>
  <c r="E24" i="8"/>
  <c r="E23" i="8"/>
  <c r="E22" i="8"/>
  <c r="E9" i="8"/>
  <c r="E8" i="8"/>
  <c r="E7" i="8"/>
  <c r="C32" i="2" l="1"/>
  <c r="O32" i="2" s="1"/>
  <c r="L33" i="8" s="1"/>
  <c r="H34" i="8"/>
  <c r="V32" i="8"/>
  <c r="E36" i="8"/>
  <c r="R16" i="2"/>
  <c r="Z32" i="1"/>
  <c r="Z33" i="1" s="1"/>
  <c r="J31" i="1"/>
  <c r="T31" i="1"/>
  <c r="K31" i="1"/>
  <c r="C32" i="1" s="1"/>
  <c r="P32" i="1" s="1"/>
  <c r="E31" i="8"/>
  <c r="S16" i="1"/>
  <c r="C32" i="3"/>
  <c r="O32" i="3" s="1"/>
  <c r="R16" i="3"/>
  <c r="E26" i="8"/>
  <c r="J31" i="4"/>
  <c r="S16" i="4"/>
  <c r="C32" i="4"/>
  <c r="T16" i="4" s="1"/>
  <c r="C32" i="5"/>
  <c r="P32" i="5" s="1"/>
  <c r="R16" i="5"/>
  <c r="R16" i="6"/>
  <c r="S16" i="6"/>
  <c r="H2" i="8"/>
  <c r="C32" i="6"/>
  <c r="P32" i="6" s="1"/>
  <c r="Q32" i="6"/>
  <c r="L10" i="8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Q32" i="2" l="1"/>
  <c r="L35" i="8" s="1"/>
  <c r="K32" i="2"/>
  <c r="T16" i="2"/>
  <c r="P32" i="2"/>
  <c r="L34" i="8" s="1"/>
  <c r="N32" i="2"/>
  <c r="L32" i="8" s="1"/>
  <c r="U25" i="2"/>
  <c r="K32" i="1"/>
  <c r="Q32" i="1"/>
  <c r="U25" i="1"/>
  <c r="N32" i="1"/>
  <c r="T16" i="1"/>
  <c r="O32" i="1"/>
  <c r="P32" i="3"/>
  <c r="L24" i="8" s="1"/>
  <c r="K32" i="3"/>
  <c r="N32" i="3"/>
  <c r="L22" i="8" s="1"/>
  <c r="T16" i="3"/>
  <c r="Q32" i="3"/>
  <c r="U25" i="3"/>
  <c r="N32" i="4"/>
  <c r="K32" i="4"/>
  <c r="O32" i="4"/>
  <c r="U25" i="4"/>
  <c r="P32" i="4"/>
  <c r="Q32" i="4"/>
  <c r="O32" i="5"/>
  <c r="N32" i="5"/>
  <c r="T16" i="5"/>
  <c r="K32" i="5"/>
  <c r="Q32" i="5"/>
  <c r="U25" i="5"/>
  <c r="U25" i="6"/>
  <c r="K32" i="6"/>
  <c r="T16" i="6"/>
  <c r="O32" i="6"/>
  <c r="L8" i="8" s="1"/>
  <c r="N32" i="6"/>
  <c r="L7" i="8" s="1"/>
  <c r="H19" i="8"/>
  <c r="H20" i="8"/>
  <c r="U45" i="8"/>
  <c r="Z49" i="8" s="1"/>
  <c r="R16" i="7"/>
  <c r="S16" i="7"/>
  <c r="J31" i="7"/>
  <c r="O41" i="8" s="1"/>
  <c r="K31" i="7"/>
  <c r="T41" i="8" s="1"/>
  <c r="L23" i="8"/>
  <c r="H25" i="8"/>
  <c r="L25" i="8"/>
  <c r="H24" i="8"/>
  <c r="H14" i="8"/>
  <c r="H9" i="8"/>
  <c r="L9" i="8"/>
  <c r="E30" i="8"/>
  <c r="E29" i="8"/>
  <c r="E28" i="8"/>
  <c r="E27" i="8"/>
  <c r="U49" i="8" l="1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<sst xmlns="http://schemas.openxmlformats.org/spreadsheetml/2006/main" count="1781" uniqueCount="428">
  <si>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</si>
  <si>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</si>
  <si>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</si>
  <si>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</si>
  <si>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</si>
  <si>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</si>
  <si>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</si>
  <si>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</si>
  <si>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</si>
  <si>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</si>
  <si>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</si>
  <si>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</si>
  <si>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</si>
  <si>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</si>
  <si>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</si>
  <si>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</si>
  <si>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</si>
  <si>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</si>
  <si>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3" type="noConversion"/>
  </si>
  <si>
    <t>RMKS</t>
    <phoneticPr fontId="3" type="noConversion"/>
  </si>
  <si>
    <t>CARD</t>
    <phoneticPr fontId="3" type="noConversion"/>
  </si>
  <si>
    <t>Docket No</t>
    <phoneticPr fontId="3" type="noConversion"/>
  </si>
  <si>
    <t>CASH</t>
    <phoneticPr fontId="3" type="noConversion"/>
  </si>
  <si>
    <t>ITEM</t>
    <phoneticPr fontId="3" type="noConversion"/>
  </si>
  <si>
    <t>Daily Report</t>
    <phoneticPr fontId="3" type="noConversion"/>
  </si>
  <si>
    <t>TIME</t>
    <phoneticPr fontId="3" type="noConversion"/>
  </si>
  <si>
    <t>NAME</t>
    <phoneticPr fontId="3" type="noConversion"/>
  </si>
  <si>
    <t>B2 card</t>
    <phoneticPr fontId="3" type="noConversion"/>
  </si>
  <si>
    <t>Subtotal</t>
    <phoneticPr fontId="3" type="noConversion"/>
  </si>
  <si>
    <t>Settlement</t>
    <phoneticPr fontId="3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</si>
  <si>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</si>
  <si>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</si>
  <si>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</si>
  <si>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</si>
  <si>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</si>
  <si>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</si>
  <si>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</si>
  <si>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</si>
  <si>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</si>
  <si>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</si>
  <si>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</si>
  <si>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3" type="noConversion"/>
  </si>
  <si>
    <t>EXCL RSL</t>
    <phoneticPr fontId="3" type="noConversion"/>
  </si>
  <si>
    <t>NOV</t>
    <phoneticPr fontId="3" type="noConversion"/>
  </si>
  <si>
    <t>RSL</t>
    <phoneticPr fontId="3" type="noConversion"/>
  </si>
  <si>
    <t>GV</t>
    <phoneticPr fontId="3" type="noConversion"/>
  </si>
  <si>
    <t>GV CARD</t>
    <phoneticPr fontId="3" type="noConversion"/>
  </si>
  <si>
    <t>GV CASH</t>
    <phoneticPr fontId="3" type="noConversion"/>
  </si>
  <si>
    <t>Page total</t>
    <phoneticPr fontId="3" type="noConversion"/>
  </si>
  <si>
    <t>WEATHER</t>
    <phoneticPr fontId="3" type="noConversion"/>
  </si>
  <si>
    <t>REPORT by</t>
    <phoneticPr fontId="3" type="noConversion"/>
  </si>
  <si>
    <t>TOTAL STAFF</t>
    <phoneticPr fontId="3" type="noConversion"/>
  </si>
  <si>
    <t>Page: 3</t>
    <phoneticPr fontId="3" type="noConversion"/>
  </si>
  <si>
    <t>No of Cars</t>
    <phoneticPr fontId="3" type="noConversion"/>
  </si>
  <si>
    <t>Average</t>
    <phoneticPr fontId="3" type="noConversion"/>
  </si>
  <si>
    <t>TOTAL SALES</t>
    <phoneticPr fontId="3" type="noConversion"/>
  </si>
  <si>
    <t>Expense</t>
    <phoneticPr fontId="3" type="noConversion"/>
  </si>
  <si>
    <t>Cash</t>
    <phoneticPr fontId="3" type="noConversion"/>
  </si>
  <si>
    <t>Card</t>
    <phoneticPr fontId="3" type="noConversion"/>
  </si>
  <si>
    <t>CARS</t>
    <phoneticPr fontId="3" type="noConversion"/>
  </si>
  <si>
    <t>AMOUNT</t>
    <phoneticPr fontId="3" type="noConversion"/>
  </si>
  <si>
    <t>PERCENTAGE</t>
    <phoneticPr fontId="3" type="noConversion"/>
  </si>
  <si>
    <t>TOTAL CARS</t>
    <phoneticPr fontId="3" type="noConversion"/>
  </si>
  <si>
    <t>TOTAL AMOUNT</t>
    <phoneticPr fontId="3" type="noConversion"/>
  </si>
  <si>
    <t>AVERAGE</t>
    <phoneticPr fontId="3" type="noConversion"/>
  </si>
  <si>
    <t>RSL</t>
    <phoneticPr fontId="3" type="noConversion"/>
  </si>
  <si>
    <t>MON</t>
    <phoneticPr fontId="3" type="noConversion"/>
  </si>
  <si>
    <t>TUE</t>
    <phoneticPr fontId="3" type="noConversion"/>
  </si>
  <si>
    <t>WED</t>
    <phoneticPr fontId="3" type="noConversion"/>
  </si>
  <si>
    <t>THU</t>
    <phoneticPr fontId="3" type="noConversion"/>
  </si>
  <si>
    <t>SAT</t>
    <phoneticPr fontId="3" type="noConversion"/>
  </si>
  <si>
    <t>SUN</t>
    <phoneticPr fontId="3" type="noConversion"/>
  </si>
  <si>
    <t>TOTAL CARS</t>
  </si>
  <si>
    <t>TOTAL SALES</t>
    <phoneticPr fontId="3" type="noConversion"/>
  </si>
  <si>
    <t>AVERAGE</t>
    <phoneticPr fontId="3" type="noConversion"/>
  </si>
  <si>
    <t>GV</t>
    <phoneticPr fontId="3" type="noConversion"/>
  </si>
  <si>
    <t>GV SOLD</t>
    <phoneticPr fontId="3" type="noConversion"/>
  </si>
  <si>
    <t>B2 Daily Report</t>
    <phoneticPr fontId="3" type="noConversion"/>
  </si>
  <si>
    <t>SMALL</t>
    <phoneticPr fontId="3" type="noConversion"/>
  </si>
  <si>
    <t>MEDIUM</t>
    <phoneticPr fontId="3" type="noConversion"/>
  </si>
  <si>
    <t>LARGE</t>
    <phoneticPr fontId="3" type="noConversion"/>
  </si>
  <si>
    <t>TOTAL</t>
    <phoneticPr fontId="3" type="noConversion"/>
  </si>
  <si>
    <t>CARD CLOSING</t>
    <phoneticPr fontId="3" type="noConversion"/>
  </si>
  <si>
    <t>CASH CLOSING</t>
    <phoneticPr fontId="3" type="noConversion"/>
  </si>
  <si>
    <t>TOTAL CASH</t>
    <phoneticPr fontId="3" type="noConversion"/>
  </si>
  <si>
    <t>TOTAL CARD</t>
    <phoneticPr fontId="3" type="noConversion"/>
  </si>
  <si>
    <t>TOTAL RSL</t>
    <phoneticPr fontId="3" type="noConversion"/>
  </si>
  <si>
    <t>TOTAL GV</t>
    <phoneticPr fontId="3" type="noConversion"/>
  </si>
  <si>
    <t>Mobile</t>
    <phoneticPr fontId="3" type="noConversion"/>
  </si>
  <si>
    <t>Gender</t>
    <phoneticPr fontId="3" type="noConversion"/>
  </si>
  <si>
    <t>STAFF HRS</t>
    <phoneticPr fontId="3" type="noConversion"/>
  </si>
  <si>
    <t>M</t>
    <phoneticPr fontId="3" type="noConversion"/>
  </si>
  <si>
    <t>F</t>
    <phoneticPr fontId="3" type="noConversion"/>
  </si>
  <si>
    <t>FR I</t>
    <phoneticPr fontId="3" type="noConversion"/>
  </si>
  <si>
    <t xml:space="preserve">hrs </t>
    <phoneticPr fontId="3" type="noConversion"/>
  </si>
  <si>
    <t>no. staff</t>
    <phoneticPr fontId="3" type="noConversion"/>
  </si>
  <si>
    <t>REPORT BY</t>
    <phoneticPr fontId="3" type="noConversion"/>
  </si>
  <si>
    <t>25 - 7 - 2022</t>
    <phoneticPr fontId="3" type="noConversion"/>
  </si>
  <si>
    <t>SUNNY</t>
    <phoneticPr fontId="3" type="noConversion"/>
  </si>
  <si>
    <t>JOHN</t>
    <phoneticPr fontId="3" type="noConversion"/>
  </si>
  <si>
    <t>HENDRA</t>
    <phoneticPr fontId="3" type="noConversion"/>
  </si>
  <si>
    <t>JUNIOR</t>
    <phoneticPr fontId="3" type="noConversion"/>
  </si>
  <si>
    <t>ARIANTO</t>
    <phoneticPr fontId="3" type="noConversion"/>
  </si>
  <si>
    <t>KUROSH</t>
    <phoneticPr fontId="3" type="noConversion"/>
  </si>
  <si>
    <t>CALAN</t>
    <phoneticPr fontId="3" type="noConversion"/>
  </si>
  <si>
    <t>VV2888</t>
    <phoneticPr fontId="3" type="noConversion"/>
  </si>
  <si>
    <t>0408844728</t>
    <phoneticPr fontId="3" type="noConversion"/>
  </si>
  <si>
    <t>F</t>
  </si>
  <si>
    <t>PCL</t>
    <phoneticPr fontId="3" type="noConversion"/>
  </si>
  <si>
    <t>2112067(6/6),22058(NEW).</t>
    <phoneticPr fontId="3" type="noConversion"/>
  </si>
  <si>
    <t>DWH45D</t>
    <phoneticPr fontId="3" type="noConversion"/>
  </si>
  <si>
    <t>0431334432</t>
    <phoneticPr fontId="3" type="noConversion"/>
  </si>
  <si>
    <t>X/ID</t>
    <phoneticPr fontId="3" type="noConversion"/>
  </si>
  <si>
    <t>LAW74A</t>
    <phoneticPr fontId="3" type="noConversion"/>
  </si>
  <si>
    <t>0404876856</t>
    <phoneticPr fontId="3" type="noConversion"/>
  </si>
  <si>
    <t>OE</t>
    <phoneticPr fontId="3" type="noConversion"/>
  </si>
  <si>
    <t>0414615862</t>
    <phoneticPr fontId="3" type="noConversion"/>
  </si>
  <si>
    <t>X</t>
    <phoneticPr fontId="3" type="noConversion"/>
  </si>
  <si>
    <t>21122821(3/6)</t>
    <phoneticPr fontId="3" type="noConversion"/>
  </si>
  <si>
    <t>SASKIA</t>
    <phoneticPr fontId="3" type="noConversion"/>
  </si>
  <si>
    <t>0409776311</t>
    <phoneticPr fontId="3" type="noConversion"/>
  </si>
  <si>
    <t>H</t>
    <phoneticPr fontId="3" type="noConversion"/>
  </si>
  <si>
    <t>202205048(D)</t>
    <phoneticPr fontId="3" type="noConversion"/>
  </si>
  <si>
    <t>BLE07C</t>
    <phoneticPr fontId="3" type="noConversion"/>
  </si>
  <si>
    <t>ECF17T</t>
    <phoneticPr fontId="3" type="noConversion"/>
  </si>
  <si>
    <t>0448190818</t>
    <phoneticPr fontId="3" type="noConversion"/>
  </si>
  <si>
    <t>X/ST</t>
    <phoneticPr fontId="3" type="noConversion"/>
  </si>
  <si>
    <t>EQJ49T</t>
    <phoneticPr fontId="3" type="noConversion"/>
  </si>
  <si>
    <t>0449051688</t>
    <phoneticPr fontId="3" type="noConversion"/>
  </si>
  <si>
    <t>22029(2/6)</t>
    <phoneticPr fontId="3" type="noConversion"/>
  </si>
  <si>
    <t>CKC333</t>
    <phoneticPr fontId="3" type="noConversion"/>
  </si>
  <si>
    <t>0411889693</t>
    <phoneticPr fontId="3" type="noConversion"/>
  </si>
  <si>
    <t>202207028-29(D)</t>
    <phoneticPr fontId="3" type="noConversion"/>
  </si>
  <si>
    <t>EEA02Z</t>
    <phoneticPr fontId="3" type="noConversion"/>
  </si>
  <si>
    <t>0417203903</t>
    <phoneticPr fontId="3" type="noConversion"/>
  </si>
  <si>
    <t>EBW63U</t>
    <phoneticPr fontId="3" type="noConversion"/>
  </si>
  <si>
    <t>0438354090</t>
    <phoneticPr fontId="3" type="noConversion"/>
  </si>
  <si>
    <t>D</t>
    <phoneticPr fontId="3" type="noConversion"/>
  </si>
  <si>
    <t>CYO22E</t>
    <phoneticPr fontId="3" type="noConversion"/>
  </si>
  <si>
    <t>0401055890</t>
    <phoneticPr fontId="3" type="noConversion"/>
  </si>
  <si>
    <t>D/ID</t>
    <phoneticPr fontId="3" type="noConversion"/>
  </si>
  <si>
    <t>EKO68R</t>
    <phoneticPr fontId="3" type="noConversion"/>
  </si>
  <si>
    <t>0330312281</t>
    <phoneticPr fontId="3" type="noConversion"/>
  </si>
  <si>
    <t>22027(2/6)</t>
    <phoneticPr fontId="3" type="noConversion"/>
  </si>
  <si>
    <t>CNN53U</t>
    <phoneticPr fontId="3" type="noConversion"/>
  </si>
  <si>
    <t>182046(6/6)</t>
    <phoneticPr fontId="3" type="noConversion"/>
  </si>
  <si>
    <t>AMG788</t>
    <phoneticPr fontId="3" type="noConversion"/>
  </si>
  <si>
    <t>0497888788</t>
    <phoneticPr fontId="3" type="noConversion"/>
  </si>
  <si>
    <t>TAX</t>
    <phoneticPr fontId="3" type="noConversion"/>
  </si>
  <si>
    <t>26 - 7 - 2022</t>
    <phoneticPr fontId="3" type="noConversion"/>
  </si>
  <si>
    <t>SHOWER</t>
    <phoneticPr fontId="3" type="noConversion"/>
  </si>
  <si>
    <t>SUVASH</t>
    <phoneticPr fontId="3" type="noConversion"/>
  </si>
  <si>
    <t>ERX62Y</t>
    <phoneticPr fontId="3" type="noConversion"/>
  </si>
  <si>
    <t>0431128666</t>
    <phoneticPr fontId="3" type="noConversion"/>
  </si>
  <si>
    <t>LM587</t>
    <phoneticPr fontId="3" type="noConversion"/>
  </si>
  <si>
    <t>0412416024</t>
    <phoneticPr fontId="3" type="noConversion"/>
  </si>
  <si>
    <t>BXC81W</t>
    <phoneticPr fontId="3" type="noConversion"/>
  </si>
  <si>
    <t>0407015117</t>
    <phoneticPr fontId="3" type="noConversion"/>
  </si>
  <si>
    <t>BZZ71M</t>
    <phoneticPr fontId="3" type="noConversion"/>
  </si>
  <si>
    <t>0408602088</t>
    <phoneticPr fontId="3" type="noConversion"/>
  </si>
  <si>
    <t>D/ST</t>
    <phoneticPr fontId="3" type="noConversion"/>
  </si>
  <si>
    <t>CXY11Y</t>
    <phoneticPr fontId="3" type="noConversion"/>
  </si>
  <si>
    <t>0412411002</t>
    <phoneticPr fontId="3" type="noConversion"/>
  </si>
  <si>
    <t>DXN78G</t>
    <phoneticPr fontId="3" type="noConversion"/>
  </si>
  <si>
    <t>0412688684</t>
    <phoneticPr fontId="3" type="noConversion"/>
  </si>
  <si>
    <t>DKV84K</t>
    <phoneticPr fontId="3" type="noConversion"/>
  </si>
  <si>
    <t>0411852441</t>
    <phoneticPr fontId="3" type="noConversion"/>
  </si>
  <si>
    <t>CDS89H</t>
    <phoneticPr fontId="3" type="noConversion"/>
  </si>
  <si>
    <t>0447514956</t>
    <phoneticPr fontId="3" type="noConversion"/>
  </si>
  <si>
    <t>27-07-2022</t>
    <phoneticPr fontId="3" type="noConversion"/>
  </si>
  <si>
    <t>DHS111</t>
    <phoneticPr fontId="3" type="noConversion"/>
  </si>
  <si>
    <t>0412255630</t>
    <phoneticPr fontId="3" type="noConversion"/>
  </si>
  <si>
    <t>M</t>
  </si>
  <si>
    <t>22035(2/6)</t>
    <phoneticPr fontId="3" type="noConversion"/>
  </si>
  <si>
    <t>DAJ33N</t>
    <phoneticPr fontId="3" type="noConversion"/>
  </si>
  <si>
    <t>0450070773</t>
    <phoneticPr fontId="3" type="noConversion"/>
  </si>
  <si>
    <t>DSB59R</t>
    <phoneticPr fontId="3" type="noConversion"/>
  </si>
  <si>
    <t>0421284405</t>
    <phoneticPr fontId="3" type="noConversion"/>
  </si>
  <si>
    <t>DAU89T</t>
    <phoneticPr fontId="3" type="noConversion"/>
  </si>
  <si>
    <t>EAR24Q</t>
    <phoneticPr fontId="3" type="noConversion"/>
  </si>
  <si>
    <t>0405721655</t>
    <phoneticPr fontId="3" type="noConversion"/>
  </si>
  <si>
    <t>NBR31B</t>
    <phoneticPr fontId="3" type="noConversion"/>
  </si>
  <si>
    <t>0411566188</t>
    <phoneticPr fontId="3" type="noConversion"/>
  </si>
  <si>
    <t>0419038882</t>
    <phoneticPr fontId="3" type="noConversion"/>
  </si>
  <si>
    <t>DGE18N</t>
    <phoneticPr fontId="3" type="noConversion"/>
  </si>
  <si>
    <t>0409836667</t>
    <phoneticPr fontId="3" type="noConversion"/>
  </si>
  <si>
    <t>22039(2/6)</t>
    <phoneticPr fontId="3" type="noConversion"/>
  </si>
  <si>
    <t>CLC64K</t>
    <phoneticPr fontId="3" type="noConversion"/>
  </si>
  <si>
    <t>0466207761</t>
    <phoneticPr fontId="3" type="noConversion"/>
  </si>
  <si>
    <t>CWP60M</t>
    <phoneticPr fontId="3" type="noConversion"/>
  </si>
  <si>
    <t>0400230754</t>
    <phoneticPr fontId="3" type="noConversion"/>
  </si>
  <si>
    <t>EMY53P</t>
    <phoneticPr fontId="3" type="noConversion"/>
  </si>
  <si>
    <t>0411189430</t>
    <phoneticPr fontId="3" type="noConversion"/>
  </si>
  <si>
    <t>YIE30D</t>
    <phoneticPr fontId="3" type="noConversion"/>
  </si>
  <si>
    <t>0434406026</t>
    <phoneticPr fontId="3" type="noConversion"/>
  </si>
  <si>
    <t>BMY57V</t>
    <phoneticPr fontId="3" type="noConversion"/>
  </si>
  <si>
    <t>0431828017</t>
    <phoneticPr fontId="3" type="noConversion"/>
  </si>
  <si>
    <t>OJE001</t>
    <phoneticPr fontId="3" type="noConversion"/>
  </si>
  <si>
    <t>0424384598</t>
    <phoneticPr fontId="3" type="noConversion"/>
  </si>
  <si>
    <t>220002(3/6)</t>
    <phoneticPr fontId="3" type="noConversion"/>
  </si>
  <si>
    <t>CWU97N</t>
    <phoneticPr fontId="3" type="noConversion"/>
  </si>
  <si>
    <t>0438490062</t>
    <phoneticPr fontId="3" type="noConversion"/>
  </si>
  <si>
    <t>ERS87Q</t>
    <phoneticPr fontId="3" type="noConversion"/>
  </si>
  <si>
    <t>0433437477</t>
    <phoneticPr fontId="3" type="noConversion"/>
  </si>
  <si>
    <t>F/D</t>
    <phoneticPr fontId="3" type="noConversion"/>
  </si>
  <si>
    <t>S/D</t>
    <phoneticPr fontId="3" type="noConversion"/>
  </si>
  <si>
    <t>DMW12V</t>
    <phoneticPr fontId="3" type="noConversion"/>
  </si>
  <si>
    <t>0414429177</t>
    <phoneticPr fontId="3" type="noConversion"/>
  </si>
  <si>
    <t>28-07-2022</t>
    <phoneticPr fontId="3" type="noConversion"/>
  </si>
  <si>
    <t>sunny</t>
    <phoneticPr fontId="3" type="noConversion"/>
  </si>
  <si>
    <t>NBV68W</t>
    <phoneticPr fontId="3" type="noConversion"/>
  </si>
  <si>
    <t>202205018,202206030(D)</t>
    <phoneticPr fontId="3" type="noConversion"/>
  </si>
  <si>
    <t>Y7KB60A</t>
    <phoneticPr fontId="3" type="noConversion"/>
  </si>
  <si>
    <t>202205028(D)</t>
    <phoneticPr fontId="3" type="noConversion"/>
  </si>
  <si>
    <t>EMG85W</t>
    <phoneticPr fontId="3" type="noConversion"/>
  </si>
  <si>
    <t>0448004714</t>
    <phoneticPr fontId="3" type="noConversion"/>
  </si>
  <si>
    <t>22030(2/6)</t>
    <phoneticPr fontId="3" type="noConversion"/>
  </si>
  <si>
    <t>EJV52G</t>
    <phoneticPr fontId="3" type="noConversion"/>
  </si>
  <si>
    <t>0409203967</t>
    <phoneticPr fontId="3" type="noConversion"/>
  </si>
  <si>
    <t>EBR55B</t>
    <phoneticPr fontId="3" type="noConversion"/>
  </si>
  <si>
    <t>0413519587</t>
    <phoneticPr fontId="3" type="noConversion"/>
  </si>
  <si>
    <t>DDD88L</t>
    <phoneticPr fontId="3" type="noConversion"/>
  </si>
  <si>
    <t>0402555552</t>
    <phoneticPr fontId="3" type="noConversion"/>
  </si>
  <si>
    <t>202993(5,6/6),22059(NEW)</t>
    <phoneticPr fontId="3" type="noConversion"/>
  </si>
  <si>
    <t>999BBR</t>
    <phoneticPr fontId="3" type="noConversion"/>
  </si>
  <si>
    <t>DQR27A</t>
    <phoneticPr fontId="3" type="noConversion"/>
  </si>
  <si>
    <t>0419487797</t>
    <phoneticPr fontId="3" type="noConversion"/>
  </si>
  <si>
    <t>JUL</t>
    <phoneticPr fontId="3" type="noConversion"/>
  </si>
  <si>
    <t>0403073338</t>
    <phoneticPr fontId="3" type="noConversion"/>
  </si>
  <si>
    <t>22011(3/6)</t>
    <phoneticPr fontId="3" type="noConversion"/>
  </si>
  <si>
    <t>CGF75S</t>
    <phoneticPr fontId="3" type="noConversion"/>
  </si>
  <si>
    <t>W/O</t>
    <phoneticPr fontId="3" type="noConversion"/>
  </si>
  <si>
    <t>0479077545</t>
    <phoneticPr fontId="3" type="noConversion"/>
  </si>
  <si>
    <t>0434022699</t>
    <phoneticPr fontId="3" type="noConversion"/>
  </si>
  <si>
    <t>PCS</t>
    <phoneticPr fontId="3" type="noConversion"/>
  </si>
  <si>
    <t>22029(3/6)</t>
    <phoneticPr fontId="3" type="noConversion"/>
  </si>
  <si>
    <t>MT8082</t>
    <phoneticPr fontId="3" type="noConversion"/>
  </si>
  <si>
    <t>0416088368</t>
    <phoneticPr fontId="3" type="noConversion"/>
  </si>
  <si>
    <t>DKE51Z</t>
    <phoneticPr fontId="3" type="noConversion"/>
  </si>
  <si>
    <t>0414806620</t>
    <phoneticPr fontId="3" type="noConversion"/>
  </si>
  <si>
    <t>EPZ85F</t>
    <phoneticPr fontId="3" type="noConversion"/>
  </si>
  <si>
    <t>0427993877</t>
    <phoneticPr fontId="3" type="noConversion"/>
  </si>
  <si>
    <t>WSC449</t>
    <phoneticPr fontId="3" type="noConversion"/>
  </si>
  <si>
    <t>0414930777</t>
    <phoneticPr fontId="3" type="noConversion"/>
  </si>
  <si>
    <t>DVP26J</t>
    <phoneticPr fontId="3" type="noConversion"/>
  </si>
  <si>
    <t>0433875580</t>
    <phoneticPr fontId="3" type="noConversion"/>
  </si>
  <si>
    <t>22030(1/6)</t>
    <phoneticPr fontId="3" type="noConversion"/>
  </si>
  <si>
    <t>CZC66M</t>
    <phoneticPr fontId="3" type="noConversion"/>
  </si>
  <si>
    <t>0401599199</t>
    <phoneticPr fontId="3" type="noConversion"/>
  </si>
  <si>
    <t>GBI</t>
    <phoneticPr fontId="3" type="noConversion"/>
  </si>
  <si>
    <t>OKY</t>
    <phoneticPr fontId="3" type="noConversion"/>
  </si>
  <si>
    <t>0481388488</t>
    <phoneticPr fontId="3" type="noConversion"/>
  </si>
  <si>
    <t>22025(3/6)</t>
    <phoneticPr fontId="3" type="noConversion"/>
  </si>
  <si>
    <t>EQY84C</t>
    <phoneticPr fontId="3" type="noConversion"/>
  </si>
  <si>
    <t>0466922153</t>
    <phoneticPr fontId="3" type="noConversion"/>
  </si>
  <si>
    <t>22024(3/6)</t>
    <phoneticPr fontId="3" type="noConversion"/>
  </si>
  <si>
    <t>EOL27E</t>
    <phoneticPr fontId="3" type="noConversion"/>
  </si>
  <si>
    <t>DKS32G</t>
    <phoneticPr fontId="3" type="noConversion"/>
  </si>
  <si>
    <t>0413723556</t>
    <phoneticPr fontId="3" type="noConversion"/>
  </si>
  <si>
    <t>NCF57F</t>
    <phoneticPr fontId="3" type="noConversion"/>
  </si>
  <si>
    <t>04125178875</t>
    <phoneticPr fontId="3" type="noConversion"/>
  </si>
  <si>
    <t>0415888891</t>
    <phoneticPr fontId="3" type="noConversion"/>
  </si>
  <si>
    <t>!!!!</t>
    <phoneticPr fontId="3" type="noConversion"/>
  </si>
  <si>
    <t>NBX73H</t>
    <phoneticPr fontId="3" type="noConversion"/>
  </si>
  <si>
    <t>0449886933</t>
    <phoneticPr fontId="3" type="noConversion"/>
  </si>
  <si>
    <t>SUVASH</t>
  </si>
  <si>
    <t>ANDREW</t>
    <phoneticPr fontId="3" type="noConversion"/>
  </si>
  <si>
    <t>SAFAL</t>
    <phoneticPr fontId="3" type="noConversion"/>
  </si>
  <si>
    <t>ESD87G</t>
    <phoneticPr fontId="3" type="noConversion"/>
  </si>
  <si>
    <t>0428887158</t>
    <phoneticPr fontId="3" type="noConversion"/>
  </si>
  <si>
    <t>202207006,202206015(X)</t>
    <phoneticPr fontId="3" type="noConversion"/>
  </si>
  <si>
    <t>29-07-2022</t>
    <phoneticPr fontId="3" type="noConversion"/>
  </si>
  <si>
    <t>HENDRA</t>
  </si>
  <si>
    <t>ROBIN</t>
    <phoneticPr fontId="3" type="noConversion"/>
  </si>
  <si>
    <t>DON616</t>
    <phoneticPr fontId="3" type="noConversion"/>
  </si>
  <si>
    <t>0402334033</t>
    <phoneticPr fontId="3" type="noConversion"/>
  </si>
  <si>
    <t>ENO56X</t>
    <phoneticPr fontId="3" type="noConversion"/>
  </si>
  <si>
    <t>0419268613</t>
    <phoneticPr fontId="3" type="noConversion"/>
  </si>
  <si>
    <t>NCA29Z</t>
    <phoneticPr fontId="3" type="noConversion"/>
  </si>
  <si>
    <t>0416545914</t>
    <phoneticPr fontId="3" type="noConversion"/>
  </si>
  <si>
    <t>KING9</t>
    <phoneticPr fontId="3" type="noConversion"/>
  </si>
  <si>
    <t>0488891999</t>
    <phoneticPr fontId="3" type="noConversion"/>
  </si>
  <si>
    <t>#22023 3/6</t>
    <phoneticPr fontId="3" type="noConversion"/>
  </si>
  <si>
    <t>149SCN</t>
    <phoneticPr fontId="3" type="noConversion"/>
  </si>
  <si>
    <t>0404838201</t>
    <phoneticPr fontId="3" type="noConversion"/>
  </si>
  <si>
    <t>#22010 5/6 6/6</t>
    <phoneticPr fontId="3" type="noConversion"/>
  </si>
  <si>
    <t>DFX68Z</t>
    <phoneticPr fontId="3" type="noConversion"/>
  </si>
  <si>
    <t>0404856668</t>
    <phoneticPr fontId="3" type="noConversion"/>
  </si>
  <si>
    <t>MCW813</t>
    <phoneticPr fontId="3" type="noConversion"/>
  </si>
  <si>
    <t>0401060660</t>
    <phoneticPr fontId="3" type="noConversion"/>
  </si>
  <si>
    <t>OUTDOR</t>
    <phoneticPr fontId="3" type="noConversion"/>
  </si>
  <si>
    <t>0412111058</t>
    <phoneticPr fontId="3" type="noConversion"/>
  </si>
  <si>
    <t>YZ777</t>
    <phoneticPr fontId="3" type="noConversion"/>
  </si>
  <si>
    <t>0433180400</t>
    <phoneticPr fontId="3" type="noConversion"/>
  </si>
  <si>
    <t>MC737</t>
    <phoneticPr fontId="3" type="noConversion"/>
  </si>
  <si>
    <t>0424312226</t>
    <phoneticPr fontId="3" type="noConversion"/>
  </si>
  <si>
    <t>BSH22J</t>
    <phoneticPr fontId="3" type="noConversion"/>
  </si>
  <si>
    <t>0412422490</t>
    <phoneticPr fontId="3" type="noConversion"/>
  </si>
  <si>
    <t>CXK58H</t>
    <phoneticPr fontId="3" type="noConversion"/>
  </si>
  <si>
    <t>0411082981</t>
    <phoneticPr fontId="3" type="noConversion"/>
  </si>
  <si>
    <t>#202205026,202206094</t>
    <phoneticPr fontId="3" type="noConversion"/>
  </si>
  <si>
    <t>CR70CE</t>
    <phoneticPr fontId="3" type="noConversion"/>
  </si>
  <si>
    <t>0402655154</t>
    <phoneticPr fontId="3" type="noConversion"/>
  </si>
  <si>
    <t>30 - 7 - 2022</t>
    <phoneticPr fontId="3" type="noConversion"/>
  </si>
  <si>
    <t>KEVIN</t>
    <phoneticPr fontId="3" type="noConversion"/>
  </si>
  <si>
    <t>KADAM</t>
    <phoneticPr fontId="3" type="noConversion"/>
  </si>
  <si>
    <t>CXA58N</t>
    <phoneticPr fontId="3" type="noConversion"/>
  </si>
  <si>
    <t>0413826658</t>
    <phoneticPr fontId="3" type="noConversion"/>
  </si>
  <si>
    <t>EGR03M</t>
    <phoneticPr fontId="3" type="noConversion"/>
  </si>
  <si>
    <t>0402512772</t>
    <phoneticPr fontId="3" type="noConversion"/>
  </si>
  <si>
    <t>RZK000</t>
    <phoneticPr fontId="3" type="noConversion"/>
  </si>
  <si>
    <t>0423225555</t>
    <phoneticPr fontId="3" type="noConversion"/>
  </si>
  <si>
    <t>BAO18Y</t>
    <phoneticPr fontId="3" type="noConversion"/>
  </si>
  <si>
    <t>0421962753</t>
    <phoneticPr fontId="3" type="noConversion"/>
  </si>
  <si>
    <t>DLX98T</t>
    <phoneticPr fontId="3" type="noConversion"/>
  </si>
  <si>
    <t>0412858567</t>
    <phoneticPr fontId="3" type="noConversion"/>
  </si>
  <si>
    <t>DCN64B</t>
    <phoneticPr fontId="3" type="noConversion"/>
  </si>
  <si>
    <t>0419017895</t>
    <phoneticPr fontId="3" type="noConversion"/>
  </si>
  <si>
    <t>KD0100</t>
    <phoneticPr fontId="3" type="noConversion"/>
  </si>
  <si>
    <t>0478127117</t>
    <phoneticPr fontId="3" type="noConversion"/>
  </si>
  <si>
    <t>DWC76S</t>
    <phoneticPr fontId="3" type="noConversion"/>
  </si>
  <si>
    <t>0406945380</t>
    <phoneticPr fontId="3" type="noConversion"/>
  </si>
  <si>
    <t>99DRC</t>
    <phoneticPr fontId="3" type="noConversion"/>
  </si>
  <si>
    <t>0413707369</t>
    <phoneticPr fontId="3" type="noConversion"/>
  </si>
  <si>
    <t>CAH33D</t>
    <phoneticPr fontId="3" type="noConversion"/>
  </si>
  <si>
    <t>0410138821</t>
    <phoneticPr fontId="3" type="noConversion"/>
  </si>
  <si>
    <t>LU1LU</t>
    <phoneticPr fontId="3" type="noConversion"/>
  </si>
  <si>
    <t>0430867897</t>
    <phoneticPr fontId="3" type="noConversion"/>
  </si>
  <si>
    <t>EKP53B</t>
    <phoneticPr fontId="3" type="noConversion"/>
  </si>
  <si>
    <t>0430278412</t>
    <phoneticPr fontId="3" type="noConversion"/>
  </si>
  <si>
    <t>202205013(H)</t>
    <phoneticPr fontId="3" type="noConversion"/>
  </si>
  <si>
    <t>M4PY</t>
    <phoneticPr fontId="3" type="noConversion"/>
  </si>
  <si>
    <t>0410445493</t>
    <phoneticPr fontId="3" type="noConversion"/>
  </si>
  <si>
    <t>ESB72T</t>
    <phoneticPr fontId="3" type="noConversion"/>
  </si>
  <si>
    <t>0410500100</t>
    <phoneticPr fontId="3" type="noConversion"/>
  </si>
  <si>
    <t>CD60AQ</t>
    <phoneticPr fontId="3" type="noConversion"/>
  </si>
  <si>
    <t>0422921131</t>
    <phoneticPr fontId="3" type="noConversion"/>
  </si>
  <si>
    <t>202896(6/6)</t>
    <phoneticPr fontId="3" type="noConversion"/>
  </si>
  <si>
    <t>EAZ63F</t>
    <phoneticPr fontId="3" type="noConversion"/>
  </si>
  <si>
    <t>0403769755</t>
    <phoneticPr fontId="3" type="noConversion"/>
  </si>
  <si>
    <t>NCE55H</t>
    <phoneticPr fontId="3" type="noConversion"/>
  </si>
  <si>
    <t>0481002570</t>
    <phoneticPr fontId="3" type="noConversion"/>
  </si>
  <si>
    <t>EPC68P</t>
    <phoneticPr fontId="3" type="noConversion"/>
  </si>
  <si>
    <t>0413491615</t>
    <phoneticPr fontId="3" type="noConversion"/>
  </si>
  <si>
    <t>ELM78J</t>
    <phoneticPr fontId="3" type="noConversion"/>
  </si>
  <si>
    <t>0410476499</t>
    <phoneticPr fontId="3" type="noConversion"/>
  </si>
  <si>
    <t>BJS31A</t>
    <phoneticPr fontId="3" type="noConversion"/>
  </si>
  <si>
    <t>0408004888</t>
    <phoneticPr fontId="3" type="noConversion"/>
  </si>
  <si>
    <t>CW</t>
    <phoneticPr fontId="3" type="noConversion"/>
  </si>
  <si>
    <t>0410337925</t>
    <phoneticPr fontId="3" type="noConversion"/>
  </si>
  <si>
    <t>ERD82N</t>
    <phoneticPr fontId="3" type="noConversion"/>
  </si>
  <si>
    <t>0432058441</t>
    <phoneticPr fontId="3" type="noConversion"/>
  </si>
  <si>
    <t>DZU92U</t>
    <phoneticPr fontId="3" type="noConversion"/>
  </si>
  <si>
    <t>0404284586</t>
    <phoneticPr fontId="3" type="noConversion"/>
  </si>
  <si>
    <t>BV99DQ</t>
    <phoneticPr fontId="3" type="noConversion"/>
  </si>
  <si>
    <t>0414363818</t>
    <phoneticPr fontId="3" type="noConversion"/>
  </si>
  <si>
    <t>EHE58F</t>
    <phoneticPr fontId="3" type="noConversion"/>
  </si>
  <si>
    <t>0425236341</t>
    <phoneticPr fontId="3" type="noConversion"/>
  </si>
  <si>
    <t>EIV76E</t>
    <phoneticPr fontId="3" type="noConversion"/>
  </si>
  <si>
    <t>0402662036</t>
    <phoneticPr fontId="3" type="noConversion"/>
  </si>
  <si>
    <t>EBU66F</t>
    <phoneticPr fontId="3" type="noConversion"/>
  </si>
  <si>
    <t>0405116280</t>
    <phoneticPr fontId="3" type="noConversion"/>
  </si>
  <si>
    <t>D19</t>
    <phoneticPr fontId="3" type="noConversion"/>
  </si>
  <si>
    <t>0415617650</t>
    <phoneticPr fontId="3" type="noConversion"/>
  </si>
  <si>
    <t>BWZ86B</t>
    <phoneticPr fontId="3" type="noConversion"/>
  </si>
  <si>
    <t>0403182868</t>
    <phoneticPr fontId="3" type="noConversion"/>
  </si>
  <si>
    <t>NCA64U</t>
    <phoneticPr fontId="3" type="noConversion"/>
  </si>
  <si>
    <t>0422083687</t>
    <phoneticPr fontId="3" type="noConversion"/>
  </si>
  <si>
    <t>DPV76D</t>
    <phoneticPr fontId="3" type="noConversion"/>
  </si>
  <si>
    <t>0414747458</t>
    <phoneticPr fontId="3" type="noConversion"/>
  </si>
  <si>
    <t>DX6000</t>
    <phoneticPr fontId="3" type="noConversion"/>
  </si>
  <si>
    <t>0403456282</t>
    <phoneticPr fontId="3" type="noConversion"/>
  </si>
  <si>
    <t>22039(1/6)</t>
    <phoneticPr fontId="3" type="noConversion"/>
  </si>
  <si>
    <t>DHA35S</t>
    <phoneticPr fontId="3" type="noConversion"/>
  </si>
  <si>
    <t>0450356770</t>
    <phoneticPr fontId="3" type="noConversion"/>
  </si>
  <si>
    <t>31-02-2022</t>
    <phoneticPr fontId="3" type="noConversion"/>
  </si>
  <si>
    <t>EJO88U</t>
    <phoneticPr fontId="3" type="noConversion"/>
  </si>
  <si>
    <t>0491126888</t>
    <phoneticPr fontId="3" type="noConversion"/>
  </si>
  <si>
    <t>22016(3/6)</t>
    <phoneticPr fontId="3" type="noConversion"/>
  </si>
  <si>
    <t>EAP16T</t>
    <phoneticPr fontId="3" type="noConversion"/>
  </si>
  <si>
    <t>0414620831</t>
    <phoneticPr fontId="3" type="noConversion"/>
  </si>
  <si>
    <t>DZF75M</t>
    <phoneticPr fontId="3" type="noConversion"/>
  </si>
  <si>
    <t>0423826198</t>
    <phoneticPr fontId="3" type="noConversion"/>
  </si>
  <si>
    <t>YKJ32V</t>
    <phoneticPr fontId="3" type="noConversion"/>
  </si>
  <si>
    <t>0435529628</t>
    <phoneticPr fontId="3" type="noConversion"/>
  </si>
  <si>
    <t>NEU076</t>
    <phoneticPr fontId="3" type="noConversion"/>
  </si>
  <si>
    <t>0481788095</t>
    <phoneticPr fontId="3" type="noConversion"/>
  </si>
  <si>
    <t>22055(2/6)</t>
    <phoneticPr fontId="3" type="noConversion"/>
  </si>
  <si>
    <t>DC989</t>
    <phoneticPr fontId="3" type="noConversion"/>
  </si>
  <si>
    <t>0466998801</t>
    <phoneticPr fontId="3" type="noConversion"/>
  </si>
  <si>
    <t>202205049(D)</t>
    <phoneticPr fontId="3" type="noConversion"/>
  </si>
  <si>
    <t>CGB37W</t>
    <phoneticPr fontId="3" type="noConversion"/>
  </si>
  <si>
    <t>0411602790</t>
    <phoneticPr fontId="3" type="noConversion"/>
  </si>
  <si>
    <t>PC</t>
    <phoneticPr fontId="3" type="noConversion"/>
  </si>
  <si>
    <t>PC20006(X)</t>
    <phoneticPr fontId="3" type="noConversion"/>
  </si>
  <si>
    <t>EOW31B</t>
    <phoneticPr fontId="3" type="noConversion"/>
  </si>
  <si>
    <t>0482668881</t>
    <phoneticPr fontId="3" type="noConversion"/>
  </si>
  <si>
    <t>EJTJ39W</t>
    <phoneticPr fontId="3" type="noConversion"/>
  </si>
  <si>
    <t>0401146209</t>
    <phoneticPr fontId="3" type="noConversion"/>
  </si>
  <si>
    <t>DKP33L</t>
    <phoneticPr fontId="3" type="noConversion"/>
  </si>
  <si>
    <t>0410079883</t>
    <phoneticPr fontId="3" type="noConversion"/>
  </si>
  <si>
    <t>EJQ38D</t>
    <phoneticPr fontId="3" type="noConversion"/>
  </si>
  <si>
    <t>0404113366</t>
    <phoneticPr fontId="3" type="noConversion"/>
  </si>
  <si>
    <t>22053(1/6)</t>
    <phoneticPr fontId="3" type="noConversion"/>
  </si>
  <si>
    <t>YDX79Q</t>
    <phoneticPr fontId="3" type="noConversion"/>
  </si>
  <si>
    <t>0412255345</t>
    <phoneticPr fontId="3" type="noConversion"/>
  </si>
  <si>
    <t>CZU85S</t>
    <phoneticPr fontId="3" type="noConversion"/>
  </si>
  <si>
    <t>0487184045</t>
    <phoneticPr fontId="3" type="noConversion"/>
  </si>
  <si>
    <t>1UT8HI</t>
    <phoneticPr fontId="3" type="noConversion"/>
  </si>
  <si>
    <t>0414529588</t>
    <phoneticPr fontId="3" type="noConversion"/>
  </si>
  <si>
    <t>DWR91R</t>
    <phoneticPr fontId="3" type="noConversion"/>
  </si>
  <si>
    <t>0407419794</t>
    <phoneticPr fontId="3" type="noConversion"/>
  </si>
  <si>
    <t>22005(6/6)</t>
    <phoneticPr fontId="3" type="noConversion"/>
  </si>
  <si>
    <t>EGP82C</t>
    <phoneticPr fontId="3" type="noConversion"/>
  </si>
  <si>
    <t>0411756874</t>
    <phoneticPr fontId="3" type="noConversion"/>
  </si>
  <si>
    <t>EQF98G</t>
    <phoneticPr fontId="3" type="noConversion"/>
  </si>
  <si>
    <t>0468998804</t>
    <phoneticPr fontId="3" type="noConversion"/>
  </si>
  <si>
    <t>EEW84X</t>
    <phoneticPr fontId="3" type="noConversion"/>
  </si>
  <si>
    <t>0474547141</t>
    <phoneticPr fontId="3" type="noConversion"/>
  </si>
  <si>
    <t>ME7</t>
    <phoneticPr fontId="3" type="noConversion"/>
  </si>
  <si>
    <t>0411606223</t>
    <phoneticPr fontId="3" type="noConversion"/>
  </si>
  <si>
    <t>YGF22E</t>
    <phoneticPr fontId="3" type="noConversion"/>
  </si>
  <si>
    <t>0410794188</t>
    <phoneticPr fontId="3" type="noConversion"/>
  </si>
  <si>
    <t>DGF78A</t>
    <phoneticPr fontId="3" type="noConversion"/>
  </si>
  <si>
    <t>0452633999</t>
    <phoneticPr fontId="3" type="noConversion"/>
  </si>
  <si>
    <t>CLOUDY</t>
    <phoneticPr fontId="3" type="noConversion"/>
  </si>
  <si>
    <t>BIA87L</t>
    <phoneticPr fontId="3" type="noConversion"/>
  </si>
  <si>
    <t>0402219780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</si>
</sst>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2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7" fillId="3" borderId="33" applyNumberFormat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4" borderId="36" applyNumberFormat="0" applyAlignment="0" applyProtection="0">
      <alignment vertical="center"/>
    </xf>
    <xf numFmtId="0" fontId="23" fillId="14" borderId="0" applyNumberFormat="0" applyBorder="0" applyAlignment="0" applyProtection="0">
      <alignment vertical="center"/>
    </xf>
  </cellStyleXfs>
  <cellXfs count="753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6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5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5" fillId="0" borderId="1" xfId="3" applyFont="1" applyFill="1" applyBorder="1" applyAlignment="1">
      <alignment horizontal="left" shrinkToFit="1"/>
    </xf>
    <xf numFmtId="0" fontId="15" fillId="0" borderId="1" xfId="3" applyFont="1" applyFill="1" applyBorder="1" applyAlignment="1">
      <alignment shrinkToFit="1"/>
    </xf>
    <xf numFmtId="26" fontId="13" fillId="0" borderId="0" xfId="0" applyNumberFormat="1" applyFont="1" applyFill="1" applyBorder="1" applyAlignment="1">
      <alignment shrinkToFit="1"/>
    </xf>
    <xf numFmtId="0" fontId="15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5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4" fillId="0" borderId="1" xfId="0" applyFont="1" applyBorder="1" applyAlignment="1">
      <alignment shrinkToFit="1"/>
    </xf>
    <xf numFmtId="26" fontId="4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4" fillId="0" borderId="13" xfId="0" applyFont="1" applyBorder="1" applyAlignment="1">
      <alignment shrinkToFit="1"/>
    </xf>
    <xf numFmtId="0" fontId="4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0" fillId="0" borderId="1" xfId="0" applyFont="1" applyBorder="1" applyAlignment="1">
      <alignment horizontal="left" shrinkToFit="1"/>
    </xf>
    <xf numFmtId="0" fontId="13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5" fillId="0" borderId="4" xfId="0" applyNumberFormat="1" applyFont="1" applyBorder="1" applyAlignment="1">
      <alignment horizontal="center" shrinkToFit="1"/>
    </xf>
    <xf numFmtId="0" fontId="4" fillId="0" borderId="28" xfId="0" applyFont="1" applyBorder="1" applyAlignment="1">
      <alignment shrinkToFit="1"/>
    </xf>
    <xf numFmtId="176" fontId="6" fillId="0" borderId="1" xfId="0" applyNumberFormat="1" applyFont="1" applyBorder="1" applyAlignment="1">
      <alignment vertical="center" shrinkToFit="1"/>
    </xf>
    <xf numFmtId="176" fontId="6" fillId="0" borderId="15" xfId="0" applyNumberFormat="1" applyFont="1" applyBorder="1" applyAlignment="1">
      <alignment vertical="center" shrinkToFit="1"/>
    </xf>
    <xf numFmtId="26" fontId="6" fillId="0" borderId="1" xfId="0" applyNumberFormat="1" applyFont="1" applyBorder="1" applyAlignment="1">
      <alignment vertical="center" shrinkToFit="1"/>
    </xf>
    <xf numFmtId="26" fontId="6" fillId="0" borderId="15" xfId="0" applyNumberFormat="1" applyFont="1" applyBorder="1" applyAlignment="1">
      <alignment vertical="center" shrinkToFit="1"/>
    </xf>
    <xf numFmtId="24" fontId="6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6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6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4" fillId="6" borderId="12" xfId="0" applyNumberFormat="1" applyFont="1" applyFill="1" applyBorder="1" applyAlignment="1">
      <alignment shrinkToFit="1"/>
    </xf>
    <xf numFmtId="178" fontId="4" fillId="6" borderId="12" xfId="0" applyNumberFormat="1" applyFont="1" applyFill="1" applyBorder="1" applyAlignment="1">
      <alignment horizontal="center" shrinkToFit="1"/>
    </xf>
    <xf numFmtId="177" fontId="4" fillId="6" borderId="12" xfId="0" applyNumberFormat="1" applyFont="1" applyFill="1" applyBorder="1" applyAlignment="1">
      <alignment shrinkToFit="1"/>
    </xf>
    <xf numFmtId="177" fontId="4" fillId="6" borderId="12" xfId="0" applyNumberFormat="1" applyFont="1" applyFill="1" applyBorder="1" applyAlignment="1">
      <alignment horizontal="center" shrinkToFit="1"/>
    </xf>
    <xf numFmtId="0" fontId="4" fillId="6" borderId="41" xfId="0" applyFont="1" applyFill="1" applyBorder="1" applyAlignment="1">
      <alignment horizontal="center" shrinkToFit="1"/>
    </xf>
    <xf numFmtId="177" fontId="4" fillId="6" borderId="41" xfId="0" applyNumberFormat="1" applyFont="1" applyFill="1" applyBorder="1" applyAlignment="1">
      <alignment horizontal="center" shrinkToFit="1"/>
    </xf>
    <xf numFmtId="178" fontId="4" fillId="6" borderId="41" xfId="0" applyNumberFormat="1" applyFont="1" applyFill="1" applyBorder="1" applyAlignment="1">
      <alignment horizontal="center" shrinkToFit="1"/>
    </xf>
    <xf numFmtId="178" fontId="15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3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3" fillId="6" borderId="52" xfId="0" applyFont="1" applyFill="1" applyBorder="1" applyAlignment="1">
      <alignment horizontal="left" shrinkToFit="1"/>
    </xf>
    <xf numFmtId="179" fontId="13" fillId="6" borderId="50" xfId="0" applyNumberFormat="1" applyFont="1" applyFill="1" applyBorder="1" applyAlignment="1">
      <alignment horizontal="center" vertical="center" shrinkToFit="1"/>
    </xf>
    <xf numFmtId="179" fontId="10" fillId="6" borderId="53" xfId="0" applyNumberFormat="1" applyFont="1" applyFill="1" applyBorder="1" applyAlignment="1">
      <alignment horizontal="left" shrinkToFit="1"/>
    </xf>
    <xf numFmtId="0" fontId="4" fillId="6" borderId="28" xfId="0" applyFont="1" applyFill="1" applyBorder="1" applyAlignment="1">
      <alignment horizontal="center" shrinkToFit="1"/>
    </xf>
    <xf numFmtId="178" fontId="4" fillId="6" borderId="1" xfId="0" applyNumberFormat="1" applyFont="1" applyFill="1" applyBorder="1" applyAlignment="1">
      <alignment horizontal="center" shrinkToFit="1"/>
    </xf>
    <xf numFmtId="176" fontId="4" fillId="6" borderId="13" xfId="0" applyNumberFormat="1" applyFont="1" applyFill="1" applyBorder="1" applyAlignment="1">
      <alignment horizontal="center" vertical="center" shrinkToFit="1"/>
    </xf>
    <xf numFmtId="176" fontId="4" fillId="6" borderId="10" xfId="0" applyNumberFormat="1" applyFont="1" applyFill="1" applyBorder="1" applyAlignment="1">
      <alignment horizontal="center" vertical="center" shrinkToFit="1"/>
    </xf>
    <xf numFmtId="0" fontId="13" fillId="6" borderId="19" xfId="0" applyFont="1" applyFill="1" applyBorder="1" applyAlignment="1">
      <alignment horizontal="center" shrinkToFit="1"/>
    </xf>
    <xf numFmtId="0" fontId="13" fillId="6" borderId="4" xfId="0" applyFont="1" applyFill="1" applyBorder="1" applyAlignment="1">
      <alignment horizontal="center" shrinkToFit="1"/>
    </xf>
    <xf numFmtId="0" fontId="14" fillId="6" borderId="3" xfId="0" applyFont="1" applyFill="1" applyBorder="1" applyAlignment="1">
      <alignment horizontal="center" shrinkToFit="1"/>
    </xf>
    <xf numFmtId="180" fontId="4" fillId="6" borderId="1" xfId="0" applyNumberFormat="1" applyFont="1" applyFill="1" applyBorder="1" applyAlignment="1">
      <alignment horizontal="center" shrinkToFit="1"/>
    </xf>
    <xf numFmtId="179" fontId="4" fillId="6" borderId="1" xfId="0" applyNumberFormat="1" applyFont="1" applyFill="1" applyBorder="1" applyAlignment="1">
      <alignment horizontal="center" shrinkToFit="1"/>
    </xf>
    <xf numFmtId="180" fontId="4" fillId="6" borderId="14" xfId="0" applyNumberFormat="1" applyFont="1" applyFill="1" applyBorder="1" applyAlignment="1">
      <alignment horizontal="center" shrinkToFit="1"/>
    </xf>
    <xf numFmtId="178" fontId="4" fillId="6" borderId="14" xfId="0" applyNumberFormat="1" applyFont="1" applyFill="1" applyBorder="1" applyAlignment="1">
      <alignment horizontal="center" shrinkToFit="1"/>
    </xf>
    <xf numFmtId="176" fontId="4" fillId="6" borderId="3" xfId="0" applyNumberFormat="1" applyFont="1" applyFill="1" applyBorder="1" applyAlignment="1">
      <alignment horizontal="center" shrinkToFit="1"/>
    </xf>
    <xf numFmtId="180" fontId="4" fillId="6" borderId="3" xfId="0" applyNumberFormat="1" applyFont="1" applyFill="1" applyBorder="1" applyAlignment="1">
      <alignment horizontal="center" shrinkToFit="1"/>
    </xf>
    <xf numFmtId="179" fontId="8" fillId="6" borderId="3" xfId="1" applyNumberFormat="1" applyFont="1" applyFill="1" applyBorder="1" applyAlignment="1">
      <alignment horizontal="center" vertical="center"/>
    </xf>
    <xf numFmtId="9" fontId="4" fillId="6" borderId="5" xfId="0" applyNumberFormat="1" applyFont="1" applyFill="1" applyBorder="1" applyAlignment="1">
      <alignment horizontal="center" shrinkToFit="1"/>
    </xf>
    <xf numFmtId="178" fontId="16" fillId="6" borderId="28" xfId="0" applyNumberFormat="1" applyFont="1" applyFill="1" applyBorder="1" applyAlignment="1">
      <alignment horizontal="center" vertical="center" shrinkToFit="1"/>
    </xf>
    <xf numFmtId="180" fontId="14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3" fillId="6" borderId="50" xfId="0" applyNumberFormat="1" applyFont="1" applyFill="1" applyBorder="1" applyAlignment="1">
      <alignment shrinkToFit="1"/>
    </xf>
    <xf numFmtId="179" fontId="4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3" fillId="0" borderId="1" xfId="0" applyFont="1" applyBorder="1" applyAlignment="1">
      <alignment horizontal="center" shrinkToFit="1"/>
    </xf>
    <xf numFmtId="0" fontId="13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0" fillId="0" borderId="4" xfId="0" applyFont="1" applyBorder="1" applyAlignment="1">
      <alignment horizontal="center" shrinkToFit="1"/>
    </xf>
    <xf numFmtId="178" fontId="15" fillId="0" borderId="1" xfId="3" applyNumberFormat="1" applyFont="1" applyFill="1" applyBorder="1" applyAlignment="1">
      <alignment horizontal="center" shrinkToFit="1"/>
    </xf>
    <xf numFmtId="178" fontId="1" fillId="0" borderId="4" xfId="0" applyNumberFormat="1" applyFont="1" applyBorder="1" applyAlignment="1">
      <alignment horizontal="center" shrinkToFit="1"/>
    </xf>
    <xf numFmtId="178" fontId="1" fillId="0" borderId="1" xfId="0" applyNumberFormat="1" applyFont="1" applyBorder="1" applyAlignment="1">
      <alignment horizontal="center" shrinkToFit="1"/>
    </xf>
    <xf numFmtId="178" fontId="15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2" fillId="0" borderId="19" xfId="0" applyFont="1" applyBorder="1" applyAlignment="1">
      <alignment horizontal="center" shrinkToFit="1"/>
    </xf>
    <xf numFmtId="0" fontId="1" fillId="2" borderId="4" xfId="0" applyFont="1" applyFill="1" applyBorder="1" applyAlignment="1">
      <alignment horizontal="center" shrinkToFit="1"/>
    </xf>
    <xf numFmtId="178" fontId="1" fillId="6" borderId="4" xfId="0" applyNumberFormat="1" applyFont="1" applyFill="1" applyBorder="1" applyAlignment="1">
      <alignment horizontal="center" shrinkToFit="1"/>
    </xf>
    <xf numFmtId="178" fontId="15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1" fillId="2" borderId="1" xfId="0" applyFont="1" applyFill="1" applyBorder="1" applyAlignment="1">
      <alignment horizontal="center" shrinkToFit="1"/>
    </xf>
    <xf numFmtId="0" fontId="6" fillId="2" borderId="1" xfId="0" applyFont="1" applyFill="1" applyBorder="1" applyAlignment="1">
      <alignment horizontal="left" shrinkToFit="1"/>
    </xf>
    <xf numFmtId="0" fontId="2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3" fillId="0" borderId="13" xfId="0" applyFont="1" applyBorder="1" applyAlignment="1">
      <alignment horizontal="left" shrinkToFit="1"/>
    </xf>
    <xf numFmtId="179" fontId="13" fillId="0" borderId="14" xfId="0" applyNumberFormat="1" applyFont="1" applyBorder="1" applyAlignment="1">
      <alignment horizontal="center" vertical="center" shrinkToFit="1"/>
    </xf>
    <xf numFmtId="26" fontId="13" fillId="0" borderId="14" xfId="0" applyNumberFormat="1" applyFont="1" applyBorder="1" applyAlignment="1">
      <alignment shrinkToFit="1"/>
    </xf>
    <xf numFmtId="179" fontId="6" fillId="0" borderId="28" xfId="0" applyNumberFormat="1" applyFont="1" applyBorder="1" applyAlignment="1">
      <alignment vertical="center" shrinkToFit="1"/>
    </xf>
    <xf numFmtId="178" fontId="1" fillId="2" borderId="1" xfId="0" applyNumberFormat="1" applyFont="1" applyFill="1" applyBorder="1" applyAlignment="1">
      <alignment horizontal="center" shrinkToFit="1"/>
    </xf>
    <xf numFmtId="0" fontId="2" fillId="2" borderId="9" xfId="0" applyFont="1" applyFill="1" applyBorder="1" applyAlignment="1">
      <alignment horizontal="center" shrinkToFit="1"/>
    </xf>
    <xf numFmtId="0" fontId="16" fillId="6" borderId="7" xfId="0" applyFont="1" applyFill="1" applyBorder="1" applyAlignment="1">
      <alignment horizontal="center" shrinkToFit="1"/>
    </xf>
    <xf numFmtId="0" fontId="16" fillId="6" borderId="8" xfId="0" applyFont="1" applyFill="1" applyBorder="1" applyAlignment="1">
      <alignment horizontal="center" shrinkToFit="1"/>
    </xf>
    <xf numFmtId="178" fontId="4" fillId="6" borderId="48" xfId="0" applyNumberFormat="1" applyFont="1" applyFill="1" applyBorder="1" applyAlignment="1">
      <alignment vertical="center" shrinkToFit="1"/>
    </xf>
    <xf numFmtId="178" fontId="13" fillId="0" borderId="47" xfId="0" applyNumberFormat="1" applyFont="1" applyBorder="1" applyAlignment="1">
      <alignment shrinkToFit="1"/>
    </xf>
    <xf numFmtId="0" fontId="2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5" fillId="0" borderId="40" xfId="0" applyNumberFormat="1" applyFont="1" applyBorder="1" applyAlignment="1">
      <alignment horizontal="center" shrinkToFit="1"/>
    </xf>
    <xf numFmtId="178" fontId="13" fillId="0" borderId="17" xfId="0" applyNumberFormat="1" applyFont="1" applyBorder="1" applyAlignment="1">
      <alignment shrinkToFit="1"/>
    </xf>
    <xf numFmtId="178" fontId="13" fillId="0" borderId="49" xfId="0" applyNumberFormat="1" applyFont="1" applyBorder="1" applyAlignment="1">
      <alignment shrinkToFit="1"/>
    </xf>
    <xf numFmtId="0" fontId="2" fillId="0" borderId="13" xfId="0" applyFont="1" applyBorder="1" applyAlignment="1">
      <alignment horizontal="center" shrinkToFit="1"/>
    </xf>
    <xf numFmtId="0" fontId="22" fillId="0" borderId="1" xfId="0" applyFont="1" applyBorder="1" applyAlignment="1">
      <alignment horizontal="center"/>
    </xf>
    <xf numFmtId="0" fontId="16" fillId="13" borderId="7" xfId="0" applyFont="1" applyFill="1" applyBorder="1" applyAlignment="1">
      <alignment horizontal="center" shrinkToFit="1"/>
    </xf>
    <xf numFmtId="177" fontId="16" fillId="13" borderId="8" xfId="0" applyNumberFormat="1" applyFont="1" applyFill="1" applyBorder="1" applyAlignment="1">
      <alignment horizontal="center" shrinkToFit="1"/>
    </xf>
    <xf numFmtId="178" fontId="16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6" fillId="13" borderId="50" xfId="0" applyFont="1" applyFill="1" applyBorder="1" applyAlignment="1">
      <alignment horizontal="center" shrinkToFit="1"/>
    </xf>
    <xf numFmtId="178" fontId="1" fillId="0" borderId="26" xfId="0" applyNumberFormat="1" applyFont="1" applyBorder="1" applyAlignment="1">
      <alignment horizontal="center" shrinkToFit="1"/>
    </xf>
    <xf numFmtId="178" fontId="15" fillId="0" borderId="61" xfId="3" applyNumberFormat="1" applyFont="1" applyFill="1" applyBorder="1" applyAlignment="1">
      <alignment horizontal="center" shrinkToFit="1"/>
    </xf>
    <xf numFmtId="179" fontId="6" fillId="0" borderId="39" xfId="0" applyNumberFormat="1" applyFont="1" applyBorder="1" applyAlignment="1">
      <alignment horizontal="left"/>
    </xf>
    <xf numFmtId="179" fontId="6" fillId="0" borderId="26" xfId="0" applyNumberFormat="1" applyFont="1" applyBorder="1" applyAlignment="1">
      <alignment horizontal="left"/>
    </xf>
    <xf numFmtId="179" fontId="13" fillId="0" borderId="26" xfId="0" applyNumberFormat="1" applyFont="1" applyBorder="1" applyAlignment="1">
      <alignment horizontal="left"/>
    </xf>
    <xf numFmtId="0" fontId="13" fillId="0" borderId="26" xfId="0" applyFont="1" applyBorder="1" applyAlignment="1">
      <alignment horizontal="left" shrinkToFit="1"/>
    </xf>
    <xf numFmtId="0" fontId="6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5" fillId="0" borderId="26" xfId="3" applyFont="1" applyFill="1" applyBorder="1" applyAlignment="1">
      <alignment horizontal="left" shrinkToFit="1"/>
    </xf>
    <xf numFmtId="0" fontId="15" fillId="0" borderId="46" xfId="3" applyFont="1" applyFill="1" applyBorder="1" applyAlignment="1">
      <alignment horizontal="left" shrinkToFit="1"/>
    </xf>
    <xf numFmtId="0" fontId="6" fillId="0" borderId="26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5" fillId="0" borderId="2" xfId="3" applyNumberFormat="1" applyFont="1" applyFill="1" applyBorder="1" applyAlignment="1">
      <alignment horizontal="left" shrinkToFit="1"/>
    </xf>
    <xf numFmtId="49" fontId="10" fillId="0" borderId="2" xfId="0" applyNumberFormat="1" applyFont="1" applyBorder="1" applyAlignment="1">
      <alignment horizontal="left" shrinkToFit="1"/>
    </xf>
    <xf numFmtId="49" fontId="15" fillId="0" borderId="2" xfId="3" applyNumberFormat="1" applyFont="1" applyFill="1" applyBorder="1" applyAlignment="1">
      <alignment shrinkToFit="1"/>
    </xf>
    <xf numFmtId="49" fontId="13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5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6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4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5" fillId="0" borderId="40" xfId="3" applyNumberFormat="1" applyFont="1" applyFill="1" applyBorder="1" applyAlignment="1">
      <alignment horizontal="left" shrinkToFit="1"/>
    </xf>
    <xf numFmtId="49" fontId="15" fillId="0" borderId="45" xfId="3" applyNumberFormat="1" applyFont="1" applyFill="1" applyBorder="1" applyAlignment="1">
      <alignment horizontal="left" shrinkToFit="1"/>
    </xf>
    <xf numFmtId="49" fontId="24" fillId="0" borderId="2" xfId="0" applyNumberFormat="1" applyFont="1" applyBorder="1" applyAlignment="1">
      <alignment horizontal="left"/>
    </xf>
    <xf numFmtId="49" fontId="25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shrinkToFit="1"/>
    </xf>
    <xf numFmtId="49" fontId="24" fillId="0" borderId="29" xfId="0" applyNumberFormat="1" applyFont="1" applyBorder="1"/>
    <xf numFmtId="49" fontId="25" fillId="0" borderId="2" xfId="0" applyNumberFormat="1" applyFont="1" applyBorder="1" applyAlignment="1">
      <alignment shrinkToFit="1"/>
    </xf>
    <xf numFmtId="49" fontId="24" fillId="0" borderId="37" xfId="0" applyNumberFormat="1" applyFont="1" applyBorder="1" applyAlignment="1">
      <alignment horizontal="left" shrinkToFit="1"/>
    </xf>
    <xf numFmtId="49" fontId="24" fillId="0" borderId="2" xfId="0" applyNumberFormat="1" applyFont="1" applyBorder="1" applyAlignment="1">
      <alignment shrinkToFit="1"/>
    </xf>
    <xf numFmtId="49" fontId="24" fillId="2" borderId="2" xfId="0" applyNumberFormat="1" applyFont="1" applyFill="1" applyBorder="1" applyAlignment="1">
      <alignment shrinkToFit="1"/>
    </xf>
    <xf numFmtId="49" fontId="24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horizontal="left" shrinkToFit="1"/>
    </xf>
    <xf numFmtId="49" fontId="25" fillId="0" borderId="29" xfId="3" applyNumberFormat="1" applyFont="1" applyFill="1" applyBorder="1" applyAlignment="1">
      <alignment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178" fontId="23" fillId="2" borderId="4" xfId="4" applyNumberFormat="1" applyFill="1" applyBorder="1" applyAlignment="1">
      <alignment horizontal="center" shrinkToFit="1"/>
    </xf>
    <xf numFmtId="178" fontId="23" fillId="2" borderId="6" xfId="4" applyNumberFormat="1" applyFill="1" applyBorder="1" applyAlignment="1">
      <alignment horizontal="center" shrinkToFit="1"/>
    </xf>
    <xf numFmtId="178" fontId="10" fillId="6" borderId="4" xfId="4" applyNumberFormat="1" applyFont="1" applyFill="1" applyBorder="1" applyAlignment="1">
      <alignment horizontal="center" shrinkToFit="1"/>
    </xf>
    <xf numFmtId="26" fontId="20" fillId="6" borderId="45" xfId="0" applyNumberFormat="1" applyFont="1" applyFill="1" applyBorder="1" applyAlignment="1">
      <alignment horizontal="center" vertical="center" shrinkToFit="1"/>
    </xf>
    <xf numFmtId="26" fontId="20" fillId="6" borderId="0" xfId="0" applyNumberFormat="1" applyFont="1" applyFill="1" applyBorder="1" applyAlignment="1">
      <alignment horizontal="center" vertical="center" shrinkToFit="1"/>
    </xf>
    <xf numFmtId="26" fontId="20" fillId="6" borderId="46" xfId="0" applyNumberFormat="1" applyFont="1" applyFill="1" applyBorder="1" applyAlignment="1">
      <alignment horizontal="center" vertical="center" shrinkToFit="1"/>
    </xf>
    <xf numFmtId="183" fontId="20" fillId="6" borderId="45" xfId="0" applyNumberFormat="1" applyFont="1" applyFill="1" applyBorder="1" applyAlignment="1">
      <alignment horizontal="center" vertical="center" shrinkToFit="1"/>
    </xf>
    <xf numFmtId="183" fontId="20" fillId="6" borderId="0" xfId="0" applyNumberFormat="1" applyFont="1" applyFill="1" applyBorder="1" applyAlignment="1">
      <alignment horizontal="center" vertical="center" shrinkToFit="1"/>
    </xf>
    <xf numFmtId="183" fontId="20" fillId="6" borderId="46" xfId="0" applyNumberFormat="1" applyFont="1" applyFill="1" applyBorder="1" applyAlignment="1">
      <alignment horizontal="center" vertical="center" shrinkToFit="1"/>
    </xf>
    <xf numFmtId="26" fontId="20" fillId="10" borderId="45" xfId="0" applyNumberFormat="1" applyFont="1" applyFill="1" applyBorder="1" applyAlignment="1">
      <alignment horizontal="center" vertical="center" shrinkToFit="1"/>
    </xf>
    <xf numFmtId="26" fontId="20" fillId="10" borderId="0" xfId="0" applyNumberFormat="1" applyFont="1" applyFill="1" applyBorder="1" applyAlignment="1">
      <alignment horizontal="center" vertical="center" shrinkToFit="1"/>
    </xf>
    <xf numFmtId="26" fontId="20" fillId="10" borderId="46" xfId="0" applyNumberFormat="1" applyFont="1" applyFill="1" applyBorder="1" applyAlignment="1">
      <alignment horizontal="center" vertical="center" shrinkToFit="1"/>
    </xf>
    <xf numFmtId="183" fontId="20" fillId="10" borderId="45" xfId="0" applyNumberFormat="1" applyFont="1" applyFill="1" applyBorder="1" applyAlignment="1">
      <alignment horizontal="center" vertical="center" shrinkToFit="1"/>
    </xf>
    <xf numFmtId="183" fontId="20" fillId="10" borderId="0" xfId="0" applyNumberFormat="1" applyFont="1" applyFill="1" applyBorder="1" applyAlignment="1">
      <alignment horizontal="center" vertical="center" shrinkToFit="1"/>
    </xf>
    <xf numFmtId="183" fontId="20" fillId="10" borderId="46" xfId="0" applyNumberFormat="1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Border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Border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Border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183" fontId="20" fillId="7" borderId="45" xfId="0" applyNumberFormat="1" applyFont="1" applyFill="1" applyBorder="1" applyAlignment="1">
      <alignment horizontal="center" vertical="center" shrinkToFit="1"/>
    </xf>
    <xf numFmtId="183" fontId="20" fillId="7" borderId="0" xfId="0" applyNumberFormat="1" applyFont="1" applyFill="1" applyBorder="1" applyAlignment="1">
      <alignment horizontal="center" vertical="center" shrinkToFit="1"/>
    </xf>
    <xf numFmtId="183" fontId="20" fillId="7" borderId="46" xfId="0" applyNumberFormat="1" applyFont="1" applyFill="1" applyBorder="1" applyAlignment="1">
      <alignment horizontal="center" vertical="center" shrinkToFit="1"/>
    </xf>
    <xf numFmtId="26" fontId="20" fillId="7" borderId="45" xfId="0" applyNumberFormat="1" applyFont="1" applyFill="1" applyBorder="1" applyAlignment="1">
      <alignment horizontal="center" vertical="center" shrinkToFit="1"/>
    </xf>
    <xf numFmtId="26" fontId="20" fillId="7" borderId="0" xfId="0" applyNumberFormat="1" applyFont="1" applyFill="1" applyBorder="1" applyAlignment="1">
      <alignment horizontal="center" vertical="center" shrinkToFit="1"/>
    </xf>
    <xf numFmtId="26" fontId="20" fillId="7" borderId="46" xfId="0" applyNumberFormat="1" applyFont="1" applyFill="1" applyBorder="1" applyAlignment="1">
      <alignment horizontal="center" vertical="center" shrinkToFit="1"/>
    </xf>
    <xf numFmtId="26" fontId="20" fillId="11" borderId="6" xfId="0" applyNumberFormat="1" applyFont="1" applyFill="1" applyBorder="1" applyAlignment="1">
      <alignment horizontal="center" vertical="center" shrinkToFit="1"/>
    </xf>
    <xf numFmtId="26" fontId="20" fillId="11" borderId="37" xfId="0" applyNumberFormat="1" applyFont="1" applyFill="1" applyBorder="1" applyAlignment="1">
      <alignment horizontal="center" vertical="center" shrinkToFit="1"/>
    </xf>
    <xf numFmtId="26" fontId="20" fillId="11" borderId="39" xfId="0" applyNumberFormat="1" applyFont="1" applyFill="1" applyBorder="1" applyAlignment="1">
      <alignment horizontal="center" vertical="center" shrinkToFit="1"/>
    </xf>
    <xf numFmtId="183" fontId="20" fillId="11" borderId="6" xfId="0" applyNumberFormat="1" applyFont="1" applyFill="1" applyBorder="1" applyAlignment="1">
      <alignment horizontal="center" vertical="center" shrinkToFit="1"/>
    </xf>
    <xf numFmtId="183" fontId="20" fillId="11" borderId="37" xfId="0" applyNumberFormat="1" applyFont="1" applyFill="1" applyBorder="1" applyAlignment="1">
      <alignment horizontal="center" vertical="center" shrinkToFit="1"/>
    </xf>
    <xf numFmtId="183" fontId="20" fillId="11" borderId="39" xfId="0" applyNumberFormat="1" applyFont="1" applyFill="1" applyBorder="1" applyAlignment="1">
      <alignment horizontal="center" vertical="center" shrinkToFit="1"/>
    </xf>
    <xf numFmtId="49" fontId="28" fillId="0" borderId="2" xfId="0" applyNumberFormat="1" applyFont="1" applyBorder="1"/>
    <xf numFmtId="0" fontId="16" fillId="13" borderId="8" xfId="0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23" fillId="14" borderId="1" xfId="4" applyBorder="1" applyAlignment="1"/>
    <xf numFmtId="49" fontId="23" fillId="14" borderId="2" xfId="4" applyNumberFormat="1" applyBorder="1" applyAlignment="1">
      <alignment horizontal="left"/>
    </xf>
    <xf numFmtId="0" fontId="23" fillId="14" borderId="62" xfId="4" applyBorder="1" applyAlignment="1">
      <alignment horizontal="center" shrinkToFit="1"/>
    </xf>
    <xf numFmtId="179" fontId="23" fillId="14" borderId="39" xfId="4" applyNumberFormat="1" applyBorder="1" applyAlignment="1">
      <alignment horizontal="left"/>
    </xf>
    <xf numFmtId="0" fontId="23" fillId="14" borderId="4" xfId="4" applyBorder="1" applyAlignment="1">
      <alignment horizontal="center" shrinkToFit="1"/>
    </xf>
    <xf numFmtId="178" fontId="23" fillId="14" borderId="4" xfId="4" applyNumberFormat="1" applyBorder="1" applyAlignment="1">
      <alignment horizontal="center" shrinkToFit="1"/>
    </xf>
    <xf numFmtId="178" fontId="23" fillId="14" borderId="6" xfId="4" applyNumberFormat="1" applyBorder="1" applyAlignment="1">
      <alignment horizontal="center" shrinkToFit="1"/>
    </xf>
    <xf numFmtId="0" fontId="23" fillId="14" borderId="1" xfId="4" applyBorder="1" applyAlignment="1">
      <alignment horizontal="left" shrinkToFit="1"/>
    </xf>
    <xf numFmtId="0" fontId="23" fillId="14" borderId="1" xfId="4" applyBorder="1" applyAlignment="1">
      <alignment horizontal="center" shrinkToFit="1"/>
    </xf>
    <xf numFmtId="0" fontId="23" fillId="14" borderId="1" xfId="4" applyBorder="1" applyAlignment="1">
      <alignment shrinkToFit="1"/>
    </xf>
    <xf numFmtId="49" fontId="23" fillId="14" borderId="2" xfId="4" applyNumberFormat="1" applyBorder="1" applyAlignment="1">
      <alignment shrinkToFit="1"/>
    </xf>
    <xf numFmtId="0" fontId="23" fillId="14" borderId="26" xfId="4" applyBorder="1" applyAlignment="1">
      <alignment horizontal="left" shrinkToFit="1"/>
    </xf>
    <xf numFmtId="0" fontId="23" fillId="14" borderId="1" xfId="4" applyBorder="1" applyAlignment="1">
      <alignment horizontal="center" vertical="center" shrinkToFit="1"/>
    </xf>
    <xf numFmtId="178" fontId="23" fillId="14" borderId="1" xfId="4" applyNumberFormat="1" applyBorder="1" applyAlignment="1">
      <alignment horizontal="center" shrinkToFit="1"/>
    </xf>
    <xf numFmtId="20" fontId="6" fillId="0" borderId="39" xfId="0" applyNumberFormat="1" applyFont="1" applyBorder="1" applyAlignment="1">
      <alignment horizontal="left"/>
    </xf>
    <xf numFmtId="0" fontId="0" fillId="0" borderId="1" xfId="0" applyBorder="1" applyAlignment="1">
      <alignment horizontal="center" shrinkToFit="1"/>
    </xf>
    <xf numFmtId="0" fontId="23" fillId="14" borderId="26" xfId="4" applyBorder="1" applyAlignment="1"/>
    <xf numFmtId="49" fontId="23" fillId="14" borderId="29" xfId="4" applyNumberFormat="1" applyBorder="1" applyAlignment="1"/>
    <xf numFmtId="0" fontId="23" fillId="14" borderId="26" xfId="4" applyBorder="1" applyAlignment="1">
      <alignment horizontal="left"/>
    </xf>
    <xf numFmtId="0" fontId="23" fillId="14" borderId="1" xfId="4" applyBorder="1" applyAlignment="1">
      <alignment horizontal="center"/>
    </xf>
    <xf numFmtId="0" fontId="4" fillId="0" borderId="34" xfId="0" applyFont="1" applyBorder="1" applyAlignment="1">
      <alignment horizontal="center" shrinkToFit="1"/>
    </xf>
    <xf numFmtId="0" fontId="4" fillId="0" borderId="35" xfId="0" applyFont="1" applyBorder="1" applyAlignment="1">
      <alignment horizontal="center" shrinkToFit="1"/>
    </xf>
    <xf numFmtId="0" fontId="4" fillId="0" borderId="18" xfId="0" applyFont="1" applyBorder="1" applyAlignment="1">
      <alignment horizontal="center" shrinkToFit="1"/>
    </xf>
    <xf numFmtId="0" fontId="4" fillId="6" borderId="18" xfId="0" applyFont="1" applyFill="1" applyBorder="1" applyAlignment="1">
      <alignment horizontal="center" shrinkToFit="1"/>
    </xf>
    <xf numFmtId="0" fontId="4" fillId="6" borderId="34" xfId="0" applyFont="1" applyFill="1" applyBorder="1" applyAlignment="1">
      <alignment horizontal="center" shrinkToFit="1"/>
    </xf>
    <xf numFmtId="0" fontId="4" fillId="6" borderId="35" xfId="0" applyFont="1" applyFill="1" applyBorder="1" applyAlignment="1">
      <alignment horizontal="center" shrinkToFit="1"/>
    </xf>
    <xf numFmtId="179" fontId="4" fillId="0" borderId="12" xfId="0" applyNumberFormat="1" applyFont="1" applyBorder="1" applyAlignment="1">
      <alignment horizontal="center" shrinkToFit="1"/>
    </xf>
    <xf numFmtId="0" fontId="15" fillId="0" borderId="2" xfId="0" applyFont="1" applyBorder="1" applyAlignment="1">
      <alignment horizontal="center" shrinkToFit="1"/>
    </xf>
    <xf numFmtId="0" fontId="15" fillId="0" borderId="29" xfId="0" applyFont="1" applyBorder="1" applyAlignment="1">
      <alignment horizontal="center" shrinkToFit="1"/>
    </xf>
    <xf numFmtId="0" fontId="15" fillId="0" borderId="17" xfId="0" applyFont="1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23" fillId="14" borderId="6" xfId="4" applyBorder="1" applyAlignment="1">
      <alignment horizontal="center" shrinkToFit="1"/>
    </xf>
    <xf numFmtId="0" fontId="23" fillId="14" borderId="37" xfId="4" applyBorder="1" applyAlignment="1">
      <alignment horizontal="center" shrinkToFit="1"/>
    </xf>
    <xf numFmtId="0" fontId="23" fillId="14" borderId="47" xfId="4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0" borderId="2" xfId="0" applyBorder="1" applyAlignment="1">
      <alignment horizontal="center" shrinkToFit="1"/>
    </xf>
    <xf numFmtId="0" fontId="0" fillId="0" borderId="29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0" fontId="13" fillId="0" borderId="2" xfId="0" applyFont="1" applyBorder="1" applyAlignment="1">
      <alignment horizontal="center" shrinkToFit="1"/>
    </xf>
    <xf numFmtId="0" fontId="13" fillId="0" borderId="29" xfId="0" applyFont="1" applyBorder="1" applyAlignment="1">
      <alignment horizontal="center" shrinkToFit="1"/>
    </xf>
    <xf numFmtId="0" fontId="13" fillId="0" borderId="17" xfId="0" applyFont="1" applyBorder="1" applyAlignment="1">
      <alignment horizontal="center" shrinkToFit="1"/>
    </xf>
    <xf numFmtId="176" fontId="13" fillId="0" borderId="0" xfId="0" applyNumberFormat="1" applyFont="1" applyFill="1" applyBorder="1" applyAlignment="1">
      <alignment horizontal="center" shrinkToFit="1"/>
    </xf>
    <xf numFmtId="26" fontId="13" fillId="0" borderId="0" xfId="0" applyNumberFormat="1" applyFont="1" applyFill="1" applyBorder="1" applyAlignment="1">
      <alignment horizontal="center" shrinkToFit="1"/>
    </xf>
    <xf numFmtId="0" fontId="23" fillId="2" borderId="2" xfId="4" applyFill="1" applyBorder="1" applyAlignment="1">
      <alignment horizontal="center" shrinkToFit="1"/>
    </xf>
    <xf numFmtId="0" fontId="23" fillId="2" borderId="29" xfId="4" applyFill="1" applyBorder="1" applyAlignment="1">
      <alignment horizontal="center" shrinkToFit="1"/>
    </xf>
    <xf numFmtId="179" fontId="4" fillId="6" borderId="53" xfId="0" applyNumberFormat="1" applyFont="1" applyFill="1" applyBorder="1" applyAlignment="1">
      <alignment horizontal="center" vertical="center" shrinkToFit="1"/>
    </xf>
    <xf numFmtId="179" fontId="4" fillId="6" borderId="55" xfId="0" applyNumberFormat="1" applyFont="1" applyFill="1" applyBorder="1" applyAlignment="1">
      <alignment horizontal="center" vertical="center" shrinkToFit="1"/>
    </xf>
    <xf numFmtId="0" fontId="14" fillId="0" borderId="51" xfId="0" applyFont="1" applyBorder="1" applyAlignment="1">
      <alignment horizontal="left" shrinkToFit="1"/>
    </xf>
    <xf numFmtId="0" fontId="14" fillId="0" borderId="37" xfId="0" applyFont="1" applyBorder="1" applyAlignment="1">
      <alignment horizontal="left" shrinkToFit="1"/>
    </xf>
    <xf numFmtId="0" fontId="14" fillId="0" borderId="47" xfId="0" applyFont="1" applyBorder="1" applyAlignment="1">
      <alignment horizontal="left" shrinkToFit="1"/>
    </xf>
    <xf numFmtId="0" fontId="4" fillId="6" borderId="10" xfId="0" applyFont="1" applyFill="1" applyBorder="1" applyAlignment="1">
      <alignment horizontal="center" shrinkToFit="1"/>
    </xf>
    <xf numFmtId="0" fontId="4" fillId="6" borderId="3" xfId="0" applyFont="1" applyFill="1" applyBorder="1" applyAlignment="1">
      <alignment horizontal="center" shrinkToFit="1"/>
    </xf>
    <xf numFmtId="179" fontId="4" fillId="6" borderId="3" xfId="0" applyNumberFormat="1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0" fontId="17" fillId="6" borderId="34" xfId="0" applyFont="1" applyFill="1" applyBorder="1" applyAlignment="1">
      <alignment horizontal="center" shrinkToFit="1"/>
    </xf>
    <xf numFmtId="0" fontId="17" fillId="6" borderId="35" xfId="0" applyFont="1" applyFill="1" applyBorder="1" applyAlignment="1">
      <alignment horizontal="center" shrinkToFit="1"/>
    </xf>
    <xf numFmtId="0" fontId="17" fillId="6" borderId="18" xfId="0" applyFont="1" applyFill="1" applyBorder="1" applyAlignment="1">
      <alignment horizontal="center" shrinkToFit="1"/>
    </xf>
    <xf numFmtId="0" fontId="4" fillId="0" borderId="21" xfId="0" applyFont="1" applyBorder="1" applyAlignment="1">
      <alignment horizontal="center" shrinkToFit="1"/>
    </xf>
    <xf numFmtId="0" fontId="4" fillId="0" borderId="22" xfId="0" applyFont="1" applyBorder="1" applyAlignment="1">
      <alignment horizontal="center" shrinkToFit="1"/>
    </xf>
    <xf numFmtId="178" fontId="16" fillId="6" borderId="25" xfId="0" applyNumberFormat="1" applyFont="1" applyFill="1" applyBorder="1" applyAlignment="1">
      <alignment horizontal="center" vertical="center" shrinkToFit="1"/>
    </xf>
    <xf numFmtId="178" fontId="16" fillId="6" borderId="24" xfId="0" applyNumberFormat="1" applyFont="1" applyFill="1" applyBorder="1" applyAlignment="1">
      <alignment horizontal="center" vertical="center" shrinkToFit="1"/>
    </xf>
    <xf numFmtId="178" fontId="16" fillId="6" borderId="22" xfId="0" applyNumberFormat="1" applyFont="1" applyFill="1" applyBorder="1" applyAlignment="1">
      <alignment horizontal="center" vertical="center" shrinkToFit="1"/>
    </xf>
    <xf numFmtId="178" fontId="16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4" fillId="0" borderId="42" xfId="0" applyFont="1" applyBorder="1" applyAlignment="1">
      <alignment horizontal="left" shrinkToFit="1"/>
    </xf>
    <xf numFmtId="0" fontId="14" fillId="0" borderId="29" xfId="0" applyFont="1" applyBorder="1" applyAlignment="1">
      <alignment horizontal="left" shrinkToFit="1"/>
    </xf>
    <xf numFmtId="0" fontId="14" fillId="0" borderId="17" xfId="0" applyFont="1" applyBorder="1" applyAlignment="1">
      <alignment horizontal="left" shrinkToFit="1"/>
    </xf>
    <xf numFmtId="0" fontId="4" fillId="6" borderId="13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4" xfId="0" applyFont="1" applyFill="1" applyBorder="1" applyAlignment="1">
      <alignment horizontal="center" shrinkToFit="1"/>
    </xf>
    <xf numFmtId="0" fontId="14" fillId="0" borderId="43" xfId="0" applyFont="1" applyBorder="1" applyAlignment="1">
      <alignment horizontal="left" shrinkToFit="1"/>
    </xf>
    <xf numFmtId="0" fontId="14" fillId="0" borderId="49" xfId="0" applyFont="1" applyBorder="1" applyAlignment="1">
      <alignment horizontal="left" shrinkToFit="1"/>
    </xf>
    <xf numFmtId="0" fontId="4" fillId="6" borderId="9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4" fillId="6" borderId="13" xfId="0" applyFont="1" applyFill="1" applyBorder="1" applyAlignment="1">
      <alignment horizontal="center" vertical="center"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9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0" fontId="4" fillId="6" borderId="10" xfId="0" applyFont="1" applyFill="1" applyBorder="1" applyAlignment="1">
      <alignment horizontal="center" vertical="center" shrinkToFit="1"/>
    </xf>
    <xf numFmtId="0" fontId="4" fillId="6" borderId="3" xfId="0" applyFont="1" applyFill="1" applyBorder="1" applyAlignment="1">
      <alignment horizontal="center" vertical="center" shrinkToFit="1"/>
    </xf>
    <xf numFmtId="180" fontId="4" fillId="6" borderId="14" xfId="0" applyNumberFormat="1" applyFont="1" applyFill="1" applyBorder="1" applyAlignment="1">
      <alignment horizontal="center" vertical="center" shrinkToFit="1"/>
    </xf>
    <xf numFmtId="180" fontId="4" fillId="6" borderId="1" xfId="0" applyNumberFormat="1" applyFont="1" applyFill="1" applyBorder="1" applyAlignment="1">
      <alignment horizontal="center" vertical="center" shrinkToFit="1"/>
    </xf>
    <xf numFmtId="180" fontId="4" fillId="6" borderId="3" xfId="0" applyNumberFormat="1" applyFont="1" applyFill="1" applyBorder="1" applyAlignment="1">
      <alignment horizontal="center" vertical="center" shrinkToFit="1"/>
    </xf>
    <xf numFmtId="178" fontId="4" fillId="6" borderId="14" xfId="0" applyNumberFormat="1" applyFont="1" applyFill="1" applyBorder="1" applyAlignment="1">
      <alignment horizontal="center" vertical="center" shrinkToFit="1"/>
    </xf>
    <xf numFmtId="178" fontId="4" fillId="6" borderId="1" xfId="0" applyNumberFormat="1" applyFont="1" applyFill="1" applyBorder="1" applyAlignment="1">
      <alignment horizontal="center" vertical="center" shrinkToFit="1"/>
    </xf>
    <xf numFmtId="178" fontId="4" fillId="6" borderId="3" xfId="0" applyNumberFormat="1" applyFont="1" applyFill="1" applyBorder="1" applyAlignment="1">
      <alignment horizontal="center" vertical="center" shrinkToFit="1"/>
    </xf>
    <xf numFmtId="178" fontId="4" fillId="6" borderId="28" xfId="0" applyNumberFormat="1" applyFont="1" applyFill="1" applyBorder="1" applyAlignment="1">
      <alignment horizontal="center" vertical="center" shrinkToFit="1"/>
    </xf>
    <xf numFmtId="178" fontId="4" fillId="6" borderId="15" xfId="0" applyNumberFormat="1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4" fillId="0" borderId="27" xfId="0" applyFont="1" applyBorder="1" applyAlignment="1">
      <alignment horizontal="center" shrinkToFit="1"/>
    </xf>
    <xf numFmtId="0" fontId="4" fillId="0" borderId="25" xfId="0" applyFont="1" applyBorder="1" applyAlignment="1">
      <alignment horizontal="center" shrinkToFit="1"/>
    </xf>
    <xf numFmtId="0" fontId="4" fillId="0" borderId="24" xfId="0" applyFont="1" applyBorder="1" applyAlignment="1">
      <alignment horizontal="center" shrinkToFit="1"/>
    </xf>
    <xf numFmtId="0" fontId="4" fillId="0" borderId="31" xfId="0" applyFont="1" applyBorder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4" fillId="0" borderId="32" xfId="0" applyFont="1" applyBorder="1" applyAlignment="1">
      <alignment horizontal="center" shrinkToFit="1"/>
    </xf>
    <xf numFmtId="0" fontId="4" fillId="0" borderId="23" xfId="0" applyFont="1" applyBorder="1" applyAlignment="1">
      <alignment horizontal="center" shrinkToFit="1"/>
    </xf>
    <xf numFmtId="0" fontId="2" fillId="6" borderId="34" xfId="0" applyFont="1" applyFill="1" applyBorder="1" applyAlignment="1">
      <alignment horizontal="center"/>
    </xf>
    <xf numFmtId="0" fontId="2" fillId="6" borderId="35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 vertic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23" fillId="14" borderId="2" xfId="4" applyBorder="1" applyAlignment="1">
      <alignment horizontal="center" shrinkToFit="1"/>
    </xf>
    <xf numFmtId="0" fontId="23" fillId="14" borderId="29" xfId="4" applyBorder="1" applyAlignment="1">
      <alignment horizontal="center" shrinkToFit="1"/>
    </xf>
    <xf numFmtId="0" fontId="23" fillId="14" borderId="17" xfId="4" applyBorder="1" applyAlignment="1">
      <alignment horizontal="center" shrinkToFit="1"/>
    </xf>
    <xf numFmtId="3" fontId="0" fillId="0" borderId="2" xfId="0" applyNumberFormat="1" applyBorder="1" applyAlignment="1">
      <alignment horizontal="center" shrinkToFit="1"/>
    </xf>
    <xf numFmtId="26" fontId="20" fillId="6" borderId="30" xfId="0" applyNumberFormat="1" applyFont="1" applyFill="1" applyBorder="1" applyAlignment="1">
      <alignment horizontal="center" vertical="center" shrinkToFit="1"/>
    </xf>
    <xf numFmtId="26" fontId="20" fillId="6" borderId="43" xfId="0" applyNumberFormat="1" applyFont="1" applyFill="1" applyBorder="1" applyAlignment="1">
      <alignment horizontal="center" vertical="center" shrinkToFit="1"/>
    </xf>
    <xf numFmtId="26" fontId="20" fillId="6" borderId="44" xfId="0" applyNumberFormat="1" applyFont="1" applyFill="1" applyBorder="1" applyAlignment="1">
      <alignment horizontal="center" vertical="center" shrinkToFit="1"/>
    </xf>
    <xf numFmtId="26" fontId="20" fillId="6" borderId="45" xfId="0" applyNumberFormat="1" applyFont="1" applyFill="1" applyBorder="1" applyAlignment="1">
      <alignment horizontal="center" vertical="center" shrinkToFit="1"/>
    </xf>
    <xf numFmtId="26" fontId="20" fillId="6" borderId="0" xfId="0" applyNumberFormat="1" applyFont="1" applyFill="1" applyBorder="1" applyAlignment="1">
      <alignment horizontal="center" vertical="center" shrinkToFit="1"/>
    </xf>
    <xf numFmtId="26" fontId="20" fillId="6" borderId="46" xfId="0" applyNumberFormat="1" applyFont="1" applyFill="1" applyBorder="1" applyAlignment="1">
      <alignment horizontal="center" vertical="center" shrinkToFit="1"/>
    </xf>
    <xf numFmtId="26" fontId="20" fillId="6" borderId="6" xfId="0" applyNumberFormat="1" applyFont="1" applyFill="1" applyBorder="1" applyAlignment="1">
      <alignment horizontal="center" vertical="center" shrinkToFit="1"/>
    </xf>
    <xf numFmtId="26" fontId="20" fillId="6" borderId="37" xfId="0" applyNumberFormat="1" applyFont="1" applyFill="1" applyBorder="1" applyAlignment="1">
      <alignment horizontal="center" vertical="center" shrinkToFit="1"/>
    </xf>
    <xf numFmtId="26" fontId="20" fillId="6" borderId="39" xfId="0" applyNumberFormat="1" applyFont="1" applyFill="1" applyBorder="1" applyAlignment="1">
      <alignment horizontal="center" vertical="center" shrinkToFit="1"/>
    </xf>
    <xf numFmtId="183" fontId="20" fillId="6" borderId="30" xfId="0" applyNumberFormat="1" applyFont="1" applyFill="1" applyBorder="1" applyAlignment="1">
      <alignment horizontal="center" vertical="center" shrinkToFit="1"/>
    </xf>
    <xf numFmtId="183" fontId="20" fillId="6" borderId="43" xfId="0" applyNumberFormat="1" applyFont="1" applyFill="1" applyBorder="1" applyAlignment="1">
      <alignment horizontal="center" vertical="center" shrinkToFit="1"/>
    </xf>
    <xf numFmtId="183" fontId="20" fillId="6" borderId="44" xfId="0" applyNumberFormat="1" applyFont="1" applyFill="1" applyBorder="1" applyAlignment="1">
      <alignment horizontal="center" vertical="center" shrinkToFit="1"/>
    </xf>
    <xf numFmtId="183" fontId="20" fillId="6" borderId="45" xfId="0" applyNumberFormat="1" applyFont="1" applyFill="1" applyBorder="1" applyAlignment="1">
      <alignment horizontal="center" vertical="center" shrinkToFit="1"/>
    </xf>
    <xf numFmtId="183" fontId="20" fillId="6" borderId="0" xfId="0" applyNumberFormat="1" applyFont="1" applyFill="1" applyBorder="1" applyAlignment="1">
      <alignment horizontal="center" vertical="center" shrinkToFit="1"/>
    </xf>
    <xf numFmtId="183" fontId="20" fillId="6" borderId="46" xfId="0" applyNumberFormat="1" applyFont="1" applyFill="1" applyBorder="1" applyAlignment="1">
      <alignment horizontal="center" vertical="center" shrinkToFit="1"/>
    </xf>
    <xf numFmtId="183" fontId="20" fillId="6" borderId="6" xfId="0" applyNumberFormat="1" applyFont="1" applyFill="1" applyBorder="1" applyAlignment="1">
      <alignment horizontal="center" vertical="center" shrinkToFit="1"/>
    </xf>
    <xf numFmtId="183" fontId="20" fillId="6" borderId="37" xfId="0" applyNumberFormat="1" applyFont="1" applyFill="1" applyBorder="1" applyAlignment="1">
      <alignment horizontal="center" vertical="center" shrinkToFit="1"/>
    </xf>
    <xf numFmtId="183" fontId="20" fillId="6" borderId="39" xfId="0" applyNumberFormat="1" applyFont="1" applyFill="1" applyBorder="1" applyAlignment="1">
      <alignment horizontal="center" vertical="center" shrinkToFit="1"/>
    </xf>
    <xf numFmtId="0" fontId="27" fillId="11" borderId="2" xfId="0" applyFont="1" applyFill="1" applyBorder="1" applyAlignment="1">
      <alignment horizontal="center" vertical="center" shrinkToFit="1"/>
    </xf>
    <xf numFmtId="0" fontId="27" fillId="11" borderId="29" xfId="0" applyFont="1" applyFill="1" applyBorder="1" applyAlignment="1">
      <alignment horizontal="center" vertical="center" shrinkToFit="1"/>
    </xf>
    <xf numFmtId="0" fontId="27" fillId="11" borderId="26" xfId="0" applyFont="1" applyFill="1" applyBorder="1" applyAlignment="1">
      <alignment horizontal="center" vertical="center" shrinkToFit="1"/>
    </xf>
    <xf numFmtId="176" fontId="4" fillId="10" borderId="1" xfId="0" applyNumberFormat="1" applyFont="1" applyFill="1" applyBorder="1" applyAlignment="1">
      <alignment horizontal="center" vertical="center" shrinkToFit="1"/>
    </xf>
    <xf numFmtId="0" fontId="4" fillId="10" borderId="1" xfId="0" applyFont="1" applyFill="1" applyBorder="1" applyAlignment="1">
      <alignment horizontal="center" vertical="center" shrinkToFit="1"/>
    </xf>
    <xf numFmtId="0" fontId="4" fillId="12" borderId="1" xfId="0" applyFont="1" applyFill="1" applyBorder="1" applyAlignment="1">
      <alignment horizontal="center" vertical="center" shrinkToFit="1"/>
    </xf>
    <xf numFmtId="176" fontId="4" fillId="12" borderId="1" xfId="0" applyNumberFormat="1" applyFont="1" applyFill="1" applyBorder="1" applyAlignment="1">
      <alignment horizontal="center" vertical="center" shrinkToFit="1"/>
    </xf>
    <xf numFmtId="9" fontId="4" fillId="12" borderId="1" xfId="0" applyNumberFormat="1" applyFont="1" applyFill="1" applyBorder="1" applyAlignment="1">
      <alignment horizontal="center" vertical="center" shrinkToFit="1"/>
    </xf>
    <xf numFmtId="176" fontId="4" fillId="7" borderId="1" xfId="0" applyNumberFormat="1" applyFont="1" applyFill="1" applyBorder="1" applyAlignment="1">
      <alignment horizontal="center" vertical="center" shrinkToFit="1"/>
    </xf>
    <xf numFmtId="9" fontId="4" fillId="7" borderId="1" xfId="0" applyNumberFormat="1" applyFont="1" applyFill="1" applyBorder="1" applyAlignment="1">
      <alignment horizontal="center" vertical="center" shrinkToFit="1"/>
    </xf>
    <xf numFmtId="176" fontId="4" fillId="11" borderId="2" xfId="0" applyNumberFormat="1" applyFont="1" applyFill="1" applyBorder="1" applyAlignment="1">
      <alignment horizontal="center" vertical="center" shrinkToFit="1"/>
    </xf>
    <xf numFmtId="176" fontId="4" fillId="11" borderId="29" xfId="0" applyNumberFormat="1" applyFont="1" applyFill="1" applyBorder="1" applyAlignment="1">
      <alignment horizontal="center" vertical="center" shrinkToFit="1"/>
    </xf>
    <xf numFmtId="176" fontId="4" fillId="11" borderId="26" xfId="0" applyNumberFormat="1" applyFont="1" applyFill="1" applyBorder="1" applyAlignment="1">
      <alignment horizontal="center" vertical="center" shrinkToFit="1"/>
    </xf>
    <xf numFmtId="9" fontId="4" fillId="10" borderId="1" xfId="0" applyNumberFormat="1" applyFont="1" applyFill="1" applyBorder="1" applyAlignment="1">
      <alignment horizontal="center" vertical="center" shrinkToFit="1"/>
    </xf>
    <xf numFmtId="9" fontId="4" fillId="11" borderId="1" xfId="0" applyNumberFormat="1" applyFont="1" applyFill="1" applyBorder="1" applyAlignment="1">
      <alignment horizontal="center" vertical="center" shrinkToFit="1"/>
    </xf>
    <xf numFmtId="0" fontId="4" fillId="11" borderId="1" xfId="0" applyFont="1" applyFill="1" applyBorder="1" applyAlignment="1">
      <alignment horizontal="center" vertical="center" shrinkToFit="1"/>
    </xf>
    <xf numFmtId="0" fontId="4" fillId="11" borderId="2" xfId="0" applyFont="1" applyFill="1" applyBorder="1" applyAlignment="1">
      <alignment horizontal="center" vertical="center" shrinkToFit="1"/>
    </xf>
    <xf numFmtId="0" fontId="4" fillId="11" borderId="29" xfId="0" applyFont="1" applyFill="1" applyBorder="1" applyAlignment="1">
      <alignment horizontal="center" vertical="center" shrinkToFit="1"/>
    </xf>
    <xf numFmtId="0" fontId="4" fillId="11" borderId="26" xfId="0" applyFont="1" applyFill="1" applyBorder="1" applyAlignment="1">
      <alignment horizontal="center" vertical="center" shrinkToFit="1"/>
    </xf>
    <xf numFmtId="183" fontId="20" fillId="9" borderId="2" xfId="0" applyNumberFormat="1" applyFont="1" applyFill="1" applyBorder="1" applyAlignment="1">
      <alignment horizontal="center" vertical="center" shrinkToFit="1"/>
    </xf>
    <xf numFmtId="183" fontId="20" fillId="9" borderId="29" xfId="0" applyNumberFormat="1" applyFont="1" applyFill="1" applyBorder="1" applyAlignment="1">
      <alignment horizontal="center" vertical="center" shrinkToFit="1"/>
    </xf>
    <xf numFmtId="183" fontId="20" fillId="9" borderId="26" xfId="0" applyNumberFormat="1" applyFont="1" applyFill="1" applyBorder="1" applyAlignment="1">
      <alignment horizontal="center" vertical="center" shrinkToFit="1"/>
    </xf>
    <xf numFmtId="26" fontId="20" fillId="9" borderId="2" xfId="0" applyNumberFormat="1" applyFont="1" applyFill="1" applyBorder="1" applyAlignment="1">
      <alignment horizontal="center" vertical="center" shrinkToFit="1"/>
    </xf>
    <xf numFmtId="26" fontId="20" fillId="9" borderId="29" xfId="0" applyNumberFormat="1" applyFont="1" applyFill="1" applyBorder="1" applyAlignment="1">
      <alignment horizontal="center" vertical="center" shrinkToFit="1"/>
    </xf>
    <xf numFmtId="26" fontId="20" fillId="9" borderId="26" xfId="0" applyNumberFormat="1" applyFont="1" applyFill="1" applyBorder="1" applyAlignment="1">
      <alignment horizontal="center" vertical="center" shrinkToFit="1"/>
    </xf>
    <xf numFmtId="0" fontId="4" fillId="5" borderId="2" xfId="0" applyFont="1" applyFill="1" applyBorder="1" applyAlignment="1">
      <alignment horizontal="center" vertical="center" shrinkToFit="1"/>
    </xf>
    <xf numFmtId="0" fontId="4" fillId="5" borderId="29" xfId="0" applyFont="1" applyFill="1" applyBorder="1" applyAlignment="1">
      <alignment horizontal="center" vertical="center" shrinkToFit="1"/>
    </xf>
    <xf numFmtId="0" fontId="4" fillId="5" borderId="26" xfId="0" applyFont="1" applyFill="1" applyBorder="1" applyAlignment="1">
      <alignment horizontal="center" vertical="center" shrinkToFit="1"/>
    </xf>
    <xf numFmtId="176" fontId="4" fillId="5" borderId="2" xfId="0" applyNumberFormat="1" applyFont="1" applyFill="1" applyBorder="1" applyAlignment="1">
      <alignment horizontal="center" vertical="center" shrinkToFit="1"/>
    </xf>
    <xf numFmtId="176" fontId="4" fillId="5" borderId="29" xfId="0" applyNumberFormat="1" applyFont="1" applyFill="1" applyBorder="1" applyAlignment="1">
      <alignment horizontal="center" vertical="center" shrinkToFit="1"/>
    </xf>
    <xf numFmtId="176" fontId="4" fillId="5" borderId="26" xfId="0" applyNumberFormat="1" applyFont="1" applyFill="1" applyBorder="1" applyAlignment="1">
      <alignment horizontal="center" vertical="center" shrinkToFit="1"/>
    </xf>
    <xf numFmtId="0" fontId="27" fillId="5" borderId="2" xfId="0" applyFont="1" applyFill="1" applyBorder="1" applyAlignment="1">
      <alignment horizontal="center" vertical="center" shrinkToFit="1"/>
    </xf>
    <xf numFmtId="0" fontId="27" fillId="5" borderId="29" xfId="0" applyFont="1" applyFill="1" applyBorder="1" applyAlignment="1">
      <alignment horizontal="center" vertical="center" shrinkToFit="1"/>
    </xf>
    <xf numFmtId="0" fontId="27" fillId="5" borderId="26" xfId="0" applyFont="1" applyFill="1" applyBorder="1" applyAlignment="1">
      <alignment horizontal="center" vertical="center" shrinkToFit="1"/>
    </xf>
    <xf numFmtId="0" fontId="19" fillId="5" borderId="2" xfId="0" applyFont="1" applyFill="1" applyBorder="1" applyAlignment="1">
      <alignment horizontal="center" vertical="center" shrinkToFit="1"/>
    </xf>
    <xf numFmtId="0" fontId="19" fillId="5" borderId="29" xfId="0" applyFont="1" applyFill="1" applyBorder="1" applyAlignment="1">
      <alignment horizontal="center" vertical="center" shrinkToFit="1"/>
    </xf>
    <xf numFmtId="0" fontId="19" fillId="5" borderId="26" xfId="0" applyFont="1" applyFill="1" applyBorder="1" applyAlignment="1">
      <alignment horizontal="center" vertical="center" shrinkToFit="1"/>
    </xf>
    <xf numFmtId="183" fontId="20" fillId="5" borderId="2" xfId="0" applyNumberFormat="1" applyFont="1" applyFill="1" applyBorder="1" applyAlignment="1">
      <alignment horizontal="center" vertical="center" shrinkToFit="1"/>
    </xf>
    <xf numFmtId="183" fontId="20" fillId="5" borderId="29" xfId="0" applyNumberFormat="1" applyFont="1" applyFill="1" applyBorder="1" applyAlignment="1">
      <alignment horizontal="center" vertical="center" shrinkToFit="1"/>
    </xf>
    <xf numFmtId="183" fontId="20" fillId="5" borderId="26" xfId="0" applyNumberFormat="1" applyFont="1" applyFill="1" applyBorder="1" applyAlignment="1">
      <alignment horizontal="center" vertical="center" shrinkToFit="1"/>
    </xf>
    <xf numFmtId="26" fontId="20" fillId="5" borderId="2" xfId="0" applyNumberFormat="1" applyFont="1" applyFill="1" applyBorder="1" applyAlignment="1">
      <alignment horizontal="center" vertical="center" shrinkToFit="1"/>
    </xf>
    <xf numFmtId="26" fontId="20" fillId="5" borderId="29" xfId="0" applyNumberFormat="1" applyFont="1" applyFill="1" applyBorder="1" applyAlignment="1">
      <alignment horizontal="center" vertical="center" shrinkToFit="1"/>
    </xf>
    <xf numFmtId="26" fontId="20" fillId="5" borderId="26" xfId="0" applyNumberFormat="1" applyFont="1" applyFill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vertical="center" shrinkToFit="1"/>
    </xf>
    <xf numFmtId="176" fontId="4" fillId="5" borderId="1" xfId="0" applyNumberFormat="1" applyFont="1" applyFill="1" applyBorder="1" applyAlignment="1">
      <alignment horizontal="center" vertical="center" shrinkToFit="1"/>
    </xf>
    <xf numFmtId="9" fontId="4" fillId="5" borderId="2" xfId="0" applyNumberFormat="1" applyFont="1" applyFill="1" applyBorder="1" applyAlignment="1">
      <alignment horizontal="center" vertical="center" shrinkToFit="1"/>
    </xf>
    <xf numFmtId="9" fontId="4" fillId="5" borderId="29" xfId="0" applyNumberFormat="1" applyFont="1" applyFill="1" applyBorder="1" applyAlignment="1">
      <alignment horizontal="center" vertical="center" shrinkToFit="1"/>
    </xf>
    <xf numFmtId="9" fontId="4" fillId="5" borderId="26" xfId="0" applyNumberFormat="1" applyFont="1" applyFill="1" applyBorder="1" applyAlignment="1">
      <alignment horizontal="center" vertical="center" shrinkToFit="1"/>
    </xf>
    <xf numFmtId="0" fontId="4" fillId="9" borderId="11" xfId="0" applyFont="1" applyFill="1" applyBorder="1" applyAlignment="1">
      <alignment horizontal="center" vertical="center" wrapText="1" shrinkToFit="1"/>
    </xf>
    <xf numFmtId="0" fontId="4" fillId="9" borderId="40" xfId="0" applyFont="1" applyFill="1" applyBorder="1" applyAlignment="1">
      <alignment horizontal="center" vertical="center" wrapText="1" shrinkToFit="1"/>
    </xf>
    <xf numFmtId="0" fontId="4" fillId="9" borderId="4" xfId="0" applyFont="1" applyFill="1" applyBorder="1" applyAlignment="1">
      <alignment horizontal="center" vertical="center" wrapText="1" shrinkToFit="1"/>
    </xf>
    <xf numFmtId="0" fontId="4" fillId="5" borderId="11" xfId="0" applyFont="1" applyFill="1" applyBorder="1" applyAlignment="1">
      <alignment horizontal="center" vertical="center" wrapText="1" shrinkToFit="1"/>
    </xf>
    <xf numFmtId="0" fontId="4" fillId="5" borderId="40" xfId="0" applyFont="1" applyFill="1" applyBorder="1" applyAlignment="1">
      <alignment horizontal="center" vertical="center" wrapText="1" shrinkToFit="1"/>
    </xf>
    <xf numFmtId="0" fontId="4" fillId="5" borderId="4" xfId="0" applyFont="1" applyFill="1" applyBorder="1" applyAlignment="1">
      <alignment horizontal="center" vertical="center" wrapText="1" shrinkToFit="1"/>
    </xf>
    <xf numFmtId="0" fontId="4" fillId="6" borderId="11" xfId="0" applyFont="1" applyFill="1" applyBorder="1" applyAlignment="1">
      <alignment horizontal="center" vertical="center" wrapText="1" shrinkToFit="1"/>
    </xf>
    <xf numFmtId="0" fontId="4" fillId="6" borderId="40" xfId="0" applyFont="1" applyFill="1" applyBorder="1" applyAlignment="1">
      <alignment horizontal="center" vertical="center" wrapText="1" shrinkToFit="1"/>
    </xf>
    <xf numFmtId="0" fontId="4" fillId="6" borderId="4" xfId="0" applyFont="1" applyFill="1" applyBorder="1" applyAlignment="1">
      <alignment horizontal="center" vertical="center" wrapText="1" shrinkToFit="1"/>
    </xf>
    <xf numFmtId="0" fontId="4" fillId="10" borderId="11" xfId="0" applyFont="1" applyFill="1" applyBorder="1" applyAlignment="1">
      <alignment horizontal="center" vertical="center" wrapText="1" shrinkToFit="1"/>
    </xf>
    <xf numFmtId="0" fontId="4" fillId="10" borderId="40" xfId="0" applyFont="1" applyFill="1" applyBorder="1" applyAlignment="1">
      <alignment horizontal="center" vertical="center" wrapText="1" shrinkToFit="1"/>
    </xf>
    <xf numFmtId="0" fontId="4" fillId="10" borderId="4" xfId="0" applyFont="1" applyFill="1" applyBorder="1" applyAlignment="1">
      <alignment horizontal="center" vertical="center" wrapText="1" shrinkToFit="1"/>
    </xf>
    <xf numFmtId="0" fontId="4" fillId="7" borderId="11" xfId="0" applyFont="1" applyFill="1" applyBorder="1" applyAlignment="1">
      <alignment horizontal="center" vertical="center" wrapText="1" shrinkToFit="1"/>
    </xf>
    <xf numFmtId="0" fontId="4" fillId="7" borderId="40" xfId="0" applyFont="1" applyFill="1" applyBorder="1" applyAlignment="1">
      <alignment horizontal="center" vertical="center" wrapText="1" shrinkToFit="1"/>
    </xf>
    <xf numFmtId="0" fontId="4" fillId="7" borderId="4" xfId="0" applyFont="1" applyFill="1" applyBorder="1" applyAlignment="1">
      <alignment horizontal="center" vertical="center" wrapText="1" shrinkToFit="1"/>
    </xf>
    <xf numFmtId="0" fontId="4" fillId="11" borderId="11" xfId="0" applyFont="1" applyFill="1" applyBorder="1" applyAlignment="1">
      <alignment horizontal="center" vertical="center" wrapText="1" shrinkToFit="1"/>
    </xf>
    <xf numFmtId="0" fontId="4" fillId="11" borderId="40" xfId="0" applyFont="1" applyFill="1" applyBorder="1" applyAlignment="1">
      <alignment horizontal="center" vertical="center" wrapText="1" shrinkToFit="1"/>
    </xf>
    <xf numFmtId="0" fontId="4" fillId="11" borderId="4" xfId="0" applyFont="1" applyFill="1" applyBorder="1" applyAlignment="1">
      <alignment horizontal="center" vertical="center" wrapText="1" shrinkToFit="1"/>
    </xf>
    <xf numFmtId="0" fontId="4" fillId="12" borderId="44" xfId="0" applyFont="1" applyFill="1" applyBorder="1" applyAlignment="1">
      <alignment horizontal="center" vertical="center" wrapText="1" shrinkToFit="1"/>
    </xf>
    <xf numFmtId="0" fontId="4" fillId="12" borderId="46" xfId="0" applyFont="1" applyFill="1" applyBorder="1" applyAlignment="1">
      <alignment horizontal="center" vertical="center" wrapText="1" shrinkToFit="1"/>
    </xf>
    <xf numFmtId="0" fontId="4" fillId="12" borderId="39" xfId="0" applyFont="1" applyFill="1" applyBorder="1" applyAlignment="1">
      <alignment horizontal="center" vertical="center" wrapText="1" shrinkToFit="1"/>
    </xf>
    <xf numFmtId="0" fontId="4" fillId="9" borderId="2" xfId="0" applyFont="1" applyFill="1" applyBorder="1" applyAlignment="1">
      <alignment horizontal="center" vertical="center" shrinkToFit="1"/>
    </xf>
    <xf numFmtId="0" fontId="4" fillId="9" borderId="29" xfId="0" applyFont="1" applyFill="1" applyBorder="1" applyAlignment="1">
      <alignment horizontal="center" vertical="center" shrinkToFit="1"/>
    </xf>
    <xf numFmtId="0" fontId="4" fillId="9" borderId="26" xfId="0" applyFont="1" applyFill="1" applyBorder="1" applyAlignment="1">
      <alignment horizontal="center" vertical="center" shrinkToFit="1"/>
    </xf>
    <xf numFmtId="0" fontId="4" fillId="6" borderId="2" xfId="0" applyFont="1" applyFill="1" applyBorder="1" applyAlignment="1">
      <alignment horizontal="center" vertical="center" shrinkToFit="1"/>
    </xf>
    <xf numFmtId="0" fontId="4" fillId="6" borderId="29" xfId="0" applyFont="1" applyFill="1" applyBorder="1" applyAlignment="1">
      <alignment horizontal="center" vertical="center" shrinkToFit="1"/>
    </xf>
    <xf numFmtId="0" fontId="4" fillId="6" borderId="26" xfId="0" applyFont="1" applyFill="1" applyBorder="1" applyAlignment="1">
      <alignment horizontal="center" vertical="center" shrinkToFit="1"/>
    </xf>
    <xf numFmtId="0" fontId="4" fillId="10" borderId="2" xfId="0" applyFont="1" applyFill="1" applyBorder="1" applyAlignment="1">
      <alignment horizontal="center" vertical="center" shrinkToFit="1"/>
    </xf>
    <xf numFmtId="0" fontId="4" fillId="10" borderId="29" xfId="0" applyFont="1" applyFill="1" applyBorder="1" applyAlignment="1">
      <alignment horizontal="center" vertical="center" shrinkToFit="1"/>
    </xf>
    <xf numFmtId="0" fontId="4" fillId="10" borderId="26" xfId="0" applyFont="1" applyFill="1" applyBorder="1" applyAlignment="1">
      <alignment horizontal="center" vertical="center" shrinkToFit="1"/>
    </xf>
    <xf numFmtId="0" fontId="4" fillId="7" borderId="2" xfId="0" applyFont="1" applyFill="1" applyBorder="1" applyAlignment="1">
      <alignment horizontal="center" vertical="center" shrinkToFit="1"/>
    </xf>
    <xf numFmtId="0" fontId="4" fillId="7" borderId="29" xfId="0" applyFont="1" applyFill="1" applyBorder="1" applyAlignment="1">
      <alignment horizontal="center" vertical="center" shrinkToFit="1"/>
    </xf>
    <xf numFmtId="0" fontId="4" fillId="7" borderId="26" xfId="0" applyFont="1" applyFill="1" applyBorder="1" applyAlignment="1">
      <alignment horizontal="center" vertical="center" shrinkToFit="1"/>
    </xf>
    <xf numFmtId="0" fontId="4" fillId="12" borderId="5" xfId="0" applyFont="1" applyFill="1" applyBorder="1" applyAlignment="1">
      <alignment horizontal="center" vertical="center" shrinkToFit="1"/>
    </xf>
    <xf numFmtId="0" fontId="4" fillId="12" borderId="56" xfId="0" applyFont="1" applyFill="1" applyBorder="1" applyAlignment="1">
      <alignment horizontal="center" vertical="center" shrinkToFit="1"/>
    </xf>
    <xf numFmtId="0" fontId="4" fillId="12" borderId="64" xfId="0" applyFont="1" applyFill="1" applyBorder="1" applyAlignment="1">
      <alignment horizontal="center" vertical="center" shrinkToFit="1"/>
    </xf>
    <xf numFmtId="0" fontId="4" fillId="12" borderId="26" xfId="0" applyFont="1" applyFill="1" applyBorder="1" applyAlignment="1">
      <alignment horizontal="center" vertical="center" shrinkToFit="1"/>
    </xf>
    <xf numFmtId="0" fontId="4" fillId="7" borderId="1" xfId="0" applyFont="1" applyFill="1" applyBorder="1" applyAlignment="1">
      <alignment horizontal="center" vertical="center" shrinkToFit="1"/>
    </xf>
    <xf numFmtId="10" fontId="20" fillId="0" borderId="58" xfId="0" applyNumberFormat="1" applyFont="1" applyBorder="1" applyAlignment="1">
      <alignment horizontal="center" vertical="center" shrinkToFit="1"/>
    </xf>
    <xf numFmtId="10" fontId="20" fillId="0" borderId="43" xfId="0" applyNumberFormat="1" applyFont="1" applyBorder="1" applyAlignment="1">
      <alignment horizontal="center" vertical="center" shrinkToFit="1"/>
    </xf>
    <xf numFmtId="10" fontId="20" fillId="0" borderId="44" xfId="0" applyNumberFormat="1" applyFont="1" applyBorder="1" applyAlignment="1">
      <alignment horizontal="center" vertical="center" shrinkToFit="1"/>
    </xf>
    <xf numFmtId="10" fontId="20" fillId="0" borderId="31" xfId="0" applyNumberFormat="1" applyFont="1" applyBorder="1" applyAlignment="1">
      <alignment horizontal="center" vertical="center" shrinkToFit="1"/>
    </xf>
    <xf numFmtId="10" fontId="20" fillId="0" borderId="0" xfId="0" applyNumberFormat="1" applyFont="1" applyAlignment="1">
      <alignment horizontal="center" vertical="center" shrinkToFit="1"/>
    </xf>
    <xf numFmtId="10" fontId="20" fillId="0" borderId="46" xfId="0" applyNumberFormat="1" applyFont="1" applyBorder="1" applyAlignment="1">
      <alignment horizontal="center" vertical="center" shrinkToFit="1"/>
    </xf>
    <xf numFmtId="10" fontId="20" fillId="0" borderId="21" xfId="0" applyNumberFormat="1" applyFont="1" applyBorder="1" applyAlignment="1">
      <alignment horizontal="center" vertical="center" shrinkToFit="1"/>
    </xf>
    <xf numFmtId="10" fontId="20" fillId="0" borderId="22" xfId="0" applyNumberFormat="1" applyFont="1" applyBorder="1" applyAlignment="1">
      <alignment horizontal="center" vertical="center" shrinkToFit="1"/>
    </xf>
    <xf numFmtId="10" fontId="20" fillId="0" borderId="60" xfId="0" applyNumberFormat="1" applyFont="1" applyBorder="1" applyAlignment="1">
      <alignment horizontal="center" vertical="center" shrinkToFit="1"/>
    </xf>
    <xf numFmtId="180" fontId="20" fillId="0" borderId="58" xfId="0" applyNumberFormat="1" applyFont="1" applyBorder="1" applyAlignment="1">
      <alignment horizontal="center" vertical="center" shrinkToFit="1"/>
    </xf>
    <xf numFmtId="180" fontId="20" fillId="0" borderId="43" xfId="0" applyNumberFormat="1" applyFont="1" applyBorder="1" applyAlignment="1">
      <alignment horizontal="center" vertical="center" shrinkToFit="1"/>
    </xf>
    <xf numFmtId="180" fontId="20" fillId="0" borderId="59" xfId="0" applyNumberFormat="1" applyFont="1" applyBorder="1" applyAlignment="1">
      <alignment horizontal="center" vertical="center" shrinkToFit="1"/>
    </xf>
    <xf numFmtId="180" fontId="20" fillId="0" borderId="31" xfId="0" applyNumberFormat="1" applyFont="1" applyBorder="1" applyAlignment="1">
      <alignment horizontal="center" vertical="center" shrinkToFit="1"/>
    </xf>
    <xf numFmtId="180" fontId="20" fillId="0" borderId="0" xfId="0" applyNumberFormat="1" applyFont="1" applyAlignment="1">
      <alignment horizontal="center" vertical="center" shrinkToFit="1"/>
    </xf>
    <xf numFmtId="180" fontId="20" fillId="0" borderId="32" xfId="0" applyNumberFormat="1" applyFont="1" applyBorder="1" applyAlignment="1">
      <alignment horizontal="center" vertical="center" shrinkToFit="1"/>
    </xf>
    <xf numFmtId="180" fontId="20" fillId="0" borderId="21" xfId="0" applyNumberFormat="1" applyFont="1" applyBorder="1" applyAlignment="1">
      <alignment horizontal="center" vertical="center" shrinkToFit="1"/>
    </xf>
    <xf numFmtId="180" fontId="20" fillId="0" borderId="22" xfId="0" applyNumberFormat="1" applyFont="1" applyBorder="1" applyAlignment="1">
      <alignment horizontal="center" vertical="center" shrinkToFit="1"/>
    </xf>
    <xf numFmtId="180" fontId="20" fillId="0" borderId="23" xfId="0" applyNumberFormat="1" applyFont="1" applyBorder="1" applyAlignment="1">
      <alignment horizontal="center" vertical="center" shrinkToFit="1"/>
    </xf>
    <xf numFmtId="0" fontId="21" fillId="8" borderId="27" xfId="0" applyFont="1" applyFill="1" applyBorder="1" applyAlignment="1">
      <alignment horizontal="center" vertical="center" shrinkToFit="1"/>
    </xf>
    <xf numFmtId="0" fontId="21" fillId="8" borderId="25" xfId="0" applyFont="1" applyFill="1" applyBorder="1" applyAlignment="1">
      <alignment horizontal="center" vertical="center" shrinkToFit="1"/>
    </xf>
    <xf numFmtId="0" fontId="21" fillId="8" borderId="57" xfId="0" applyFont="1" applyFill="1" applyBorder="1" applyAlignment="1">
      <alignment horizontal="center" vertical="center" shrinkToFit="1"/>
    </xf>
    <xf numFmtId="0" fontId="21" fillId="8" borderId="51" xfId="0" applyFont="1" applyFill="1" applyBorder="1" applyAlignment="1">
      <alignment horizontal="center" vertical="center" shrinkToFit="1"/>
    </xf>
    <xf numFmtId="0" fontId="21" fillId="8" borderId="37" xfId="0" applyFont="1" applyFill="1" applyBorder="1" applyAlignment="1">
      <alignment horizontal="center" vertical="center" shrinkToFit="1"/>
    </xf>
    <xf numFmtId="0" fontId="21" fillId="8" borderId="39" xfId="0" applyFont="1" applyFill="1" applyBorder="1" applyAlignment="1">
      <alignment horizontal="center" vertical="center" shrinkToFit="1"/>
    </xf>
    <xf numFmtId="0" fontId="26" fillId="8" borderId="27" xfId="0" applyFont="1" applyFill="1" applyBorder="1" applyAlignment="1">
      <alignment horizontal="center" vertical="center" shrinkToFit="1"/>
    </xf>
    <xf numFmtId="0" fontId="26" fillId="8" borderId="25" xfId="0" applyFont="1" applyFill="1" applyBorder="1" applyAlignment="1">
      <alignment horizontal="center" vertical="center" shrinkToFit="1"/>
    </xf>
    <xf numFmtId="0" fontId="26" fillId="8" borderId="24" xfId="0" applyFont="1" applyFill="1" applyBorder="1" applyAlignment="1">
      <alignment horizontal="center" vertical="center" shrinkToFit="1"/>
    </xf>
    <xf numFmtId="0" fontId="26" fillId="8" borderId="51" xfId="0" applyFont="1" applyFill="1" applyBorder="1" applyAlignment="1">
      <alignment horizontal="center" vertical="center" shrinkToFit="1"/>
    </xf>
    <xf numFmtId="0" fontId="26" fillId="8" borderId="37" xfId="0" applyFont="1" applyFill="1" applyBorder="1" applyAlignment="1">
      <alignment horizontal="center" vertical="center" shrinkToFit="1"/>
    </xf>
    <xf numFmtId="0" fontId="26" fillId="8" borderId="47" xfId="0" applyFont="1" applyFill="1" applyBorder="1" applyAlignment="1">
      <alignment horizontal="center" vertical="center" shrinkToFit="1"/>
    </xf>
    <xf numFmtId="176" fontId="20" fillId="0" borderId="58" xfId="0" applyNumberFormat="1" applyFont="1" applyBorder="1" applyAlignment="1">
      <alignment horizontal="center" vertical="center" shrinkToFit="1"/>
    </xf>
    <xf numFmtId="0" fontId="20" fillId="0" borderId="43" xfId="0" applyFont="1" applyBorder="1" applyAlignment="1">
      <alignment horizontal="center" vertical="center" shrinkToFit="1"/>
    </xf>
    <xf numFmtId="0" fontId="20" fillId="0" borderId="44" xfId="0" applyFont="1" applyBorder="1" applyAlignment="1">
      <alignment horizontal="center" vertical="center" shrinkToFit="1"/>
    </xf>
    <xf numFmtId="0" fontId="20" fillId="0" borderId="31" xfId="0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 shrinkToFit="1"/>
    </xf>
    <xf numFmtId="0" fontId="20" fillId="0" borderId="60" xfId="0" applyFont="1" applyBorder="1" applyAlignment="1">
      <alignment horizontal="center" vertical="center" shrinkToFit="1"/>
    </xf>
    <xf numFmtId="0" fontId="20" fillId="0" borderId="58" xfId="0" applyFont="1" applyBorder="1" applyAlignment="1">
      <alignment horizontal="center" vertical="center" shrinkToFit="1"/>
    </xf>
    <xf numFmtId="0" fontId="20" fillId="0" borderId="59" xfId="0" applyFont="1" applyBorder="1" applyAlignment="1">
      <alignment horizontal="center" vertical="center" shrinkToFit="1"/>
    </xf>
    <xf numFmtId="0" fontId="20" fillId="0" borderId="32" xfId="0" applyFont="1" applyBorder="1" applyAlignment="1">
      <alignment horizontal="center" vertical="center" shrinkToFit="1"/>
    </xf>
    <xf numFmtId="0" fontId="20" fillId="0" borderId="23" xfId="0" applyFont="1" applyBorder="1" applyAlignment="1">
      <alignment horizontal="center" vertical="center" shrinkToFit="1"/>
    </xf>
    <xf numFmtId="0" fontId="9" fillId="8" borderId="1" xfId="0" applyFont="1" applyFill="1" applyBorder="1" applyAlignment="1">
      <alignment horizontal="center" vertical="center" shrinkToFit="1"/>
    </xf>
    <xf numFmtId="0" fontId="4" fillId="9" borderId="1" xfId="0" applyFont="1" applyFill="1" applyBorder="1" applyAlignment="1">
      <alignment horizontal="center" vertical="center" shrinkToFit="1"/>
    </xf>
    <xf numFmtId="0" fontId="18" fillId="8" borderId="1" xfId="0" applyFont="1" applyFill="1" applyBorder="1" applyAlignment="1">
      <alignment horizontal="center" shrinkToFit="1"/>
    </xf>
    <xf numFmtId="176" fontId="4" fillId="9" borderId="1" xfId="0" applyNumberFormat="1" applyFont="1" applyFill="1" applyBorder="1" applyAlignment="1">
      <alignment horizontal="center" vertical="center" shrinkToFit="1"/>
    </xf>
    <xf numFmtId="9" fontId="4" fillId="9" borderId="1" xfId="0" applyNumberFormat="1" applyFont="1" applyFill="1" applyBorder="1" applyAlignment="1">
      <alignment horizontal="center" vertical="center" shrinkToFit="1"/>
    </xf>
    <xf numFmtId="183" fontId="20" fillId="5" borderId="30" xfId="0" applyNumberFormat="1" applyFont="1" applyFill="1" applyBorder="1" applyAlignment="1">
      <alignment horizontal="center" vertical="center" shrinkToFit="1"/>
    </xf>
    <xf numFmtId="183" fontId="20" fillId="5" borderId="43" xfId="0" applyNumberFormat="1" applyFont="1" applyFill="1" applyBorder="1" applyAlignment="1">
      <alignment horizontal="center" vertical="center" shrinkToFit="1"/>
    </xf>
    <xf numFmtId="183" fontId="20" fillId="5" borderId="44" xfId="0" applyNumberFormat="1" applyFont="1" applyFill="1" applyBorder="1" applyAlignment="1">
      <alignment horizontal="center" vertical="center" shrinkToFit="1"/>
    </xf>
    <xf numFmtId="183" fontId="20" fillId="5" borderId="45" xfId="0" applyNumberFormat="1" applyFont="1" applyFill="1" applyBorder="1" applyAlignment="1">
      <alignment horizontal="center" vertical="center" shrinkToFit="1"/>
    </xf>
    <xf numFmtId="183" fontId="20" fillId="5" borderId="0" xfId="0" applyNumberFormat="1" applyFont="1" applyFill="1" applyBorder="1" applyAlignment="1">
      <alignment horizontal="center" vertical="center" shrinkToFit="1"/>
    </xf>
    <xf numFmtId="183" fontId="20" fillId="5" borderId="46" xfId="0" applyNumberFormat="1" applyFont="1" applyFill="1" applyBorder="1" applyAlignment="1">
      <alignment horizontal="center" vertical="center" shrinkToFit="1"/>
    </xf>
    <xf numFmtId="183" fontId="20" fillId="5" borderId="6" xfId="0" applyNumberFormat="1" applyFont="1" applyFill="1" applyBorder="1" applyAlignment="1">
      <alignment horizontal="center" vertical="center" shrinkToFit="1"/>
    </xf>
    <xf numFmtId="183" fontId="20" fillId="5" borderId="37" xfId="0" applyNumberFormat="1" applyFont="1" applyFill="1" applyBorder="1" applyAlignment="1">
      <alignment horizontal="center" vertical="center" shrinkToFit="1"/>
    </xf>
    <xf numFmtId="183" fontId="20" fillId="5" borderId="39" xfId="0" applyNumberFormat="1" applyFont="1" applyFill="1" applyBorder="1" applyAlignment="1">
      <alignment horizontal="center" vertical="center" shrinkToFit="1"/>
    </xf>
    <xf numFmtId="183" fontId="20" fillId="9" borderId="30" xfId="0" applyNumberFormat="1" applyFont="1" applyFill="1" applyBorder="1" applyAlignment="1">
      <alignment horizontal="center" vertical="center" shrinkToFit="1"/>
    </xf>
    <xf numFmtId="183" fontId="20" fillId="9" borderId="43" xfId="0" applyNumberFormat="1" applyFont="1" applyFill="1" applyBorder="1" applyAlignment="1">
      <alignment horizontal="center" vertical="center" shrinkToFit="1"/>
    </xf>
    <xf numFmtId="183" fontId="20" fillId="9" borderId="44" xfId="0" applyNumberFormat="1" applyFont="1" applyFill="1" applyBorder="1" applyAlignment="1">
      <alignment horizontal="center" vertical="center" shrinkToFit="1"/>
    </xf>
    <xf numFmtId="183" fontId="20" fillId="9" borderId="45" xfId="0" applyNumberFormat="1" applyFont="1" applyFill="1" applyBorder="1" applyAlignment="1">
      <alignment horizontal="center" vertical="center" shrinkToFit="1"/>
    </xf>
    <xf numFmtId="183" fontId="20" fillId="9" borderId="0" xfId="0" applyNumberFormat="1" applyFont="1" applyFill="1" applyBorder="1" applyAlignment="1">
      <alignment horizontal="center" vertical="center" shrinkToFit="1"/>
    </xf>
    <xf numFmtId="183" fontId="20" fillId="9" borderId="46" xfId="0" applyNumberFormat="1" applyFont="1" applyFill="1" applyBorder="1" applyAlignment="1">
      <alignment horizontal="center" vertical="center" shrinkToFit="1"/>
    </xf>
    <xf numFmtId="183" fontId="20" fillId="9" borderId="6" xfId="0" applyNumberFormat="1" applyFont="1" applyFill="1" applyBorder="1" applyAlignment="1">
      <alignment horizontal="center" vertical="center" shrinkToFit="1"/>
    </xf>
    <xf numFmtId="183" fontId="20" fillId="9" borderId="37" xfId="0" applyNumberFormat="1" applyFont="1" applyFill="1" applyBorder="1" applyAlignment="1">
      <alignment horizontal="center" vertical="center" shrinkToFit="1"/>
    </xf>
    <xf numFmtId="183" fontId="20" fillId="9" borderId="39" xfId="0" applyNumberFormat="1" applyFont="1" applyFill="1" applyBorder="1" applyAlignment="1">
      <alignment horizontal="center" vertical="center" shrinkToFit="1"/>
    </xf>
    <xf numFmtId="26" fontId="20" fillId="9" borderId="30" xfId="0" applyNumberFormat="1" applyFont="1" applyFill="1" applyBorder="1" applyAlignment="1">
      <alignment horizontal="center" vertical="center" shrinkToFit="1"/>
    </xf>
    <xf numFmtId="26" fontId="20" fillId="9" borderId="43" xfId="0" applyNumberFormat="1" applyFont="1" applyFill="1" applyBorder="1" applyAlignment="1">
      <alignment horizontal="center" vertical="center" shrinkToFit="1"/>
    </xf>
    <xf numFmtId="26" fontId="20" fillId="9" borderId="44" xfId="0" applyNumberFormat="1" applyFont="1" applyFill="1" applyBorder="1" applyAlignment="1">
      <alignment horizontal="center" vertical="center" shrinkToFit="1"/>
    </xf>
    <xf numFmtId="26" fontId="20" fillId="9" borderId="45" xfId="0" applyNumberFormat="1" applyFont="1" applyFill="1" applyBorder="1" applyAlignment="1">
      <alignment horizontal="center" vertical="center" shrinkToFit="1"/>
    </xf>
    <xf numFmtId="26" fontId="20" fillId="9" borderId="0" xfId="0" applyNumberFormat="1" applyFont="1" applyFill="1" applyBorder="1" applyAlignment="1">
      <alignment horizontal="center" vertical="center" shrinkToFit="1"/>
    </xf>
    <xf numFmtId="26" fontId="20" fillId="9" borderId="46" xfId="0" applyNumberFormat="1" applyFont="1" applyFill="1" applyBorder="1" applyAlignment="1">
      <alignment horizontal="center" vertical="center" shrinkToFit="1"/>
    </xf>
    <xf numFmtId="26" fontId="20" fillId="9" borderId="6" xfId="0" applyNumberFormat="1" applyFont="1" applyFill="1" applyBorder="1" applyAlignment="1">
      <alignment horizontal="center" vertical="center" shrinkToFit="1"/>
    </xf>
    <xf numFmtId="26" fontId="20" fillId="9" borderId="37" xfId="0" applyNumberFormat="1" applyFont="1" applyFill="1" applyBorder="1" applyAlignment="1">
      <alignment horizontal="center" vertical="center" shrinkToFit="1"/>
    </xf>
    <xf numFmtId="26" fontId="20" fillId="9" borderId="39" xfId="0" applyNumberFormat="1" applyFont="1" applyFill="1" applyBorder="1" applyAlignment="1">
      <alignment horizontal="center" vertical="center" shrinkToFit="1"/>
    </xf>
    <xf numFmtId="26" fontId="20" fillId="5" borderId="30" xfId="0" applyNumberFormat="1" applyFont="1" applyFill="1" applyBorder="1" applyAlignment="1">
      <alignment horizontal="center" vertical="center" shrinkToFit="1"/>
    </xf>
    <xf numFmtId="26" fontId="20" fillId="5" borderId="43" xfId="0" applyNumberFormat="1" applyFont="1" applyFill="1" applyBorder="1" applyAlignment="1">
      <alignment horizontal="center" vertical="center" shrinkToFit="1"/>
    </xf>
    <xf numFmtId="26" fontId="20" fillId="5" borderId="44" xfId="0" applyNumberFormat="1" applyFont="1" applyFill="1" applyBorder="1" applyAlignment="1">
      <alignment horizontal="center" vertical="center" shrinkToFit="1"/>
    </xf>
    <xf numFmtId="26" fontId="20" fillId="5" borderId="45" xfId="0" applyNumberFormat="1" applyFont="1" applyFill="1" applyBorder="1" applyAlignment="1">
      <alignment horizontal="center" vertical="center" shrinkToFit="1"/>
    </xf>
    <xf numFmtId="26" fontId="20" fillId="5" borderId="0" xfId="0" applyNumberFormat="1" applyFont="1" applyFill="1" applyBorder="1" applyAlignment="1">
      <alignment horizontal="center" vertical="center" shrinkToFit="1"/>
    </xf>
    <xf numFmtId="26" fontId="20" fillId="5" borderId="46" xfId="0" applyNumberFormat="1" applyFont="1" applyFill="1" applyBorder="1" applyAlignment="1">
      <alignment horizontal="center" vertical="center" shrinkToFit="1"/>
    </xf>
    <xf numFmtId="26" fontId="20" fillId="5" borderId="6" xfId="0" applyNumberFormat="1" applyFont="1" applyFill="1" applyBorder="1" applyAlignment="1">
      <alignment horizontal="center" vertical="center" shrinkToFit="1"/>
    </xf>
    <xf numFmtId="26" fontId="20" fillId="5" borderId="37" xfId="0" applyNumberFormat="1" applyFont="1" applyFill="1" applyBorder="1" applyAlignment="1">
      <alignment horizontal="center" vertical="center" shrinkToFit="1"/>
    </xf>
    <xf numFmtId="26" fontId="20" fillId="5" borderId="39" xfId="0" applyNumberFormat="1" applyFont="1" applyFill="1" applyBorder="1" applyAlignment="1">
      <alignment horizontal="center" vertical="center" shrinkToFit="1"/>
    </xf>
    <xf numFmtId="176" fontId="4" fillId="11" borderId="1" xfId="0" applyNumberFormat="1" applyFont="1" applyFill="1" applyBorder="1" applyAlignment="1">
      <alignment horizontal="center" vertical="center" shrinkToFit="1"/>
    </xf>
    <xf numFmtId="26" fontId="20" fillId="10" borderId="30" xfId="0" applyNumberFormat="1" applyFont="1" applyFill="1" applyBorder="1" applyAlignment="1">
      <alignment horizontal="center" vertical="center" shrinkToFit="1"/>
    </xf>
    <xf numFmtId="26" fontId="20" fillId="10" borderId="43" xfId="0" applyNumberFormat="1" applyFont="1" applyFill="1" applyBorder="1" applyAlignment="1">
      <alignment horizontal="center" vertical="center" shrinkToFit="1"/>
    </xf>
    <xf numFmtId="26" fontId="20" fillId="10" borderId="44" xfId="0" applyNumberFormat="1" applyFont="1" applyFill="1" applyBorder="1" applyAlignment="1">
      <alignment horizontal="center" vertical="center" shrinkToFit="1"/>
    </xf>
    <xf numFmtId="26" fontId="20" fillId="10" borderId="45" xfId="0" applyNumberFormat="1" applyFont="1" applyFill="1" applyBorder="1" applyAlignment="1">
      <alignment horizontal="center" vertical="center" shrinkToFit="1"/>
    </xf>
    <xf numFmtId="26" fontId="20" fillId="10" borderId="0" xfId="0" applyNumberFormat="1" applyFont="1" applyFill="1" applyBorder="1" applyAlignment="1">
      <alignment horizontal="center" vertical="center" shrinkToFit="1"/>
    </xf>
    <xf numFmtId="26" fontId="20" fillId="10" borderId="46" xfId="0" applyNumberFormat="1" applyFont="1" applyFill="1" applyBorder="1" applyAlignment="1">
      <alignment horizontal="center" vertical="center" shrinkToFit="1"/>
    </xf>
    <xf numFmtId="26" fontId="20" fillId="10" borderId="6" xfId="0" applyNumberFormat="1" applyFont="1" applyFill="1" applyBorder="1" applyAlignment="1">
      <alignment horizontal="center" vertical="center" shrinkToFit="1"/>
    </xf>
    <xf numFmtId="26" fontId="20" fillId="10" borderId="37" xfId="0" applyNumberFormat="1" applyFont="1" applyFill="1" applyBorder="1" applyAlignment="1">
      <alignment horizontal="center" vertical="center" shrinkToFit="1"/>
    </xf>
    <xf numFmtId="26" fontId="20" fillId="10" borderId="39" xfId="0" applyNumberFormat="1" applyFont="1" applyFill="1" applyBorder="1" applyAlignment="1">
      <alignment horizontal="center" vertical="center" shrinkToFit="1"/>
    </xf>
    <xf numFmtId="183" fontId="20" fillId="10" borderId="30" xfId="0" applyNumberFormat="1" applyFont="1" applyFill="1" applyBorder="1" applyAlignment="1">
      <alignment horizontal="center" vertical="center" shrinkToFit="1"/>
    </xf>
    <xf numFmtId="183" fontId="20" fillId="10" borderId="43" xfId="0" applyNumberFormat="1" applyFont="1" applyFill="1" applyBorder="1" applyAlignment="1">
      <alignment horizontal="center" vertical="center" shrinkToFit="1"/>
    </xf>
    <xf numFmtId="183" fontId="20" fillId="10" borderId="44" xfId="0" applyNumberFormat="1" applyFont="1" applyFill="1" applyBorder="1" applyAlignment="1">
      <alignment horizontal="center" vertical="center" shrinkToFit="1"/>
    </xf>
    <xf numFmtId="183" fontId="20" fillId="10" borderId="45" xfId="0" applyNumberFormat="1" applyFont="1" applyFill="1" applyBorder="1" applyAlignment="1">
      <alignment horizontal="center" vertical="center" shrinkToFit="1"/>
    </xf>
    <xf numFmtId="183" fontId="20" fillId="10" borderId="0" xfId="0" applyNumberFormat="1" applyFont="1" applyFill="1" applyBorder="1" applyAlignment="1">
      <alignment horizontal="center" vertical="center" shrinkToFit="1"/>
    </xf>
    <xf numFmtId="183" fontId="20" fillId="10" borderId="46" xfId="0" applyNumberFormat="1" applyFont="1" applyFill="1" applyBorder="1" applyAlignment="1">
      <alignment horizontal="center" vertical="center" shrinkToFit="1"/>
    </xf>
    <xf numFmtId="183" fontId="20" fillId="10" borderId="6" xfId="0" applyNumberFormat="1" applyFont="1" applyFill="1" applyBorder="1" applyAlignment="1">
      <alignment horizontal="center" vertical="center" shrinkToFit="1"/>
    </xf>
    <xf numFmtId="183" fontId="20" fillId="10" borderId="37" xfId="0" applyNumberFormat="1" applyFont="1" applyFill="1" applyBorder="1" applyAlignment="1">
      <alignment horizontal="center" vertical="center" shrinkToFit="1"/>
    </xf>
    <xf numFmtId="183" fontId="20" fillId="10" borderId="39" xfId="0" applyNumberFormat="1" applyFont="1" applyFill="1" applyBorder="1" applyAlignment="1">
      <alignment horizontal="center" vertical="center" shrinkToFit="1"/>
    </xf>
    <xf numFmtId="176" fontId="4" fillId="9" borderId="2" xfId="0" applyNumberFormat="1" applyFont="1" applyFill="1" applyBorder="1" applyAlignment="1">
      <alignment horizontal="center" vertical="center" shrinkToFit="1"/>
    </xf>
    <xf numFmtId="176" fontId="4" fillId="9" borderId="29" xfId="0" applyNumberFormat="1" applyFont="1" applyFill="1" applyBorder="1" applyAlignment="1">
      <alignment horizontal="center" vertical="center" shrinkToFit="1"/>
    </xf>
    <xf numFmtId="176" fontId="4" fillId="9" borderId="26" xfId="0" applyNumberFormat="1" applyFont="1" applyFill="1" applyBorder="1" applyAlignment="1">
      <alignment horizontal="center" vertical="center" shrinkToFit="1"/>
    </xf>
    <xf numFmtId="9" fontId="4" fillId="9" borderId="2" xfId="0" applyNumberFormat="1" applyFont="1" applyFill="1" applyBorder="1" applyAlignment="1">
      <alignment horizontal="center" vertical="center" shrinkToFit="1"/>
    </xf>
    <xf numFmtId="9" fontId="4" fillId="9" borderId="29" xfId="0" applyNumberFormat="1" applyFont="1" applyFill="1" applyBorder="1" applyAlignment="1">
      <alignment horizontal="center" vertical="center" shrinkToFit="1"/>
    </xf>
    <xf numFmtId="9" fontId="4" fillId="9" borderId="26" xfId="0" applyNumberFormat="1" applyFont="1" applyFill="1" applyBorder="1" applyAlignment="1">
      <alignment horizontal="center" vertical="center" shrinkToFit="1"/>
    </xf>
    <xf numFmtId="176" fontId="4" fillId="6" borderId="2" xfId="0" applyNumberFormat="1" applyFont="1" applyFill="1" applyBorder="1" applyAlignment="1">
      <alignment horizontal="center" vertical="center" shrinkToFit="1"/>
    </xf>
    <xf numFmtId="176" fontId="4" fillId="6" borderId="29" xfId="0" applyNumberFormat="1" applyFont="1" applyFill="1" applyBorder="1" applyAlignment="1">
      <alignment horizontal="center" vertical="center" shrinkToFit="1"/>
    </xf>
    <xf numFmtId="176" fontId="4" fillId="6" borderId="26" xfId="0" applyNumberFormat="1" applyFont="1" applyFill="1" applyBorder="1" applyAlignment="1">
      <alignment horizontal="center" vertical="center" shrinkToFit="1"/>
    </xf>
    <xf numFmtId="9" fontId="4" fillId="6" borderId="2" xfId="0" applyNumberFormat="1" applyFont="1" applyFill="1" applyBorder="1" applyAlignment="1">
      <alignment horizontal="center" vertical="center" shrinkToFit="1"/>
    </xf>
    <xf numFmtId="9" fontId="4" fillId="6" borderId="29" xfId="0" applyNumberFormat="1" applyFont="1" applyFill="1" applyBorder="1" applyAlignment="1">
      <alignment horizontal="center" vertical="center" shrinkToFit="1"/>
    </xf>
    <xf numFmtId="9" fontId="4" fillId="6" borderId="26" xfId="0" applyNumberFormat="1" applyFont="1" applyFill="1" applyBorder="1" applyAlignment="1">
      <alignment horizontal="center" vertical="center" shrinkToFit="1"/>
    </xf>
    <xf numFmtId="0" fontId="19" fillId="9" borderId="30" xfId="0" applyFont="1" applyFill="1" applyBorder="1" applyAlignment="1">
      <alignment horizontal="center" vertical="center" shrinkToFit="1"/>
    </xf>
    <xf numFmtId="0" fontId="19" fillId="9" borderId="43" xfId="0" applyFont="1" applyFill="1" applyBorder="1" applyAlignment="1">
      <alignment horizontal="center" vertical="center" shrinkToFit="1"/>
    </xf>
    <xf numFmtId="0" fontId="19" fillId="9" borderId="44" xfId="0" applyFont="1" applyFill="1" applyBorder="1" applyAlignment="1">
      <alignment horizontal="center" vertical="center" shrinkToFit="1"/>
    </xf>
    <xf numFmtId="0" fontId="19" fillId="9" borderId="45" xfId="0" applyFont="1" applyFill="1" applyBorder="1" applyAlignment="1">
      <alignment horizontal="center" vertical="center" shrinkToFit="1"/>
    </xf>
    <xf numFmtId="0" fontId="19" fillId="9" borderId="0" xfId="0" applyFont="1" applyFill="1" applyBorder="1" applyAlignment="1">
      <alignment horizontal="center" vertical="center" shrinkToFit="1"/>
    </xf>
    <xf numFmtId="0" fontId="19" fillId="9" borderId="46" xfId="0" applyFont="1" applyFill="1" applyBorder="1" applyAlignment="1">
      <alignment horizontal="center" vertical="center" shrinkToFit="1"/>
    </xf>
    <xf numFmtId="0" fontId="19" fillId="9" borderId="6" xfId="0" applyFont="1" applyFill="1" applyBorder="1" applyAlignment="1">
      <alignment horizontal="center" vertical="center" shrinkToFit="1"/>
    </xf>
    <xf numFmtId="0" fontId="19" fillId="9" borderId="37" xfId="0" applyFont="1" applyFill="1" applyBorder="1" applyAlignment="1">
      <alignment horizontal="center" vertical="center" shrinkToFit="1"/>
    </xf>
    <xf numFmtId="0" fontId="19" fillId="9" borderId="39" xfId="0" applyFont="1" applyFill="1" applyBorder="1" applyAlignment="1">
      <alignment horizontal="center" vertical="center" shrinkToFit="1"/>
    </xf>
    <xf numFmtId="0" fontId="19" fillId="6" borderId="30" xfId="0" applyFont="1" applyFill="1" applyBorder="1" applyAlignment="1">
      <alignment horizontal="center" vertical="center" shrinkToFit="1"/>
    </xf>
    <xf numFmtId="0" fontId="19" fillId="6" borderId="43" xfId="0" applyFont="1" applyFill="1" applyBorder="1" applyAlignment="1">
      <alignment horizontal="center" vertical="center" shrinkToFit="1"/>
    </xf>
    <xf numFmtId="0" fontId="19" fillId="6" borderId="44" xfId="0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Border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6" borderId="6" xfId="0" applyFont="1" applyFill="1" applyBorder="1" applyAlignment="1">
      <alignment horizontal="center" vertical="center" shrinkToFit="1"/>
    </xf>
    <xf numFmtId="0" fontId="19" fillId="6" borderId="37" xfId="0" applyFont="1" applyFill="1" applyBorder="1" applyAlignment="1">
      <alignment horizontal="center" vertical="center" shrinkToFit="1"/>
    </xf>
    <xf numFmtId="0" fontId="19" fillId="6" borderId="39" xfId="0" applyFont="1" applyFill="1" applyBorder="1" applyAlignment="1">
      <alignment horizontal="center" vertical="center" shrinkToFit="1"/>
    </xf>
    <xf numFmtId="0" fontId="19" fillId="11" borderId="30" xfId="0" applyFont="1" applyFill="1" applyBorder="1" applyAlignment="1">
      <alignment horizontal="center" vertical="center" shrinkToFit="1"/>
    </xf>
    <xf numFmtId="0" fontId="19" fillId="11" borderId="43" xfId="0" applyFont="1" applyFill="1" applyBorder="1" applyAlignment="1">
      <alignment horizontal="center" vertical="center" shrinkToFit="1"/>
    </xf>
    <xf numFmtId="0" fontId="19" fillId="11" borderId="44" xfId="0" applyFont="1" applyFill="1" applyBorder="1" applyAlignment="1">
      <alignment horizontal="center" vertical="center" shrinkToFit="1"/>
    </xf>
    <xf numFmtId="0" fontId="19" fillId="11" borderId="45" xfId="0" applyFont="1" applyFill="1" applyBorder="1" applyAlignment="1">
      <alignment horizontal="center" vertical="center" shrinkToFit="1"/>
    </xf>
    <xf numFmtId="0" fontId="19" fillId="11" borderId="0" xfId="0" applyFont="1" applyFill="1" applyBorder="1" applyAlignment="1">
      <alignment horizontal="center" vertical="center" shrinkToFit="1"/>
    </xf>
    <xf numFmtId="0" fontId="19" fillId="11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9" fontId="4" fillId="11" borderId="2" xfId="0" applyNumberFormat="1" applyFont="1" applyFill="1" applyBorder="1" applyAlignment="1">
      <alignment horizontal="center" vertical="center" shrinkToFit="1"/>
    </xf>
    <xf numFmtId="9" fontId="4" fillId="11" borderId="29" xfId="0" applyNumberFormat="1" applyFont="1" applyFill="1" applyBorder="1" applyAlignment="1">
      <alignment horizontal="center" vertical="center" shrinkToFit="1"/>
    </xf>
    <xf numFmtId="9" fontId="4" fillId="11" borderId="26" xfId="0" applyNumberFormat="1" applyFont="1" applyFill="1" applyBorder="1" applyAlignment="1">
      <alignment horizontal="center" vertical="center" shrinkToFit="1"/>
    </xf>
    <xf numFmtId="0" fontId="19" fillId="5" borderId="30" xfId="0" applyFont="1" applyFill="1" applyBorder="1" applyAlignment="1">
      <alignment horizontal="center" vertical="center" shrinkToFit="1"/>
    </xf>
    <xf numFmtId="0" fontId="19" fillId="5" borderId="43" xfId="0" applyFont="1" applyFill="1" applyBorder="1" applyAlignment="1">
      <alignment horizontal="center" vertical="center" shrinkToFit="1"/>
    </xf>
    <xf numFmtId="0" fontId="19" fillId="5" borderId="44" xfId="0" applyFont="1" applyFill="1" applyBorder="1" applyAlignment="1">
      <alignment horizontal="center" vertical="center" shrinkToFit="1"/>
    </xf>
    <xf numFmtId="0" fontId="19" fillId="5" borderId="45" xfId="0" applyFont="1" applyFill="1" applyBorder="1" applyAlignment="1">
      <alignment horizontal="center" vertical="center" shrinkToFit="1"/>
    </xf>
    <xf numFmtId="0" fontId="19" fillId="5" borderId="0" xfId="0" applyFont="1" applyFill="1" applyBorder="1" applyAlignment="1">
      <alignment horizontal="center" vertical="center" shrinkToFit="1"/>
    </xf>
    <xf numFmtId="0" fontId="19" fillId="5" borderId="46" xfId="0" applyFont="1" applyFill="1" applyBorder="1" applyAlignment="1">
      <alignment horizontal="center" vertical="center" shrinkToFit="1"/>
    </xf>
    <xf numFmtId="0" fontId="19" fillId="5" borderId="6" xfId="0" applyFont="1" applyFill="1" applyBorder="1" applyAlignment="1">
      <alignment horizontal="center" vertical="center" shrinkToFit="1"/>
    </xf>
    <xf numFmtId="0" fontId="19" fillId="5" borderId="37" xfId="0" applyFont="1" applyFill="1" applyBorder="1" applyAlignment="1">
      <alignment horizontal="center" vertical="center" shrinkToFit="1"/>
    </xf>
    <xf numFmtId="0" fontId="19" fillId="5" borderId="39" xfId="0" applyFont="1" applyFill="1" applyBorder="1" applyAlignment="1">
      <alignment horizontal="center" vertical="center" shrinkToFit="1"/>
    </xf>
    <xf numFmtId="0" fontId="19" fillId="10" borderId="30" xfId="0" applyFont="1" applyFill="1" applyBorder="1" applyAlignment="1">
      <alignment horizontal="center" vertical="center" shrinkToFit="1"/>
    </xf>
    <xf numFmtId="0" fontId="19" fillId="10" borderId="43" xfId="0" applyFont="1" applyFill="1" applyBorder="1" applyAlignment="1">
      <alignment horizontal="center" vertical="center" shrinkToFit="1"/>
    </xf>
    <xf numFmtId="0" fontId="19" fillId="10" borderId="44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Border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10" borderId="6" xfId="0" applyFont="1" applyFill="1" applyBorder="1" applyAlignment="1">
      <alignment horizontal="center" vertical="center" shrinkToFit="1"/>
    </xf>
    <xf numFmtId="0" fontId="19" fillId="10" borderId="37" xfId="0" applyFont="1" applyFill="1" applyBorder="1" applyAlignment="1">
      <alignment horizontal="center" vertical="center" shrinkToFit="1"/>
    </xf>
    <xf numFmtId="0" fontId="19" fillId="10" borderId="39" xfId="0" applyFont="1" applyFill="1" applyBorder="1" applyAlignment="1">
      <alignment horizontal="center" vertical="center" shrinkToFit="1"/>
    </xf>
    <xf numFmtId="0" fontId="27" fillId="9" borderId="2" xfId="0" applyFont="1" applyFill="1" applyBorder="1" applyAlignment="1">
      <alignment horizontal="center" vertical="center" shrinkToFit="1"/>
    </xf>
    <xf numFmtId="0" fontId="27" fillId="9" borderId="29" xfId="0" applyFont="1" applyFill="1" applyBorder="1" applyAlignment="1">
      <alignment horizontal="center" vertical="center" shrinkToFit="1"/>
    </xf>
    <xf numFmtId="0" fontId="27" fillId="9" borderId="26" xfId="0" applyFont="1" applyFill="1" applyBorder="1" applyAlignment="1">
      <alignment horizontal="center" vertical="center" shrinkToFit="1"/>
    </xf>
    <xf numFmtId="0" fontId="19" fillId="9" borderId="2" xfId="0" applyFont="1" applyFill="1" applyBorder="1" applyAlignment="1">
      <alignment horizontal="center" vertical="center" shrinkToFit="1"/>
    </xf>
    <xf numFmtId="0" fontId="19" fillId="9" borderId="29" xfId="0" applyFont="1" applyFill="1" applyBorder="1" applyAlignment="1">
      <alignment horizontal="center" vertical="center" shrinkToFit="1"/>
    </xf>
    <xf numFmtId="0" fontId="19" fillId="9" borderId="26" xfId="0" applyFont="1" applyFill="1" applyBorder="1" applyAlignment="1">
      <alignment horizontal="center" vertical="center" shrinkToFit="1"/>
    </xf>
    <xf numFmtId="0" fontId="27" fillId="6" borderId="2" xfId="0" applyFont="1" applyFill="1" applyBorder="1" applyAlignment="1">
      <alignment horizontal="center" vertical="center" shrinkToFit="1"/>
    </xf>
    <xf numFmtId="0" fontId="27" fillId="6" borderId="29" xfId="0" applyFont="1" applyFill="1" applyBorder="1" applyAlignment="1">
      <alignment horizontal="center" vertical="center" shrinkToFit="1"/>
    </xf>
    <xf numFmtId="0" fontId="27" fillId="6" borderId="26" xfId="0" applyFont="1" applyFill="1" applyBorder="1" applyAlignment="1">
      <alignment horizontal="center" vertical="center" shrinkToFit="1"/>
    </xf>
    <xf numFmtId="176" fontId="4" fillId="10" borderId="2" xfId="0" applyNumberFormat="1" applyFont="1" applyFill="1" applyBorder="1" applyAlignment="1">
      <alignment horizontal="center" vertical="center" shrinkToFit="1"/>
    </xf>
    <xf numFmtId="176" fontId="4" fillId="10" borderId="29" xfId="0" applyNumberFormat="1" applyFont="1" applyFill="1" applyBorder="1" applyAlignment="1">
      <alignment horizontal="center" vertical="center" shrinkToFit="1"/>
    </xf>
    <xf numFmtId="176" fontId="4" fillId="10" borderId="26" xfId="0" applyNumberFormat="1" applyFont="1" applyFill="1" applyBorder="1" applyAlignment="1">
      <alignment horizontal="center" vertical="center" shrinkToFit="1"/>
    </xf>
    <xf numFmtId="183" fontId="20" fillId="7" borderId="30" xfId="0" applyNumberFormat="1" applyFont="1" applyFill="1" applyBorder="1" applyAlignment="1">
      <alignment horizontal="center" vertical="center" shrinkToFit="1"/>
    </xf>
    <xf numFmtId="183" fontId="20" fillId="7" borderId="43" xfId="0" applyNumberFormat="1" applyFont="1" applyFill="1" applyBorder="1" applyAlignment="1">
      <alignment horizontal="center" vertical="center" shrinkToFit="1"/>
    </xf>
    <xf numFmtId="183" fontId="20" fillId="7" borderId="44" xfId="0" applyNumberFormat="1" applyFont="1" applyFill="1" applyBorder="1" applyAlignment="1">
      <alignment horizontal="center" vertical="center" shrinkToFit="1"/>
    </xf>
    <xf numFmtId="183" fontId="20" fillId="7" borderId="45" xfId="0" applyNumberFormat="1" applyFont="1" applyFill="1" applyBorder="1" applyAlignment="1">
      <alignment horizontal="center" vertical="center" shrinkToFit="1"/>
    </xf>
    <xf numFmtId="183" fontId="20" fillId="7" borderId="0" xfId="0" applyNumberFormat="1" applyFont="1" applyFill="1" applyBorder="1" applyAlignment="1">
      <alignment horizontal="center" vertical="center" shrinkToFit="1"/>
    </xf>
    <xf numFmtId="183" fontId="20" fillId="7" borderId="46" xfId="0" applyNumberFormat="1" applyFont="1" applyFill="1" applyBorder="1" applyAlignment="1">
      <alignment horizontal="center" vertical="center" shrinkToFit="1"/>
    </xf>
    <xf numFmtId="183" fontId="20" fillId="7" borderId="6" xfId="0" applyNumberFormat="1" applyFont="1" applyFill="1" applyBorder="1" applyAlignment="1">
      <alignment horizontal="center" vertical="center" shrinkToFit="1"/>
    </xf>
    <xf numFmtId="183" fontId="20" fillId="7" borderId="37" xfId="0" applyNumberFormat="1" applyFont="1" applyFill="1" applyBorder="1" applyAlignment="1">
      <alignment horizontal="center" vertical="center" shrinkToFit="1"/>
    </xf>
    <xf numFmtId="183" fontId="20" fillId="7" borderId="39" xfId="0" applyNumberFormat="1" applyFont="1" applyFill="1" applyBorder="1" applyAlignment="1">
      <alignment horizontal="center" vertical="center" shrinkToFit="1"/>
    </xf>
    <xf numFmtId="9" fontId="4" fillId="10" borderId="2" xfId="0" applyNumberFormat="1" applyFont="1" applyFill="1" applyBorder="1" applyAlignment="1">
      <alignment horizontal="center" vertical="center" shrinkToFit="1"/>
    </xf>
    <xf numFmtId="9" fontId="4" fillId="10" borderId="29" xfId="0" applyNumberFormat="1" applyFont="1" applyFill="1" applyBorder="1" applyAlignment="1">
      <alignment horizontal="center" vertical="center" shrinkToFit="1"/>
    </xf>
    <xf numFmtId="9" fontId="4" fillId="10" borderId="26" xfId="0" applyNumberFormat="1" applyFont="1" applyFill="1" applyBorder="1" applyAlignment="1">
      <alignment horizontal="center" vertical="center" shrinkToFit="1"/>
    </xf>
    <xf numFmtId="0" fontId="19" fillId="12" borderId="5" xfId="0" applyFont="1" applyFill="1" applyBorder="1" applyAlignment="1">
      <alignment horizontal="center" vertical="center" shrinkToFit="1"/>
    </xf>
    <xf numFmtId="0" fontId="19" fillId="12" borderId="56" xfId="0" applyFont="1" applyFill="1" applyBorder="1" applyAlignment="1">
      <alignment horizontal="center" vertical="center" shrinkToFit="1"/>
    </xf>
    <xf numFmtId="0" fontId="19" fillId="12" borderId="64" xfId="0" applyFont="1" applyFill="1" applyBorder="1" applyAlignment="1">
      <alignment horizontal="center" vertical="center" shrinkToFit="1"/>
    </xf>
    <xf numFmtId="0" fontId="19" fillId="12" borderId="1" xfId="0" applyFont="1" applyFill="1" applyBorder="1" applyAlignment="1">
      <alignment horizontal="center" vertical="center" shrinkToFit="1"/>
    </xf>
    <xf numFmtId="0" fontId="27" fillId="10" borderId="2" xfId="0" applyFont="1" applyFill="1" applyBorder="1" applyAlignment="1">
      <alignment horizontal="center" vertical="center" shrinkToFit="1"/>
    </xf>
    <xf numFmtId="0" fontId="27" fillId="10" borderId="29" xfId="0" applyFont="1" applyFill="1" applyBorder="1" applyAlignment="1">
      <alignment horizontal="center" vertical="center" shrinkToFit="1"/>
    </xf>
    <xf numFmtId="0" fontId="27" fillId="10" borderId="26" xfId="0" applyFont="1" applyFill="1" applyBorder="1" applyAlignment="1">
      <alignment horizontal="center" vertical="center" shrinkToFit="1"/>
    </xf>
    <xf numFmtId="0" fontId="27" fillId="7" borderId="2" xfId="0" applyFont="1" applyFill="1" applyBorder="1" applyAlignment="1">
      <alignment horizontal="center" vertical="center" shrinkToFit="1"/>
    </xf>
    <xf numFmtId="0" fontId="27" fillId="7" borderId="29" xfId="0" applyFont="1" applyFill="1" applyBorder="1" applyAlignment="1">
      <alignment horizontal="center" vertical="center" shrinkToFit="1"/>
    </xf>
    <xf numFmtId="0" fontId="27" fillId="7" borderId="26" xfId="0" applyFont="1" applyFill="1" applyBorder="1" applyAlignment="1">
      <alignment horizontal="center" vertical="center" shrinkToFit="1"/>
    </xf>
    <xf numFmtId="26" fontId="20" fillId="7" borderId="30" xfId="0" applyNumberFormat="1" applyFont="1" applyFill="1" applyBorder="1" applyAlignment="1">
      <alignment horizontal="center" vertical="center" shrinkToFit="1"/>
    </xf>
    <xf numFmtId="26" fontId="20" fillId="7" borderId="43" xfId="0" applyNumberFormat="1" applyFont="1" applyFill="1" applyBorder="1" applyAlignment="1">
      <alignment horizontal="center" vertical="center" shrinkToFit="1"/>
    </xf>
    <xf numFmtId="26" fontId="20" fillId="7" borderId="44" xfId="0" applyNumberFormat="1" applyFont="1" applyFill="1" applyBorder="1" applyAlignment="1">
      <alignment horizontal="center" vertical="center" shrinkToFit="1"/>
    </xf>
    <xf numFmtId="26" fontId="20" fillId="7" borderId="45" xfId="0" applyNumberFormat="1" applyFont="1" applyFill="1" applyBorder="1" applyAlignment="1">
      <alignment horizontal="center" vertical="center" shrinkToFit="1"/>
    </xf>
    <xf numFmtId="26" fontId="20" fillId="7" borderId="0" xfId="0" applyNumberFormat="1" applyFont="1" applyFill="1" applyBorder="1" applyAlignment="1">
      <alignment horizontal="center" vertical="center" shrinkToFit="1"/>
    </xf>
    <xf numFmtId="26" fontId="20" fillId="7" borderId="46" xfId="0" applyNumberFormat="1" applyFont="1" applyFill="1" applyBorder="1" applyAlignment="1">
      <alignment horizontal="center" vertical="center" shrinkToFit="1"/>
    </xf>
    <xf numFmtId="26" fontId="20" fillId="7" borderId="6" xfId="0" applyNumberFormat="1" applyFont="1" applyFill="1" applyBorder="1" applyAlignment="1">
      <alignment horizontal="center" vertical="center" shrinkToFit="1"/>
    </xf>
    <xf numFmtId="26" fontId="20" fillId="7" borderId="37" xfId="0" applyNumberFormat="1" applyFont="1" applyFill="1" applyBorder="1" applyAlignment="1">
      <alignment horizontal="center" vertical="center" shrinkToFit="1"/>
    </xf>
    <xf numFmtId="26" fontId="20" fillId="7" borderId="39" xfId="0" applyNumberFormat="1" applyFont="1" applyFill="1" applyBorder="1" applyAlignment="1">
      <alignment horizontal="center" vertical="center" shrinkToFit="1"/>
    </xf>
    <xf numFmtId="26" fontId="20" fillId="11" borderId="30" xfId="0" applyNumberFormat="1" applyFont="1" applyFill="1" applyBorder="1" applyAlignment="1">
      <alignment horizontal="center" vertical="center" shrinkToFit="1"/>
    </xf>
    <xf numFmtId="26" fontId="20" fillId="11" borderId="43" xfId="0" applyNumberFormat="1" applyFont="1" applyFill="1" applyBorder="1" applyAlignment="1">
      <alignment horizontal="center" vertical="center" shrinkToFit="1"/>
    </xf>
    <xf numFmtId="26" fontId="20" fillId="11" borderId="44" xfId="0" applyNumberFormat="1" applyFont="1" applyFill="1" applyBorder="1" applyAlignment="1">
      <alignment horizontal="center" vertical="center" shrinkToFit="1"/>
    </xf>
    <xf numFmtId="26" fontId="20" fillId="11" borderId="45" xfId="0" applyNumberFormat="1" applyFont="1" applyFill="1" applyBorder="1" applyAlignment="1">
      <alignment horizontal="center" vertical="center" shrinkToFit="1"/>
    </xf>
    <xf numFmtId="26" fontId="20" fillId="11" borderId="0" xfId="0" applyNumberFormat="1" applyFont="1" applyFill="1" applyBorder="1" applyAlignment="1">
      <alignment horizontal="center" vertical="center" shrinkToFit="1"/>
    </xf>
    <xf numFmtId="26" fontId="20" fillId="11" borderId="46" xfId="0" applyNumberFormat="1" applyFont="1" applyFill="1" applyBorder="1" applyAlignment="1">
      <alignment horizontal="center" vertical="center" shrinkToFit="1"/>
    </xf>
    <xf numFmtId="26" fontId="20" fillId="11" borderId="6" xfId="0" applyNumberFormat="1" applyFont="1" applyFill="1" applyBorder="1" applyAlignment="1">
      <alignment horizontal="center" vertical="center" shrinkToFit="1"/>
    </xf>
    <xf numFmtId="26" fontId="20" fillId="11" borderId="37" xfId="0" applyNumberFormat="1" applyFont="1" applyFill="1" applyBorder="1" applyAlignment="1">
      <alignment horizontal="center" vertical="center" shrinkToFit="1"/>
    </xf>
    <xf numFmtId="26" fontId="20" fillId="11" borderId="39" xfId="0" applyNumberFormat="1" applyFont="1" applyFill="1" applyBorder="1" applyAlignment="1">
      <alignment horizontal="center" vertical="center" shrinkToFit="1"/>
    </xf>
    <xf numFmtId="183" fontId="20" fillId="11" borderId="30" xfId="0" applyNumberFormat="1" applyFont="1" applyFill="1" applyBorder="1" applyAlignment="1">
      <alignment horizontal="center" vertical="center" shrinkToFit="1"/>
    </xf>
    <xf numFmtId="183" fontId="20" fillId="11" borderId="43" xfId="0" applyNumberFormat="1" applyFont="1" applyFill="1" applyBorder="1" applyAlignment="1">
      <alignment horizontal="center" vertical="center" shrinkToFit="1"/>
    </xf>
    <xf numFmtId="183" fontId="20" fillId="11" borderId="44" xfId="0" applyNumberFormat="1" applyFont="1" applyFill="1" applyBorder="1" applyAlignment="1">
      <alignment horizontal="center" vertical="center" shrinkToFit="1"/>
    </xf>
    <xf numFmtId="183" fontId="20" fillId="11" borderId="45" xfId="0" applyNumberFormat="1" applyFont="1" applyFill="1" applyBorder="1" applyAlignment="1">
      <alignment horizontal="center" vertical="center" shrinkToFit="1"/>
    </xf>
    <xf numFmtId="183" fontId="20" fillId="11" borderId="0" xfId="0" applyNumberFormat="1" applyFont="1" applyFill="1" applyBorder="1" applyAlignment="1">
      <alignment horizontal="center" vertical="center" shrinkToFit="1"/>
    </xf>
    <xf numFmtId="183" fontId="20" fillId="11" borderId="46" xfId="0" applyNumberFormat="1" applyFont="1" applyFill="1" applyBorder="1" applyAlignment="1">
      <alignment horizontal="center" vertical="center" shrinkToFit="1"/>
    </xf>
    <xf numFmtId="183" fontId="20" fillId="11" borderId="6" xfId="0" applyNumberFormat="1" applyFont="1" applyFill="1" applyBorder="1" applyAlignment="1">
      <alignment horizontal="center" vertical="center" shrinkToFit="1"/>
    </xf>
    <xf numFmtId="183" fontId="20" fillId="11" borderId="37" xfId="0" applyNumberFormat="1" applyFont="1" applyFill="1" applyBorder="1" applyAlignment="1">
      <alignment horizontal="center" vertical="center" shrinkToFit="1"/>
    </xf>
    <xf numFmtId="183" fontId="20" fillId="11" borderId="39" xfId="0" applyNumberFormat="1" applyFont="1" applyFill="1" applyBorder="1" applyAlignment="1">
      <alignment horizontal="center" vertical="center" shrinkToFit="1"/>
    </xf>
    <xf numFmtId="176" fontId="4" fillId="7" borderId="2" xfId="0" applyNumberFormat="1" applyFont="1" applyFill="1" applyBorder="1" applyAlignment="1">
      <alignment horizontal="center" vertical="center" shrinkToFit="1"/>
    </xf>
    <xf numFmtId="176" fontId="4" fillId="7" borderId="29" xfId="0" applyNumberFormat="1" applyFont="1" applyFill="1" applyBorder="1" applyAlignment="1">
      <alignment horizontal="center" vertical="center" shrinkToFit="1"/>
    </xf>
    <xf numFmtId="176" fontId="4" fillId="7" borderId="26" xfId="0" applyNumberFormat="1" applyFont="1" applyFill="1" applyBorder="1" applyAlignment="1">
      <alignment horizontal="center" vertical="center" shrinkToFit="1"/>
    </xf>
    <xf numFmtId="9" fontId="4" fillId="7" borderId="2" xfId="0" applyNumberFormat="1" applyFont="1" applyFill="1" applyBorder="1" applyAlignment="1">
      <alignment horizontal="center" vertical="center" shrinkToFit="1"/>
    </xf>
    <xf numFmtId="9" fontId="4" fillId="7" borderId="29" xfId="0" applyNumberFormat="1" applyFont="1" applyFill="1" applyBorder="1" applyAlignment="1">
      <alignment horizontal="center" vertical="center" shrinkToFit="1"/>
    </xf>
    <xf numFmtId="9" fontId="4" fillId="7" borderId="26" xfId="0" applyNumberFormat="1" applyFont="1" applyFill="1" applyBorder="1" applyAlignment="1">
      <alignment horizontal="center" vertical="center" shrinkToFit="1"/>
    </xf>
    <xf numFmtId="0" fontId="19" fillId="7" borderId="30" xfId="0" applyFont="1" applyFill="1" applyBorder="1" applyAlignment="1">
      <alignment horizontal="center" vertical="center" shrinkToFit="1"/>
    </xf>
    <xf numFmtId="0" fontId="19" fillId="7" borderId="43" xfId="0" applyFont="1" applyFill="1" applyBorder="1" applyAlignment="1">
      <alignment horizontal="center" vertical="center" shrinkToFit="1"/>
    </xf>
    <xf numFmtId="0" fontId="19" fillId="7" borderId="44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Border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0" fontId="19" fillId="7" borderId="6" xfId="0" applyFont="1" applyFill="1" applyBorder="1" applyAlignment="1">
      <alignment horizontal="center" vertical="center" shrinkToFit="1"/>
    </xf>
    <xf numFmtId="0" fontId="19" fillId="7" borderId="37" xfId="0" applyFont="1" applyFill="1" applyBorder="1" applyAlignment="1">
      <alignment horizontal="center" vertical="center" shrinkToFit="1"/>
    </xf>
    <xf numFmtId="0" fontId="19" fillId="7" borderId="39" xfId="0" applyFont="1" applyFill="1" applyBorder="1" applyAlignment="1">
      <alignment horizontal="center" vertical="center" shrinkToFit="1"/>
    </xf>
    <xf numFmtId="0" fontId="21" fillId="8" borderId="13" xfId="0" applyFont="1" applyFill="1" applyBorder="1" applyAlignment="1">
      <alignment horizontal="center" vertical="center" shrinkToFit="1"/>
    </xf>
    <xf numFmtId="0" fontId="21" fillId="8" borderId="14" xfId="0" applyFont="1" applyFill="1" applyBorder="1" applyAlignment="1">
      <alignment horizontal="center" vertical="center" shrinkToFit="1"/>
    </xf>
    <xf numFmtId="0" fontId="21" fillId="8" borderId="9" xfId="0" applyFont="1" applyFill="1" applyBorder="1" applyAlignment="1">
      <alignment horizontal="center" vertical="center" shrinkToFit="1"/>
    </xf>
    <xf numFmtId="0" fontId="21" fillId="8" borderId="1" xfId="0" applyFont="1" applyFill="1" applyBorder="1" applyAlignment="1">
      <alignment horizontal="center" vertical="center" shrinkToFit="1"/>
    </xf>
    <xf numFmtId="0" fontId="20" fillId="0" borderId="9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  <xf numFmtId="0" fontId="20" fillId="0" borderId="10" xfId="0" applyFont="1" applyBorder="1" applyAlignment="1">
      <alignment horizontal="center" vertical="center" shrinkToFit="1"/>
    </xf>
    <xf numFmtId="0" fontId="20" fillId="0" borderId="3" xfId="0" applyFont="1" applyBorder="1" applyAlignment="1">
      <alignment horizontal="center" vertical="center" shrinkToFit="1"/>
    </xf>
    <xf numFmtId="183" fontId="20" fillId="0" borderId="1" xfId="0" applyNumberFormat="1" applyFont="1" applyBorder="1" applyAlignment="1">
      <alignment horizontal="center" vertical="center" shrinkToFit="1"/>
    </xf>
    <xf numFmtId="183" fontId="20" fillId="12" borderId="1" xfId="0" applyNumberFormat="1" applyFont="1" applyFill="1" applyBorder="1" applyAlignment="1">
      <alignment horizontal="center" vertical="center" shrinkToFit="1"/>
    </xf>
    <xf numFmtId="0" fontId="21" fillId="8" borderId="28" xfId="0" applyFont="1" applyFill="1" applyBorder="1" applyAlignment="1">
      <alignment horizontal="center" vertical="center" shrinkToFit="1"/>
    </xf>
    <xf numFmtId="0" fontId="21" fillId="8" borderId="15" xfId="0" applyFont="1" applyFill="1" applyBorder="1" applyAlignment="1">
      <alignment horizontal="center" vertical="center" shrinkToFit="1"/>
    </xf>
    <xf numFmtId="183" fontId="20" fillId="12" borderId="5" xfId="0" applyNumberFormat="1" applyFont="1" applyFill="1" applyBorder="1" applyAlignment="1">
      <alignment horizontal="center" vertical="center" shrinkToFit="1"/>
    </xf>
    <xf numFmtId="183" fontId="20" fillId="12" borderId="56" xfId="0" applyNumberFormat="1" applyFont="1" applyFill="1" applyBorder="1" applyAlignment="1">
      <alignment horizontal="center" vertical="center" shrinkToFit="1"/>
    </xf>
    <xf numFmtId="183" fontId="20" fillId="12" borderId="64" xfId="0" applyNumberFormat="1" applyFont="1" applyFill="1" applyBorder="1" applyAlignment="1">
      <alignment horizontal="center" vertical="center" shrinkToFit="1"/>
    </xf>
    <xf numFmtId="26" fontId="20" fillId="12" borderId="5" xfId="0" applyNumberFormat="1" applyFont="1" applyFill="1" applyBorder="1" applyAlignment="1">
      <alignment horizontal="center" vertical="center" shrinkToFit="1"/>
    </xf>
    <xf numFmtId="26" fontId="20" fillId="12" borderId="56" xfId="0" applyNumberFormat="1" applyFont="1" applyFill="1" applyBorder="1" applyAlignment="1">
      <alignment horizontal="center" vertical="center" shrinkToFit="1"/>
    </xf>
    <xf numFmtId="26" fontId="20" fillId="12" borderId="64" xfId="0" applyNumberFormat="1" applyFont="1" applyFill="1" applyBorder="1" applyAlignment="1">
      <alignment horizontal="center" vertical="center" shrinkToFit="1"/>
    </xf>
    <xf numFmtId="176" fontId="20" fillId="0" borderId="1" xfId="0" applyNumberFormat="1" applyFont="1" applyBorder="1" applyAlignment="1">
      <alignment horizontal="center" vertical="center" shrinkToFit="1"/>
    </xf>
    <xf numFmtId="176" fontId="20" fillId="0" borderId="3" xfId="0" applyNumberFormat="1" applyFont="1" applyBorder="1" applyAlignment="1">
      <alignment horizontal="center" vertical="center" shrinkToFit="1"/>
    </xf>
    <xf numFmtId="0" fontId="20" fillId="0" borderId="15" xfId="0" applyFont="1" applyBorder="1" applyAlignment="1">
      <alignment horizontal="center" vertical="center" shrinkToFit="1"/>
    </xf>
    <xf numFmtId="176" fontId="20" fillId="0" borderId="15" xfId="0" applyNumberFormat="1" applyFont="1" applyBorder="1" applyAlignment="1">
      <alignment horizontal="center" vertical="center" shrinkToFit="1"/>
    </xf>
    <xf numFmtId="176" fontId="20" fillId="0" borderId="16" xfId="0" applyNumberFormat="1" applyFont="1" applyBorder="1" applyAlignment="1">
      <alignment horizontal="center" vertical="center" shrinkToFit="1"/>
    </xf>
    <xf numFmtId="0" fontId="20" fillId="12" borderId="1" xfId="0" applyNumberFormat="1" applyFont="1" applyFill="1" applyBorder="1" applyAlignment="1">
      <alignment horizontal="center" vertical="center" shrinkToFit="1"/>
    </xf>
    <xf numFmtId="26" fontId="20" fillId="12" borderId="1" xfId="0" applyNumberFormat="1" applyFont="1" applyFill="1" applyBorder="1" applyAlignment="1">
      <alignment horizontal="center" vertical="center" shrinkToFit="1"/>
    </xf>
    <xf numFmtId="0" fontId="27" fillId="12" borderId="5" xfId="0" applyFont="1" applyFill="1" applyBorder="1" applyAlignment="1">
      <alignment horizontal="center" vertical="center" shrinkToFit="1"/>
    </xf>
    <xf numFmtId="0" fontId="27" fillId="12" borderId="56" xfId="0" applyFont="1" applyFill="1" applyBorder="1" applyAlignment="1">
      <alignment horizontal="center" vertical="center" shrinkToFit="1"/>
    </xf>
    <xf numFmtId="0" fontId="27" fillId="12" borderId="64" xfId="0" applyFont="1" applyFill="1" applyBorder="1" applyAlignment="1">
      <alignment horizontal="center" vertical="center" shrinkToFit="1"/>
    </xf>
  </cellXfs>
  <cellStyles count="5">
    <cellStyle name="Check Cell" xfId="1" builtinId="23"/>
    <cellStyle name="Currency [0]" xfId="2" builtinId="7"/>
    <cellStyle name="Good" xfId="4" builtinId="26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90" zoomScaleNormal="90" zoomScaleSheetLayoutView="100" workbookViewId="0">
      <selection activeCell="C28" sqref="C28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287" t="s">
        <v>77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9"/>
    </row>
    <row r="2" spans="1:44" ht="18" thickBot="1" x14ac:dyDescent="0.45">
      <c r="A2" s="287" t="s">
        <v>97</v>
      </c>
      <c r="B2" s="288"/>
      <c r="C2" s="288"/>
      <c r="D2" s="288"/>
      <c r="E2" s="288"/>
      <c r="F2" s="288"/>
      <c r="G2" s="289"/>
      <c r="H2" s="290" t="s">
        <v>49</v>
      </c>
      <c r="I2" s="291"/>
      <c r="J2" s="287" t="s">
        <v>98</v>
      </c>
      <c r="K2" s="289"/>
      <c r="L2" s="291" t="s">
        <v>96</v>
      </c>
      <c r="M2" s="292"/>
      <c r="N2" s="290"/>
      <c r="O2" s="288" t="s">
        <v>99</v>
      </c>
      <c r="P2" s="288"/>
      <c r="Q2" s="289"/>
      <c r="R2" s="291" t="s">
        <v>51</v>
      </c>
      <c r="S2" s="290"/>
      <c r="T2" s="293">
        <v>6</v>
      </c>
      <c r="U2" s="29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15" t="s">
        <v>21</v>
      </c>
      <c r="C4" s="167" t="s">
        <v>7</v>
      </c>
      <c r="D4" s="194" t="s">
        <v>88</v>
      </c>
      <c r="E4" s="167" t="s">
        <v>89</v>
      </c>
      <c r="F4" s="215" t="s">
        <v>25</v>
      </c>
      <c r="G4" s="215" t="s">
        <v>1</v>
      </c>
      <c r="H4" s="215" t="s">
        <v>22</v>
      </c>
      <c r="I4" s="215" t="s">
        <v>20</v>
      </c>
      <c r="J4" s="215" t="s">
        <v>44</v>
      </c>
      <c r="K4" s="215" t="s">
        <v>45</v>
      </c>
      <c r="L4" s="215" t="s">
        <v>47</v>
      </c>
      <c r="M4" s="215" t="s">
        <v>46</v>
      </c>
      <c r="N4" s="215" t="s">
        <v>2</v>
      </c>
      <c r="O4" s="297" t="s">
        <v>8</v>
      </c>
      <c r="P4" s="297"/>
      <c r="Q4" s="297"/>
      <c r="R4" s="215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10247</v>
      </c>
      <c r="C5" s="267" t="s">
        <v>105</v>
      </c>
      <c r="D5" s="268" t="s">
        <v>106</v>
      </c>
      <c r="E5" s="269" t="s">
        <v>107</v>
      </c>
      <c r="F5" s="270">
        <v>830</v>
      </c>
      <c r="G5" s="271" t="s">
        <v>108</v>
      </c>
      <c r="H5" s="272"/>
      <c r="I5" s="272"/>
      <c r="J5" s="272" t="str">
        <f>IF(G5="RSL","55","0")</f>
        <v>0</v>
      </c>
      <c r="K5" s="272">
        <v>125</v>
      </c>
      <c r="L5" s="273">
        <v>650</v>
      </c>
      <c r="M5" s="273"/>
      <c r="N5" s="274" t="s">
        <v>99</v>
      </c>
      <c r="O5" s="298" t="s">
        <v>109</v>
      </c>
      <c r="P5" s="299"/>
      <c r="Q5" s="300"/>
      <c r="R5" s="33" t="s">
        <v>99</v>
      </c>
      <c r="S5" s="31">
        <v>0.34375</v>
      </c>
      <c r="T5" s="32">
        <v>0.70833333333333337</v>
      </c>
      <c r="U5" s="92">
        <f t="shared" ref="U5:U15" si="0">(T5-S5)*24</f>
        <v>8.75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10248</v>
      </c>
      <c r="C6" s="67" t="s">
        <v>110</v>
      </c>
      <c r="D6" s="200" t="s">
        <v>111</v>
      </c>
      <c r="E6" s="181" t="s">
        <v>92</v>
      </c>
      <c r="F6" s="171">
        <v>845</v>
      </c>
      <c r="G6" s="118" t="s">
        <v>112</v>
      </c>
      <c r="H6" s="91"/>
      <c r="I6" s="124">
        <v>383.8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01"/>
      <c r="P6" s="302"/>
      <c r="Q6" s="303"/>
      <c r="R6" s="132" t="s">
        <v>100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10249</v>
      </c>
      <c r="C7" s="67" t="s">
        <v>113</v>
      </c>
      <c r="D7" s="200" t="s">
        <v>114</v>
      </c>
      <c r="E7" s="181" t="s">
        <v>92</v>
      </c>
      <c r="F7" s="171">
        <v>905</v>
      </c>
      <c r="G7" s="118" t="s">
        <v>108</v>
      </c>
      <c r="H7" s="91"/>
      <c r="I7" s="124"/>
      <c r="J7" s="130" t="str">
        <f t="shared" si="1"/>
        <v>0</v>
      </c>
      <c r="K7" s="130">
        <v>125</v>
      </c>
      <c r="L7" s="131"/>
      <c r="M7" s="131"/>
      <c r="N7" s="134" t="s">
        <v>99</v>
      </c>
      <c r="O7" s="304" t="s">
        <v>118</v>
      </c>
      <c r="P7" s="305"/>
      <c r="Q7" s="306"/>
      <c r="R7" s="134" t="s">
        <v>101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10250</v>
      </c>
      <c r="C8" s="27" t="s">
        <v>119</v>
      </c>
      <c r="D8" s="200" t="s">
        <v>120</v>
      </c>
      <c r="E8" s="181" t="s">
        <v>92</v>
      </c>
      <c r="F8" s="171">
        <v>925</v>
      </c>
      <c r="G8" s="118" t="s">
        <v>121</v>
      </c>
      <c r="H8" s="91">
        <v>150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07"/>
      <c r="P8" s="308"/>
      <c r="Q8" s="309"/>
      <c r="R8" s="26" t="s">
        <v>102</v>
      </c>
      <c r="S8" s="31">
        <v>0.375</v>
      </c>
      <c r="T8" s="32">
        <v>0.64583333333333337</v>
      </c>
      <c r="U8" s="92">
        <f t="shared" si="0"/>
        <v>6.5000000000000009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10251</v>
      </c>
      <c r="C9" s="63" t="s">
        <v>115</v>
      </c>
      <c r="D9" s="201" t="s">
        <v>116</v>
      </c>
      <c r="E9" s="181" t="s">
        <v>92</v>
      </c>
      <c r="F9" s="172">
        <v>940</v>
      </c>
      <c r="G9" s="119" t="s">
        <v>117</v>
      </c>
      <c r="H9" s="91">
        <v>90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07"/>
      <c r="P9" s="308"/>
      <c r="Q9" s="309"/>
      <c r="R9" s="26" t="s">
        <v>103</v>
      </c>
      <c r="S9" s="31">
        <v>0.35416666666666669</v>
      </c>
      <c r="T9" s="32">
        <v>0.70833333333333337</v>
      </c>
      <c r="U9" s="92">
        <f t="shared" si="0"/>
        <v>8.5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10252</v>
      </c>
      <c r="C10" s="28" t="s">
        <v>123</v>
      </c>
      <c r="D10" s="202"/>
      <c r="E10" s="181" t="s">
        <v>91</v>
      </c>
      <c r="F10" s="173">
        <v>1125</v>
      </c>
      <c r="G10" s="120" t="s">
        <v>44</v>
      </c>
      <c r="H10" s="123"/>
      <c r="I10" s="125"/>
      <c r="J10" s="130" t="str">
        <f t="shared" si="1"/>
        <v>55</v>
      </c>
      <c r="K10" s="130" t="str">
        <f t="shared" si="2"/>
        <v>0</v>
      </c>
      <c r="L10" s="131"/>
      <c r="M10" s="131"/>
      <c r="N10" s="134" t="s">
        <v>99</v>
      </c>
      <c r="O10" s="294" t="s">
        <v>122</v>
      </c>
      <c r="P10" s="295"/>
      <c r="Q10" s="296"/>
      <c r="R10" s="26" t="s">
        <v>104</v>
      </c>
      <c r="S10" s="31">
        <v>0.45833333333333331</v>
      </c>
      <c r="T10" s="32">
        <v>0.66666666666666663</v>
      </c>
      <c r="U10" s="92">
        <f t="shared" si="0"/>
        <v>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10253</v>
      </c>
      <c r="C11" s="18" t="s">
        <v>124</v>
      </c>
      <c r="D11" s="203" t="s">
        <v>125</v>
      </c>
      <c r="E11" s="181" t="s">
        <v>91</v>
      </c>
      <c r="F11" s="66">
        <v>1130</v>
      </c>
      <c r="G11" s="121" t="s">
        <v>126</v>
      </c>
      <c r="H11" s="123">
        <v>290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04"/>
      <c r="P11" s="305"/>
      <c r="Q11" s="306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10254</v>
      </c>
      <c r="C12" s="64" t="s">
        <v>127</v>
      </c>
      <c r="D12" s="204" t="s">
        <v>128</v>
      </c>
      <c r="E12" s="181" t="s">
        <v>92</v>
      </c>
      <c r="F12" s="173">
        <v>1220</v>
      </c>
      <c r="G12" s="119" t="s">
        <v>108</v>
      </c>
      <c r="H12" s="123"/>
      <c r="I12" s="125"/>
      <c r="J12" s="130" t="str">
        <f t="shared" si="1"/>
        <v>0</v>
      </c>
      <c r="K12" s="130">
        <v>125</v>
      </c>
      <c r="L12" s="131"/>
      <c r="M12" s="131"/>
      <c r="N12" s="134" t="s">
        <v>99</v>
      </c>
      <c r="O12" s="304" t="s">
        <v>129</v>
      </c>
      <c r="P12" s="305"/>
      <c r="Q12" s="306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10255</v>
      </c>
      <c r="C13" s="64" t="s">
        <v>130</v>
      </c>
      <c r="D13" s="204" t="s">
        <v>131</v>
      </c>
      <c r="E13" s="181" t="s">
        <v>91</v>
      </c>
      <c r="F13" s="173">
        <v>1225</v>
      </c>
      <c r="G13" s="119" t="s">
        <v>44</v>
      </c>
      <c r="H13" s="169"/>
      <c r="I13" s="168"/>
      <c r="J13" s="130">
        <v>110</v>
      </c>
      <c r="K13" s="130" t="str">
        <f t="shared" si="2"/>
        <v>0</v>
      </c>
      <c r="L13" s="131"/>
      <c r="M13" s="131"/>
      <c r="N13" s="134" t="s">
        <v>99</v>
      </c>
      <c r="O13" s="304" t="s">
        <v>132</v>
      </c>
      <c r="P13" s="305"/>
      <c r="Q13" s="306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10256</v>
      </c>
      <c r="C14" s="65" t="s">
        <v>133</v>
      </c>
      <c r="D14" s="205" t="s">
        <v>134</v>
      </c>
      <c r="E14" s="181" t="s">
        <v>91</v>
      </c>
      <c r="F14" s="174">
        <v>1225</v>
      </c>
      <c r="G14" s="122" t="s">
        <v>117</v>
      </c>
      <c r="H14" s="123"/>
      <c r="I14" s="125">
        <v>75.75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04"/>
      <c r="P14" s="305"/>
      <c r="Q14" s="306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10257</v>
      </c>
      <c r="C15" s="65" t="s">
        <v>135</v>
      </c>
      <c r="D15" s="205" t="s">
        <v>136</v>
      </c>
      <c r="E15" s="181" t="s">
        <v>92</v>
      </c>
      <c r="F15" s="174">
        <v>1250</v>
      </c>
      <c r="G15" s="122" t="s">
        <v>137</v>
      </c>
      <c r="H15" s="123">
        <v>55</v>
      </c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04" t="s">
        <v>148</v>
      </c>
      <c r="P15" s="305"/>
      <c r="Q15" s="306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10258</v>
      </c>
      <c r="C16" s="65" t="s">
        <v>141</v>
      </c>
      <c r="D16" s="205" t="s">
        <v>142</v>
      </c>
      <c r="E16" s="181" t="s">
        <v>92</v>
      </c>
      <c r="F16" s="174">
        <v>1300</v>
      </c>
      <c r="G16" s="122" t="s">
        <v>108</v>
      </c>
      <c r="H16" s="123"/>
      <c r="I16" s="124"/>
      <c r="J16" s="130" t="str">
        <f t="shared" si="1"/>
        <v>0</v>
      </c>
      <c r="K16" s="130">
        <v>79.099999999999994</v>
      </c>
      <c r="L16" s="131"/>
      <c r="M16" s="131"/>
      <c r="N16" s="134" t="s">
        <v>99</v>
      </c>
      <c r="O16" s="304" t="s">
        <v>143</v>
      </c>
      <c r="P16" s="305"/>
      <c r="Q16" s="306"/>
      <c r="R16" s="82">
        <f>H32/U16</f>
        <v>0.32085561497326204</v>
      </c>
      <c r="S16" s="83">
        <f>H32/(U16-U5)</f>
        <v>0.39473684210526316</v>
      </c>
      <c r="T16" s="83">
        <f>C32/U16</f>
        <v>46.388235294117649</v>
      </c>
      <c r="U16" s="83">
        <f>SUM(U5:U15)</f>
        <v>46.75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10259</v>
      </c>
      <c r="C17" s="18" t="s">
        <v>138</v>
      </c>
      <c r="D17" s="203" t="s">
        <v>139</v>
      </c>
      <c r="E17" s="181" t="s">
        <v>92</v>
      </c>
      <c r="F17" s="66">
        <v>1305</v>
      </c>
      <c r="G17" s="121" t="s">
        <v>140</v>
      </c>
      <c r="H17" s="123">
        <v>380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04"/>
      <c r="P17" s="305"/>
      <c r="Q17" s="306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10260</v>
      </c>
      <c r="C18" s="18" t="s">
        <v>144</v>
      </c>
      <c r="D18" s="203"/>
      <c r="E18" s="181" t="s">
        <v>92</v>
      </c>
      <c r="F18" s="66">
        <v>1440</v>
      </c>
      <c r="G18" s="20" t="s">
        <v>45</v>
      </c>
      <c r="H18" s="123">
        <v>50</v>
      </c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99</v>
      </c>
      <c r="O18" s="304" t="s">
        <v>145</v>
      </c>
      <c r="P18" s="305"/>
      <c r="Q18" s="306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10261</v>
      </c>
      <c r="C19" s="18" t="s">
        <v>146</v>
      </c>
      <c r="D19" s="203" t="s">
        <v>147</v>
      </c>
      <c r="E19" s="181" t="s">
        <v>91</v>
      </c>
      <c r="F19" s="66">
        <v>1600</v>
      </c>
      <c r="G19" s="121" t="s">
        <v>117</v>
      </c>
      <c r="H19" s="123">
        <v>75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99</v>
      </c>
      <c r="O19" s="304"/>
      <c r="P19" s="305"/>
      <c r="Q19" s="305"/>
      <c r="R19" s="93" t="s">
        <v>45</v>
      </c>
      <c r="S19" s="94">
        <f>COUNT(L5:M29,L37:M61,L69:M93)</f>
        <v>1</v>
      </c>
      <c r="T19" s="116">
        <f>SUM(L5:M29,L37:M61,L69:M93)</f>
        <v>650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12"/>
      <c r="P20" s="313"/>
      <c r="Q20" s="31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4"/>
      <c r="P21" s="305"/>
      <c r="Q21" s="305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14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4"/>
      <c r="P22" s="305"/>
      <c r="Q22" s="306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0"/>
      <c r="Y23" s="311"/>
      <c r="Z23" s="311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14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4"/>
      <c r="P24" s="305"/>
      <c r="Q24" s="306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14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4"/>
      <c r="P25" s="305"/>
      <c r="Q25" s="306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14">
        <f>((C32+(R26+S26+T26)*0.5))</f>
        <v>2168.65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4"/>
      <c r="P26" s="305"/>
      <c r="Q26" s="306"/>
      <c r="R26" s="112">
        <f>R25*37.5</f>
        <v>0</v>
      </c>
      <c r="S26" s="102">
        <f>S25*41.5</f>
        <v>0</v>
      </c>
      <c r="T26" s="102">
        <f>T25*50</f>
        <v>0</v>
      </c>
      <c r="U26" s="31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4"/>
      <c r="P27" s="305"/>
      <c r="Q27" s="306"/>
      <c r="R27" s="323" t="s">
        <v>56</v>
      </c>
      <c r="S27" s="324"/>
      <c r="T27" s="324"/>
      <c r="U27" s="32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4"/>
      <c r="P28" s="305"/>
      <c r="Q28" s="306"/>
      <c r="R28" s="316"/>
      <c r="S28" s="317"/>
      <c r="T28" s="31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32"/>
      <c r="P29" s="333"/>
      <c r="Q29" s="334"/>
      <c r="R29" s="335"/>
      <c r="S29" s="336"/>
      <c r="T29" s="33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38" t="s">
        <v>48</v>
      </c>
      <c r="B30" s="339"/>
      <c r="C30" s="339"/>
      <c r="D30" s="339"/>
      <c r="E30" s="340"/>
      <c r="F30" s="339"/>
      <c r="G30" s="339"/>
      <c r="H30" s="211">
        <f t="shared" ref="H30:M30" si="3">SUM(H5:H29)</f>
        <v>1090</v>
      </c>
      <c r="I30" s="105">
        <f>SUM(I5:I29)</f>
        <v>459.55</v>
      </c>
      <c r="J30" s="105">
        <f>J5+J6+J7+J8+J9+J10+J11+J12+J13+J14+J15+J16+J18+J19+J17+J20+J22+J23+J21+J24+J25+J26+J27+J28+J29</f>
        <v>165</v>
      </c>
      <c r="K30" s="105">
        <f>K5+K6+K7+K8+K9+K10+K11+K12+K13+K14+K15+K16+K18+K19+K17+K20+K22+K23+K21+K24+K25+K26+K27+K28+K29</f>
        <v>454.1</v>
      </c>
      <c r="L30" s="106">
        <f t="shared" si="3"/>
        <v>650</v>
      </c>
      <c r="M30" s="106">
        <f t="shared" si="3"/>
        <v>0</v>
      </c>
      <c r="N30" s="216" t="s">
        <v>15</v>
      </c>
      <c r="O30" s="216" t="s">
        <v>20</v>
      </c>
      <c r="P30" s="216" t="s">
        <v>45</v>
      </c>
      <c r="Q30" s="96" t="s">
        <v>44</v>
      </c>
      <c r="R30" s="341"/>
      <c r="S30" s="341"/>
      <c r="T30" s="34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43" t="s">
        <v>16</v>
      </c>
      <c r="B31" s="344"/>
      <c r="C31" s="344"/>
      <c r="D31" s="344"/>
      <c r="E31" s="344"/>
      <c r="F31" s="344"/>
      <c r="G31" s="344"/>
      <c r="H31" s="212">
        <f t="shared" ref="H31:J31" si="4">H30+H62+H94</f>
        <v>1090</v>
      </c>
      <c r="I31" s="103">
        <f t="shared" si="4"/>
        <v>459.55</v>
      </c>
      <c r="J31" s="103">
        <f t="shared" si="4"/>
        <v>165</v>
      </c>
      <c r="K31" s="103">
        <f>K30+K62+K94</f>
        <v>454.1</v>
      </c>
      <c r="L31" s="97">
        <f>L30+L62+L94</f>
        <v>650</v>
      </c>
      <c r="M31" s="97">
        <f>M30+M62+M94</f>
        <v>0</v>
      </c>
      <c r="N31" s="217">
        <f>COUNT(H5:H29,H37:H61,H69:H93)</f>
        <v>7</v>
      </c>
      <c r="O31" s="104">
        <f>COUNT(I5:I29,I37:I61,I69:I93)</f>
        <v>2</v>
      </c>
      <c r="P31" s="104">
        <f>COUNTIF(G5:G29,"G*")+COUNTIF(G37:G61,"G*")+COUNTIF(G69:G93,"G*")+COUNTIF(G5:G29,"P*")+COUNTIF(G37:G61,"P*")+COUNTIF(G69:G93,"P*")</f>
        <v>5</v>
      </c>
      <c r="Q31" s="117">
        <f>COUNTIF(G5:G29,"RSL")+COUNTIF(G37:G61,"RSL")+COUNTIF(G69:G93,"RSL")</f>
        <v>2</v>
      </c>
      <c r="R31" s="98" t="s">
        <v>83</v>
      </c>
      <c r="S31" s="111">
        <f>H31+L31-U28-U29-U30</f>
        <v>1740</v>
      </c>
      <c r="T31" s="328">
        <f>H31+I31+L31+M31</f>
        <v>2199.5500000000002</v>
      </c>
      <c r="U31" s="32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19" t="s">
        <v>55</v>
      </c>
      <c r="B32" s="320"/>
      <c r="C32" s="107">
        <f>H31+I31+J31+K31</f>
        <v>2168.65</v>
      </c>
      <c r="D32" s="196"/>
      <c r="E32" s="107"/>
      <c r="F32" s="321" t="s">
        <v>53</v>
      </c>
      <c r="G32" s="321"/>
      <c r="H32" s="109">
        <f>COUNT(B5:B29,B37:B61,B69:B93)</f>
        <v>15</v>
      </c>
      <c r="I32" s="322" t="s">
        <v>54</v>
      </c>
      <c r="J32" s="322"/>
      <c r="K32" s="108">
        <f>C32/H32</f>
        <v>144.57666666666668</v>
      </c>
      <c r="L32" s="218"/>
      <c r="M32" s="218"/>
      <c r="N32" s="218">
        <f>H31/C32</f>
        <v>0.50261683535840262</v>
      </c>
      <c r="O32" s="218">
        <f>I31/C32</f>
        <v>0.21190602448527884</v>
      </c>
      <c r="P32" s="218">
        <f>K31/C32</f>
        <v>0.20939294030848685</v>
      </c>
      <c r="Q32" s="110">
        <f>J31/C32</f>
        <v>7.6084199847831602E-2</v>
      </c>
      <c r="R32" s="99" t="s">
        <v>82</v>
      </c>
      <c r="S32" s="213">
        <f>I31+M31</f>
        <v>459.55</v>
      </c>
      <c r="T32" s="330"/>
      <c r="U32" s="331"/>
      <c r="V32" s="55"/>
      <c r="W32" s="55"/>
      <c r="X32" s="56" t="s">
        <v>27</v>
      </c>
      <c r="Y32" s="56"/>
      <c r="Z32" s="54">
        <f>I31</f>
        <v>459.55</v>
      </c>
      <c r="AE32" s="37"/>
      <c r="AF32" s="37"/>
      <c r="AG32" s="37"/>
      <c r="AH32" s="37"/>
    </row>
    <row r="33" spans="1:34" ht="18" thickBot="1" x14ac:dyDescent="0.45">
      <c r="A33" s="326" t="s">
        <v>24</v>
      </c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288"/>
      <c r="U33" s="289"/>
      <c r="X33" s="57" t="s">
        <v>29</v>
      </c>
      <c r="Y33" s="57"/>
      <c r="Z33" s="58">
        <f>SUM(Z31:Z32)</f>
        <v>-2285.4499999999998</v>
      </c>
      <c r="AE33" s="37"/>
      <c r="AF33" s="37"/>
      <c r="AG33" s="59"/>
      <c r="AH33" s="37"/>
    </row>
    <row r="34" spans="1:34" ht="18" thickBot="1" x14ac:dyDescent="0.45">
      <c r="A34" s="287" t="str">
        <f>A2</f>
        <v>25 - 7 - 2022</v>
      </c>
      <c r="B34" s="288"/>
      <c r="C34" s="288"/>
      <c r="D34" s="288"/>
      <c r="E34" s="288"/>
      <c r="F34" s="288"/>
      <c r="G34" s="289"/>
      <c r="H34" s="290" t="s">
        <v>49</v>
      </c>
      <c r="I34" s="291"/>
      <c r="J34" s="287" t="str">
        <f>J2</f>
        <v>SUNNY</v>
      </c>
      <c r="K34" s="289"/>
      <c r="L34" s="291" t="s">
        <v>50</v>
      </c>
      <c r="M34" s="292"/>
      <c r="N34" s="290"/>
      <c r="O34" s="288" t="str">
        <f>O2</f>
        <v>JOHN</v>
      </c>
      <c r="P34" s="288"/>
      <c r="Q34" s="289"/>
      <c r="R34" s="291" t="s">
        <v>51</v>
      </c>
      <c r="S34" s="290"/>
      <c r="T34" s="293">
        <f>T2</f>
        <v>6</v>
      </c>
      <c r="U34" s="293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15" t="s">
        <v>21</v>
      </c>
      <c r="C36" s="167" t="s">
        <v>7</v>
      </c>
      <c r="D36" s="194" t="s">
        <v>88</v>
      </c>
      <c r="E36" s="167" t="s">
        <v>89</v>
      </c>
      <c r="F36" s="215" t="s">
        <v>25</v>
      </c>
      <c r="G36" s="215" t="s">
        <v>1</v>
      </c>
      <c r="H36" s="215" t="s">
        <v>22</v>
      </c>
      <c r="I36" s="215" t="s">
        <v>20</v>
      </c>
      <c r="J36" s="215" t="s">
        <v>44</v>
      </c>
      <c r="K36" s="215" t="s">
        <v>45</v>
      </c>
      <c r="L36" s="215" t="s">
        <v>47</v>
      </c>
      <c r="M36" s="215" t="s">
        <v>46</v>
      </c>
      <c r="N36" s="215" t="s">
        <v>2</v>
      </c>
      <c r="O36" s="297" t="s">
        <v>8</v>
      </c>
      <c r="P36" s="297"/>
      <c r="Q36" s="297"/>
      <c r="R36" s="215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4"/>
      <c r="P37" s="305"/>
      <c r="Q37" s="306"/>
      <c r="R37" s="60"/>
      <c r="S37" s="61"/>
      <c r="T37" s="61"/>
      <c r="U37" s="70"/>
    </row>
    <row r="38" spans="1:34" x14ac:dyDescent="0.4">
      <c r="A38" s="128">
        <f>A37+1</f>
        <v>27</v>
      </c>
      <c r="B38" s="214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01"/>
      <c r="P38" s="302"/>
      <c r="Q38" s="303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4"/>
      <c r="P39" s="305"/>
      <c r="Q39" s="306"/>
      <c r="R39" s="79"/>
      <c r="S39" s="13"/>
      <c r="T39" s="12"/>
      <c r="U39" s="72"/>
    </row>
    <row r="40" spans="1:34" x14ac:dyDescent="0.4">
      <c r="A40" s="128">
        <f t="shared" si="7"/>
        <v>29</v>
      </c>
      <c r="B40" s="214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07"/>
      <c r="P40" s="308"/>
      <c r="Q40" s="309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07"/>
      <c r="P41" s="308"/>
      <c r="Q41" s="309"/>
      <c r="R41" s="80"/>
      <c r="S41" s="73"/>
      <c r="T41" s="73"/>
      <c r="U41" s="74"/>
    </row>
    <row r="42" spans="1:34" x14ac:dyDescent="0.4">
      <c r="A42" s="128">
        <f t="shared" si="7"/>
        <v>31</v>
      </c>
      <c r="B42" s="214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4"/>
      <c r="P42" s="295"/>
      <c r="Q42" s="296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4"/>
      <c r="P43" s="305"/>
      <c r="Q43" s="306"/>
      <c r="R43" s="78"/>
      <c r="S43" s="71"/>
      <c r="T43" s="71"/>
      <c r="U43" s="72"/>
    </row>
    <row r="44" spans="1:34" x14ac:dyDescent="0.4">
      <c r="A44" s="128">
        <f t="shared" si="7"/>
        <v>33</v>
      </c>
      <c r="B44" s="214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4"/>
      <c r="P44" s="305"/>
      <c r="Q44" s="306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4"/>
      <c r="P45" s="305"/>
      <c r="Q45" s="306"/>
      <c r="R45" s="5"/>
      <c r="S45" s="71"/>
      <c r="T45" s="71"/>
      <c r="U45" s="72"/>
    </row>
    <row r="46" spans="1:34" x14ac:dyDescent="0.4">
      <c r="A46" s="128">
        <f t="shared" si="7"/>
        <v>35</v>
      </c>
      <c r="B46" s="214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4"/>
      <c r="P46" s="305"/>
      <c r="Q46" s="306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4"/>
      <c r="P47" s="305"/>
      <c r="Q47" s="306"/>
      <c r="R47" s="5"/>
      <c r="S47" s="71"/>
      <c r="T47" s="71"/>
      <c r="U47" s="72"/>
    </row>
    <row r="48" spans="1:34" x14ac:dyDescent="0.4">
      <c r="A48" s="128">
        <f t="shared" si="7"/>
        <v>37</v>
      </c>
      <c r="B48" s="214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4"/>
      <c r="P48" s="305"/>
      <c r="Q48" s="306"/>
      <c r="R48" s="5"/>
      <c r="S48" s="71"/>
      <c r="T48" s="71"/>
      <c r="U48" s="72"/>
    </row>
    <row r="49" spans="1:21" x14ac:dyDescent="0.4">
      <c r="A49" s="128">
        <f t="shared" si="7"/>
        <v>38</v>
      </c>
      <c r="B49" s="214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4"/>
      <c r="P49" s="305"/>
      <c r="Q49" s="306"/>
      <c r="R49" s="5"/>
      <c r="S49" s="71"/>
      <c r="T49" s="75"/>
      <c r="U49" s="72"/>
    </row>
    <row r="50" spans="1:21" x14ac:dyDescent="0.4">
      <c r="A50" s="128">
        <f t="shared" si="7"/>
        <v>39</v>
      </c>
      <c r="B50" s="214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4"/>
      <c r="P50" s="305"/>
      <c r="Q50" s="306"/>
      <c r="R50" s="5"/>
      <c r="S50" s="71"/>
      <c r="T50" s="75"/>
      <c r="U50" s="72"/>
    </row>
    <row r="51" spans="1:21" x14ac:dyDescent="0.4">
      <c r="A51" s="128">
        <f t="shared" si="7"/>
        <v>40</v>
      </c>
      <c r="B51" s="214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4"/>
      <c r="P51" s="305"/>
      <c r="Q51" s="305"/>
      <c r="R51" s="5"/>
      <c r="S51" s="71"/>
      <c r="T51" s="75"/>
      <c r="U51" s="72"/>
    </row>
    <row r="52" spans="1:21" x14ac:dyDescent="0.4">
      <c r="A52" s="128">
        <f t="shared" si="7"/>
        <v>41</v>
      </c>
      <c r="B52" s="214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4"/>
      <c r="P52" s="305"/>
      <c r="Q52" s="305"/>
      <c r="R52" s="81"/>
      <c r="S52" s="68"/>
      <c r="T52" s="76"/>
      <c r="U52" s="77"/>
    </row>
    <row r="53" spans="1:21" x14ac:dyDescent="0.4">
      <c r="A53" s="128">
        <f t="shared" si="7"/>
        <v>42</v>
      </c>
      <c r="B53" s="214"/>
      <c r="C53" s="127"/>
      <c r="D53" s="188"/>
      <c r="E53" s="181"/>
      <c r="F53" s="175"/>
      <c r="G53" s="214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5"/>
      <c r="P53" s="304"/>
      <c r="Q53" s="304"/>
      <c r="R53" s="81"/>
      <c r="S53" s="68"/>
      <c r="T53" s="76"/>
      <c r="U53" s="77"/>
    </row>
    <row r="54" spans="1:21" x14ac:dyDescent="0.4">
      <c r="A54" s="128">
        <f t="shared" si="7"/>
        <v>43</v>
      </c>
      <c r="B54" s="214"/>
      <c r="C54" s="127"/>
      <c r="D54" s="188"/>
      <c r="E54" s="181"/>
      <c r="F54" s="175"/>
      <c r="G54" s="214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5"/>
      <c r="P54" s="304"/>
      <c r="Q54" s="304"/>
      <c r="R54" s="81"/>
      <c r="S54" s="68"/>
      <c r="T54" s="76"/>
      <c r="U54" s="77"/>
    </row>
    <row r="55" spans="1:21" x14ac:dyDescent="0.4">
      <c r="A55" s="128">
        <f t="shared" si="7"/>
        <v>44</v>
      </c>
      <c r="B55" s="214"/>
      <c r="C55" s="127"/>
      <c r="D55" s="188"/>
      <c r="E55" s="181"/>
      <c r="F55" s="175"/>
      <c r="G55" s="214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5"/>
      <c r="P55" s="304"/>
      <c r="Q55" s="304"/>
      <c r="R55" s="81"/>
      <c r="S55" s="68"/>
      <c r="T55" s="76"/>
      <c r="U55" s="77"/>
    </row>
    <row r="56" spans="1:21" x14ac:dyDescent="0.4">
      <c r="A56" s="128">
        <f t="shared" si="7"/>
        <v>45</v>
      </c>
      <c r="B56" s="214"/>
      <c r="C56" s="132"/>
      <c r="D56" s="189"/>
      <c r="E56" s="181"/>
      <c r="F56" s="175"/>
      <c r="G56" s="214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5"/>
      <c r="P56" s="305"/>
      <c r="Q56" s="305"/>
      <c r="R56" s="81"/>
      <c r="S56" s="68"/>
      <c r="T56" s="76"/>
      <c r="U56" s="77"/>
    </row>
    <row r="57" spans="1:21" x14ac:dyDescent="0.4">
      <c r="A57" s="128">
        <f t="shared" si="7"/>
        <v>46</v>
      </c>
      <c r="B57" s="214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4"/>
      <c r="P57" s="305"/>
      <c r="Q57" s="305"/>
      <c r="R57" s="81"/>
      <c r="S57" s="68"/>
      <c r="T57" s="68"/>
      <c r="U57" s="77"/>
    </row>
    <row r="58" spans="1:21" x14ac:dyDescent="0.4">
      <c r="A58" s="128">
        <f t="shared" si="7"/>
        <v>47</v>
      </c>
      <c r="B58" s="214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5"/>
      <c r="P58" s="305"/>
      <c r="Q58" s="305"/>
      <c r="R58" s="81"/>
      <c r="S58" s="68"/>
      <c r="T58" s="68"/>
      <c r="U58" s="77"/>
    </row>
    <row r="59" spans="1:21" x14ac:dyDescent="0.4">
      <c r="A59" s="128">
        <f t="shared" si="7"/>
        <v>48</v>
      </c>
      <c r="B59" s="214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5"/>
      <c r="P59" s="305"/>
      <c r="Q59" s="305"/>
      <c r="R59" s="81"/>
      <c r="S59" s="68"/>
      <c r="T59" s="68"/>
      <c r="U59" s="77"/>
    </row>
    <row r="60" spans="1:21" x14ac:dyDescent="0.4">
      <c r="A60" s="128">
        <f t="shared" si="7"/>
        <v>49</v>
      </c>
      <c r="B60" s="214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4"/>
      <c r="P60" s="305"/>
      <c r="Q60" s="306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14"/>
      <c r="C61" s="30"/>
      <c r="D61" s="198"/>
      <c r="F61" s="30"/>
      <c r="G61" s="214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46"/>
      <c r="P61" s="347"/>
      <c r="Q61" s="348"/>
      <c r="R61" s="81"/>
      <c r="S61" s="68"/>
      <c r="T61" s="68"/>
      <c r="U61" s="77"/>
    </row>
    <row r="62" spans="1:21" x14ac:dyDescent="0.4">
      <c r="A62" s="349" t="s">
        <v>48</v>
      </c>
      <c r="B62" s="350"/>
      <c r="C62" s="350"/>
      <c r="D62" s="350"/>
      <c r="E62" s="350"/>
      <c r="F62" s="350"/>
      <c r="G62" s="350"/>
      <c r="H62" s="350">
        <f t="shared" ref="H62:M62" si="8">SUM(H37:H61)</f>
        <v>0</v>
      </c>
      <c r="I62" s="355">
        <f t="shared" si="8"/>
        <v>0</v>
      </c>
      <c r="J62" s="355">
        <f>J61+J60+J59+J58+J57+J56+J55+J54+J53+J52+J51+J50+J49+J48+J47+J46+J45+J44+J43+J42+J41+J40+J39+J38+J37</f>
        <v>0</v>
      </c>
      <c r="K62" s="355">
        <f>K61+K60+K59+K58+K57+K56+K55+K54+K53+K52+K51+K50+K49+K48+K47+K46+K45+K44+K43+K42+K41+K40+K39+K38+K37</f>
        <v>0</v>
      </c>
      <c r="L62" s="358">
        <f t="shared" si="8"/>
        <v>0</v>
      </c>
      <c r="M62" s="361">
        <f t="shared" si="8"/>
        <v>0</v>
      </c>
      <c r="N62" s="364"/>
      <c r="O62" s="365"/>
      <c r="P62" s="365"/>
      <c r="Q62" s="366"/>
      <c r="R62" s="5"/>
      <c r="S62" s="6"/>
      <c r="T62" s="7"/>
      <c r="U62" s="8"/>
    </row>
    <row r="63" spans="1:21" ht="18" thickBot="1" x14ac:dyDescent="0.45">
      <c r="A63" s="351"/>
      <c r="B63" s="352"/>
      <c r="C63" s="352"/>
      <c r="D63" s="352"/>
      <c r="E63" s="352"/>
      <c r="F63" s="352"/>
      <c r="G63" s="352"/>
      <c r="H63" s="352"/>
      <c r="I63" s="356"/>
      <c r="J63" s="356"/>
      <c r="K63" s="356"/>
      <c r="L63" s="359"/>
      <c r="M63" s="362"/>
      <c r="N63" s="367"/>
      <c r="O63" s="368"/>
      <c r="P63" s="368"/>
      <c r="Q63" s="369"/>
      <c r="R63" s="1"/>
      <c r="S63" s="2"/>
      <c r="T63" s="3"/>
      <c r="U63" s="4"/>
    </row>
    <row r="64" spans="1:21" ht="18" thickBot="1" x14ac:dyDescent="0.45">
      <c r="A64" s="353"/>
      <c r="B64" s="354"/>
      <c r="C64" s="354"/>
      <c r="D64" s="354"/>
      <c r="E64" s="354"/>
      <c r="F64" s="354"/>
      <c r="G64" s="354"/>
      <c r="H64" s="354"/>
      <c r="I64" s="357"/>
      <c r="J64" s="357"/>
      <c r="K64" s="357"/>
      <c r="L64" s="360"/>
      <c r="M64" s="363"/>
      <c r="N64" s="326"/>
      <c r="O64" s="327"/>
      <c r="P64" s="327"/>
      <c r="Q64" s="370"/>
      <c r="R64" s="371" t="s">
        <v>17</v>
      </c>
      <c r="S64" s="372"/>
      <c r="T64" s="372"/>
      <c r="U64" s="373"/>
    </row>
    <row r="65" spans="1:21" ht="18" thickBot="1" x14ac:dyDescent="0.45">
      <c r="A65" s="287" t="s">
        <v>24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8"/>
      <c r="Q65" s="288"/>
      <c r="R65" s="288"/>
      <c r="S65" s="288"/>
      <c r="T65" s="288"/>
      <c r="U65" s="289"/>
    </row>
    <row r="66" spans="1:21" ht="18" thickBot="1" x14ac:dyDescent="0.45">
      <c r="A66" s="287" t="str">
        <f>A34</f>
        <v>25 - 7 - 2022</v>
      </c>
      <c r="B66" s="288"/>
      <c r="C66" s="288"/>
      <c r="D66" s="288"/>
      <c r="E66" s="288"/>
      <c r="F66" s="288"/>
      <c r="G66" s="289"/>
      <c r="H66" s="290" t="s">
        <v>49</v>
      </c>
      <c r="I66" s="291"/>
      <c r="J66" s="287" t="str">
        <f>J34</f>
        <v>SUNNY</v>
      </c>
      <c r="K66" s="289"/>
      <c r="L66" s="291" t="s">
        <v>50</v>
      </c>
      <c r="M66" s="292"/>
      <c r="N66" s="290"/>
      <c r="O66" s="288" t="str">
        <f>O34</f>
        <v>JOHN</v>
      </c>
      <c r="P66" s="288"/>
      <c r="Q66" s="289"/>
      <c r="R66" s="291" t="s">
        <v>51</v>
      </c>
      <c r="S66" s="290"/>
      <c r="T66" s="293">
        <f>T34</f>
        <v>6</v>
      </c>
      <c r="U66" s="293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15" t="s">
        <v>21</v>
      </c>
      <c r="C68" s="167" t="s">
        <v>7</v>
      </c>
      <c r="D68" s="194" t="s">
        <v>88</v>
      </c>
      <c r="E68" s="167" t="s">
        <v>89</v>
      </c>
      <c r="F68" s="215" t="s">
        <v>25</v>
      </c>
      <c r="G68" s="215" t="s">
        <v>1</v>
      </c>
      <c r="H68" s="215" t="s">
        <v>22</v>
      </c>
      <c r="I68" s="215" t="s">
        <v>20</v>
      </c>
      <c r="J68" s="215" t="s">
        <v>44</v>
      </c>
      <c r="K68" s="215" t="s">
        <v>45</v>
      </c>
      <c r="L68" s="215" t="s">
        <v>47</v>
      </c>
      <c r="M68" s="215" t="s">
        <v>46</v>
      </c>
      <c r="N68" s="215" t="s">
        <v>2</v>
      </c>
      <c r="O68" s="297" t="s">
        <v>8</v>
      </c>
      <c r="P68" s="297"/>
      <c r="Q68" s="297"/>
      <c r="R68" s="215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14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4"/>
      <c r="P69" s="305"/>
      <c r="Q69" s="306"/>
      <c r="R69" s="60"/>
      <c r="S69" s="61"/>
      <c r="T69" s="61"/>
      <c r="U69" s="70"/>
    </row>
    <row r="70" spans="1:21" x14ac:dyDescent="0.4">
      <c r="A70" s="128">
        <f>A69+1</f>
        <v>52</v>
      </c>
      <c r="B70" s="214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01"/>
      <c r="P70" s="302"/>
      <c r="Q70" s="303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14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4"/>
      <c r="P71" s="305"/>
      <c r="Q71" s="306"/>
      <c r="R71" s="79"/>
      <c r="S71" s="13"/>
      <c r="T71" s="12"/>
      <c r="U71" s="72"/>
    </row>
    <row r="72" spans="1:21" x14ac:dyDescent="0.4">
      <c r="A72" s="128">
        <f t="shared" si="11"/>
        <v>54</v>
      </c>
      <c r="B72" s="214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07"/>
      <c r="P72" s="308"/>
      <c r="Q72" s="309"/>
      <c r="R72" s="78"/>
      <c r="S72" s="71"/>
      <c r="T72" s="71"/>
      <c r="U72" s="72"/>
    </row>
    <row r="73" spans="1:21" x14ac:dyDescent="0.4">
      <c r="A73" s="128">
        <f t="shared" si="11"/>
        <v>55</v>
      </c>
      <c r="B73" s="214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07"/>
      <c r="P73" s="308"/>
      <c r="Q73" s="309"/>
      <c r="R73" s="80"/>
      <c r="S73" s="73"/>
      <c r="T73" s="73"/>
      <c r="U73" s="74"/>
    </row>
    <row r="74" spans="1:21" x14ac:dyDescent="0.4">
      <c r="A74" s="128">
        <f t="shared" si="11"/>
        <v>56</v>
      </c>
      <c r="B74" s="214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4"/>
      <c r="P74" s="295"/>
      <c r="Q74" s="296"/>
      <c r="R74" s="80"/>
      <c r="S74" s="73"/>
      <c r="T74" s="73"/>
      <c r="U74" s="74"/>
    </row>
    <row r="75" spans="1:21" x14ac:dyDescent="0.4">
      <c r="A75" s="128">
        <f t="shared" si="11"/>
        <v>57</v>
      </c>
      <c r="B75" s="214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4"/>
      <c r="P75" s="305"/>
      <c r="Q75" s="306"/>
      <c r="R75" s="78"/>
      <c r="S75" s="71"/>
      <c r="T75" s="71"/>
      <c r="U75" s="72"/>
    </row>
    <row r="76" spans="1:21" x14ac:dyDescent="0.4">
      <c r="A76" s="128">
        <f t="shared" si="11"/>
        <v>58</v>
      </c>
      <c r="B76" s="214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4"/>
      <c r="P76" s="305"/>
      <c r="Q76" s="306"/>
      <c r="R76" s="5"/>
      <c r="S76" s="71"/>
      <c r="T76" s="71"/>
      <c r="U76" s="72"/>
    </row>
    <row r="77" spans="1:21" x14ac:dyDescent="0.4">
      <c r="A77" s="128">
        <f t="shared" si="11"/>
        <v>59</v>
      </c>
      <c r="B77" s="214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4"/>
      <c r="P77" s="305"/>
      <c r="Q77" s="306"/>
      <c r="R77" s="5"/>
      <c r="S77" s="71"/>
      <c r="T77" s="71"/>
      <c r="U77" s="72"/>
    </row>
    <row r="78" spans="1:21" x14ac:dyDescent="0.4">
      <c r="A78" s="128">
        <f t="shared" si="11"/>
        <v>60</v>
      </c>
      <c r="B78" s="214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4"/>
      <c r="P78" s="305"/>
      <c r="Q78" s="306"/>
      <c r="R78" s="5"/>
      <c r="S78" s="71"/>
      <c r="T78" s="71"/>
      <c r="U78" s="72"/>
    </row>
    <row r="79" spans="1:21" x14ac:dyDescent="0.4">
      <c r="A79" s="128">
        <f t="shared" si="11"/>
        <v>61</v>
      </c>
      <c r="B79" s="214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4"/>
      <c r="P79" s="305"/>
      <c r="Q79" s="306"/>
      <c r="R79" s="5"/>
      <c r="S79" s="71"/>
      <c r="T79" s="71"/>
      <c r="U79" s="72"/>
    </row>
    <row r="80" spans="1:21" x14ac:dyDescent="0.4">
      <c r="A80" s="128">
        <f t="shared" si="11"/>
        <v>62</v>
      </c>
      <c r="B80" s="214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4"/>
      <c r="P80" s="305"/>
      <c r="Q80" s="306"/>
      <c r="R80" s="5"/>
      <c r="S80" s="71"/>
      <c r="T80" s="71"/>
      <c r="U80" s="72"/>
    </row>
    <row r="81" spans="1:21" x14ac:dyDescent="0.4">
      <c r="A81" s="128">
        <f t="shared" si="11"/>
        <v>63</v>
      </c>
      <c r="B81" s="214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4"/>
      <c r="P81" s="305"/>
      <c r="Q81" s="306"/>
      <c r="R81" s="5"/>
      <c r="S81" s="71"/>
      <c r="T81" s="75"/>
      <c r="U81" s="72"/>
    </row>
    <row r="82" spans="1:21" x14ac:dyDescent="0.4">
      <c r="A82" s="128">
        <f t="shared" si="11"/>
        <v>64</v>
      </c>
      <c r="B82" s="214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4"/>
      <c r="P82" s="305"/>
      <c r="Q82" s="306"/>
      <c r="R82" s="5"/>
      <c r="S82" s="71"/>
      <c r="T82" s="75"/>
      <c r="U82" s="72"/>
    </row>
    <row r="83" spans="1:21" x14ac:dyDescent="0.4">
      <c r="A83" s="128">
        <f t="shared" si="11"/>
        <v>65</v>
      </c>
      <c r="B83" s="214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4"/>
      <c r="P83" s="305"/>
      <c r="Q83" s="305"/>
      <c r="R83" s="5"/>
      <c r="S83" s="71"/>
      <c r="T83" s="75"/>
      <c r="U83" s="72"/>
    </row>
    <row r="84" spans="1:21" x14ac:dyDescent="0.4">
      <c r="A84" s="128">
        <f t="shared" si="11"/>
        <v>66</v>
      </c>
      <c r="B84" s="214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4"/>
      <c r="P84" s="305"/>
      <c r="Q84" s="305"/>
      <c r="R84" s="81"/>
      <c r="S84" s="68"/>
      <c r="T84" s="76"/>
      <c r="U84" s="77"/>
    </row>
    <row r="85" spans="1:21" x14ac:dyDescent="0.4">
      <c r="A85" s="128">
        <f t="shared" si="11"/>
        <v>67</v>
      </c>
      <c r="B85" s="214"/>
      <c r="C85" s="127"/>
      <c r="D85" s="188"/>
      <c r="E85" s="181"/>
      <c r="F85" s="175"/>
      <c r="G85" s="214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5"/>
      <c r="P85" s="304"/>
      <c r="Q85" s="304"/>
      <c r="R85" s="81"/>
      <c r="S85" s="68"/>
      <c r="T85" s="76"/>
      <c r="U85" s="77"/>
    </row>
    <row r="86" spans="1:21" x14ac:dyDescent="0.4">
      <c r="A86" s="128">
        <f t="shared" si="11"/>
        <v>68</v>
      </c>
      <c r="B86" s="214"/>
      <c r="C86" s="127"/>
      <c r="D86" s="188"/>
      <c r="E86" s="181"/>
      <c r="F86" s="175"/>
      <c r="G86" s="214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5"/>
      <c r="P86" s="304"/>
      <c r="Q86" s="304"/>
      <c r="R86" s="81"/>
      <c r="S86" s="68"/>
      <c r="T86" s="76"/>
      <c r="U86" s="77"/>
    </row>
    <row r="87" spans="1:21" x14ac:dyDescent="0.4">
      <c r="A87" s="128">
        <f t="shared" si="11"/>
        <v>69</v>
      </c>
      <c r="B87" s="214"/>
      <c r="C87" s="127"/>
      <c r="D87" s="188"/>
      <c r="E87" s="181"/>
      <c r="F87" s="175"/>
      <c r="G87" s="214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5"/>
      <c r="P87" s="304"/>
      <c r="Q87" s="304"/>
      <c r="R87" s="81"/>
      <c r="S87" s="68"/>
      <c r="T87" s="76"/>
      <c r="U87" s="77"/>
    </row>
    <row r="88" spans="1:21" x14ac:dyDescent="0.4">
      <c r="A88" s="128">
        <f t="shared" si="11"/>
        <v>70</v>
      </c>
      <c r="B88" s="214"/>
      <c r="C88" s="132"/>
      <c r="D88" s="189"/>
      <c r="E88" s="181"/>
      <c r="F88" s="175"/>
      <c r="G88" s="214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5"/>
      <c r="P88" s="305"/>
      <c r="Q88" s="305"/>
      <c r="R88" s="81"/>
      <c r="S88" s="68"/>
      <c r="T88" s="76"/>
      <c r="U88" s="77"/>
    </row>
    <row r="89" spans="1:21" x14ac:dyDescent="0.4">
      <c r="A89" s="128">
        <f t="shared" si="11"/>
        <v>71</v>
      </c>
      <c r="B89" s="214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4"/>
      <c r="P89" s="305"/>
      <c r="Q89" s="305"/>
      <c r="R89" s="81"/>
      <c r="S89" s="68"/>
      <c r="T89" s="68"/>
      <c r="U89" s="77"/>
    </row>
    <row r="90" spans="1:21" x14ac:dyDescent="0.4">
      <c r="A90" s="128">
        <f t="shared" si="11"/>
        <v>72</v>
      </c>
      <c r="B90" s="214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5"/>
      <c r="P90" s="305"/>
      <c r="Q90" s="305"/>
      <c r="R90" s="81"/>
      <c r="S90" s="68"/>
      <c r="T90" s="68"/>
      <c r="U90" s="77"/>
    </row>
    <row r="91" spans="1:21" x14ac:dyDescent="0.4">
      <c r="A91" s="128">
        <f t="shared" si="11"/>
        <v>73</v>
      </c>
      <c r="B91" s="214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5"/>
      <c r="P91" s="305"/>
      <c r="Q91" s="305"/>
      <c r="R91" s="81"/>
      <c r="S91" s="68"/>
      <c r="T91" s="68"/>
      <c r="U91" s="77"/>
    </row>
    <row r="92" spans="1:21" x14ac:dyDescent="0.4">
      <c r="A92" s="128">
        <f t="shared" si="11"/>
        <v>74</v>
      </c>
      <c r="B92" s="214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4"/>
      <c r="P92" s="305"/>
      <c r="Q92" s="306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14"/>
      <c r="C93" s="30"/>
      <c r="D93" s="199"/>
      <c r="E93" s="182"/>
      <c r="F93" s="178"/>
      <c r="G93" s="214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46"/>
      <c r="P93" s="347"/>
      <c r="Q93" s="348"/>
      <c r="R93" s="81"/>
      <c r="S93" s="68"/>
      <c r="T93" s="68"/>
      <c r="U93" s="77"/>
    </row>
    <row r="94" spans="1:21" x14ac:dyDescent="0.4">
      <c r="A94" s="349" t="s">
        <v>48</v>
      </c>
      <c r="B94" s="350"/>
      <c r="C94" s="350"/>
      <c r="D94" s="350"/>
      <c r="E94" s="374"/>
      <c r="F94" s="350"/>
      <c r="G94" s="350"/>
      <c r="H94" s="350">
        <f t="shared" ref="H94:M94" si="12">SUM(H69:H93)</f>
        <v>0</v>
      </c>
      <c r="I94" s="355">
        <f t="shared" si="12"/>
        <v>0</v>
      </c>
      <c r="J94" s="355">
        <f>J93+J92+J91+J90+J89+J88+J87+J86+J85+J84+J83+J82+J81+J80+J79+J78+J77+J76+J75+J74+J73+J72+J71+J70+J69</f>
        <v>0</v>
      </c>
      <c r="K94" s="355">
        <f>K93+K92+K91+K90+K89+K88+K87+K86+K85+K84+K83+K82+K81+K80+K79+K78+K77+K76+K75+K74+K73+K72+K71+K70+K69</f>
        <v>0</v>
      </c>
      <c r="L94" s="358">
        <f t="shared" si="12"/>
        <v>0</v>
      </c>
      <c r="M94" s="361">
        <f t="shared" si="12"/>
        <v>0</v>
      </c>
      <c r="N94" s="364"/>
      <c r="O94" s="365"/>
      <c r="P94" s="365"/>
      <c r="Q94" s="366"/>
      <c r="R94" s="5"/>
      <c r="S94" s="6"/>
      <c r="T94" s="7"/>
      <c r="U94" s="8"/>
    </row>
    <row r="95" spans="1:21" ht="18" thickBot="1" x14ac:dyDescent="0.45">
      <c r="A95" s="351"/>
      <c r="B95" s="352"/>
      <c r="C95" s="352"/>
      <c r="D95" s="352"/>
      <c r="E95" s="352"/>
      <c r="F95" s="352"/>
      <c r="G95" s="352"/>
      <c r="H95" s="352"/>
      <c r="I95" s="356"/>
      <c r="J95" s="356"/>
      <c r="K95" s="356"/>
      <c r="L95" s="359"/>
      <c r="M95" s="362"/>
      <c r="N95" s="367"/>
      <c r="O95" s="368"/>
      <c r="P95" s="368"/>
      <c r="Q95" s="369"/>
      <c r="R95" s="1"/>
      <c r="S95" s="2"/>
      <c r="T95" s="3"/>
      <c r="U95" s="4"/>
    </row>
    <row r="96" spans="1:21" ht="18" thickBot="1" x14ac:dyDescent="0.45">
      <c r="A96" s="353"/>
      <c r="B96" s="354"/>
      <c r="C96" s="354"/>
      <c r="D96" s="354"/>
      <c r="E96" s="354"/>
      <c r="F96" s="354"/>
      <c r="G96" s="354"/>
      <c r="H96" s="354"/>
      <c r="I96" s="357"/>
      <c r="J96" s="357"/>
      <c r="K96" s="357"/>
      <c r="L96" s="360"/>
      <c r="M96" s="363"/>
      <c r="N96" s="326"/>
      <c r="O96" s="327"/>
      <c r="P96" s="327"/>
      <c r="Q96" s="370"/>
      <c r="R96" s="371" t="s">
        <v>52</v>
      </c>
      <c r="S96" s="372"/>
      <c r="T96" s="372"/>
      <c r="U96" s="373"/>
    </row>
  </sheetData>
  <mergeCells count="131"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</mergeCells>
  <phoneticPr fontId="3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90" zoomScaleNormal="90" zoomScaleSheetLayoutView="77" workbookViewId="0">
      <selection activeCell="O13" sqref="O13:Q13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287" t="s">
        <v>77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9"/>
    </row>
    <row r="2" spans="1:44" ht="18" thickBot="1" x14ac:dyDescent="0.45">
      <c r="A2" s="287" t="s">
        <v>149</v>
      </c>
      <c r="B2" s="288"/>
      <c r="C2" s="288"/>
      <c r="D2" s="288"/>
      <c r="E2" s="288"/>
      <c r="F2" s="288"/>
      <c r="G2" s="289"/>
      <c r="H2" s="290" t="s">
        <v>49</v>
      </c>
      <c r="I2" s="291"/>
      <c r="J2" s="287" t="s">
        <v>150</v>
      </c>
      <c r="K2" s="289"/>
      <c r="L2" s="291" t="s">
        <v>96</v>
      </c>
      <c r="M2" s="292"/>
      <c r="N2" s="290"/>
      <c r="O2" s="288" t="s">
        <v>100</v>
      </c>
      <c r="P2" s="288"/>
      <c r="Q2" s="289"/>
      <c r="R2" s="291" t="s">
        <v>51</v>
      </c>
      <c r="S2" s="290"/>
      <c r="T2" s="293">
        <v>5</v>
      </c>
      <c r="U2" s="29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297" t="s">
        <v>8</v>
      </c>
      <c r="P4" s="297"/>
      <c r="Q4" s="29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10262</v>
      </c>
      <c r="C5" s="68" t="s">
        <v>152</v>
      </c>
      <c r="D5" s="200" t="s">
        <v>153</v>
      </c>
      <c r="E5" s="181" t="s">
        <v>92</v>
      </c>
      <c r="F5" s="170">
        <v>1000</v>
      </c>
      <c r="G5" s="118" t="s">
        <v>44</v>
      </c>
      <c r="H5" s="91">
        <v>20</v>
      </c>
      <c r="I5" s="124"/>
      <c r="J5" s="130" t="str">
        <f>IF(G5="RSL","55","0")</f>
        <v>55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100</v>
      </c>
      <c r="O5" s="375">
        <v>202206012</v>
      </c>
      <c r="P5" s="376"/>
      <c r="Q5" s="377"/>
      <c r="R5" s="33" t="s">
        <v>100</v>
      </c>
      <c r="S5" s="31">
        <v>0.33333333333333331</v>
      </c>
      <c r="T5" s="32">
        <v>0.6875</v>
      </c>
      <c r="U5" s="92">
        <f t="shared" ref="U5:U15" si="0">(T5-S5)*24</f>
        <v>8.5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10263</v>
      </c>
      <c r="C6" s="67" t="s">
        <v>154</v>
      </c>
      <c r="D6" s="200" t="s">
        <v>155</v>
      </c>
      <c r="E6" s="181" t="s">
        <v>92</v>
      </c>
      <c r="F6" s="171">
        <v>1105</v>
      </c>
      <c r="G6" s="118" t="s">
        <v>137</v>
      </c>
      <c r="H6" s="91">
        <v>75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100</v>
      </c>
      <c r="O6" s="301"/>
      <c r="P6" s="302"/>
      <c r="Q6" s="303"/>
      <c r="R6" s="132" t="s">
        <v>101</v>
      </c>
      <c r="S6" s="31">
        <v>0.33333333333333331</v>
      </c>
      <c r="T6" s="32">
        <v>0.6875</v>
      </c>
      <c r="U6" s="92">
        <f t="shared" si="0"/>
        <v>8.5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10264</v>
      </c>
      <c r="C7" s="67" t="s">
        <v>156</v>
      </c>
      <c r="D7" s="200" t="s">
        <v>157</v>
      </c>
      <c r="E7" s="181" t="s">
        <v>92</v>
      </c>
      <c r="F7" s="171">
        <v>1120</v>
      </c>
      <c r="G7" s="118" t="s">
        <v>117</v>
      </c>
      <c r="H7" s="91">
        <v>95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100</v>
      </c>
      <c r="O7" s="304"/>
      <c r="P7" s="305"/>
      <c r="Q7" s="306"/>
      <c r="R7" s="134" t="s">
        <v>102</v>
      </c>
      <c r="S7" s="31">
        <v>0.38541666666666669</v>
      </c>
      <c r="T7" s="32">
        <v>0.66666666666666663</v>
      </c>
      <c r="U7" s="92">
        <f t="shared" si="0"/>
        <v>6.7499999999999982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10265</v>
      </c>
      <c r="C8" s="27" t="s">
        <v>158</v>
      </c>
      <c r="D8" s="200" t="s">
        <v>159</v>
      </c>
      <c r="E8" s="181" t="s">
        <v>92</v>
      </c>
      <c r="F8" s="171">
        <v>1310</v>
      </c>
      <c r="G8" s="118" t="s">
        <v>160</v>
      </c>
      <c r="H8" s="91">
        <v>200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100</v>
      </c>
      <c r="O8" s="307"/>
      <c r="P8" s="308"/>
      <c r="Q8" s="309"/>
      <c r="R8" s="26" t="s">
        <v>151</v>
      </c>
      <c r="S8" s="31">
        <v>0.39583333333333331</v>
      </c>
      <c r="T8" s="32">
        <v>0.52083333333333337</v>
      </c>
      <c r="U8" s="92">
        <f t="shared" si="0"/>
        <v>3.0000000000000013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10266</v>
      </c>
      <c r="C9" s="63" t="s">
        <v>161</v>
      </c>
      <c r="D9" s="201" t="s">
        <v>162</v>
      </c>
      <c r="E9" s="181" t="s">
        <v>92</v>
      </c>
      <c r="F9" s="172">
        <v>1320</v>
      </c>
      <c r="G9" s="119" t="s">
        <v>137</v>
      </c>
      <c r="H9" s="91">
        <v>55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100</v>
      </c>
      <c r="O9" s="307"/>
      <c r="P9" s="308"/>
      <c r="Q9" s="309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10267</v>
      </c>
      <c r="C10" s="28" t="s">
        <v>165</v>
      </c>
      <c r="D10" s="202" t="s">
        <v>166</v>
      </c>
      <c r="E10" s="181" t="s">
        <v>92</v>
      </c>
      <c r="F10" s="173">
        <v>1430</v>
      </c>
      <c r="G10" s="120" t="s">
        <v>117</v>
      </c>
      <c r="H10" s="123">
        <v>90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100</v>
      </c>
      <c r="O10" s="294"/>
      <c r="P10" s="295"/>
      <c r="Q10" s="296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10268</v>
      </c>
      <c r="C11" s="18" t="s">
        <v>163</v>
      </c>
      <c r="D11" s="203" t="s">
        <v>164</v>
      </c>
      <c r="E11" s="181" t="s">
        <v>92</v>
      </c>
      <c r="F11" s="66">
        <v>1430</v>
      </c>
      <c r="G11" s="121" t="s">
        <v>44</v>
      </c>
      <c r="H11" s="123"/>
      <c r="I11" s="124"/>
      <c r="J11" s="130" t="str">
        <f t="shared" si="1"/>
        <v>55</v>
      </c>
      <c r="K11" s="130" t="str">
        <f t="shared" si="2"/>
        <v>0</v>
      </c>
      <c r="L11" s="131"/>
      <c r="M11" s="131"/>
      <c r="N11" s="134" t="s">
        <v>100</v>
      </c>
      <c r="O11" s="304">
        <v>202205055</v>
      </c>
      <c r="P11" s="305"/>
      <c r="Q11" s="306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10269</v>
      </c>
      <c r="C12" s="64" t="s">
        <v>167</v>
      </c>
      <c r="D12" s="204" t="s">
        <v>168</v>
      </c>
      <c r="E12" s="181" t="s">
        <v>91</v>
      </c>
      <c r="F12" s="173">
        <v>1540</v>
      </c>
      <c r="G12" s="119" t="s">
        <v>137</v>
      </c>
      <c r="H12" s="123">
        <v>55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100</v>
      </c>
      <c r="O12" s="304"/>
      <c r="P12" s="305"/>
      <c r="Q12" s="306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304"/>
      <c r="P13" s="305"/>
      <c r="Q13" s="306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04"/>
      <c r="P14" s="305"/>
      <c r="Q14" s="306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04"/>
      <c r="P15" s="305"/>
      <c r="Q15" s="306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04"/>
      <c r="P16" s="305"/>
      <c r="Q16" s="306"/>
      <c r="R16" s="82">
        <f>H32/U16</f>
        <v>0.29906542056074764</v>
      </c>
      <c r="S16" s="83">
        <f>H32/(U16-U5)</f>
        <v>0.43835616438356162</v>
      </c>
      <c r="T16" s="83">
        <f>C32/U16</f>
        <v>26.168224299065422</v>
      </c>
      <c r="U16" s="83">
        <f>SUM(U5:U15)</f>
        <v>26.75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04"/>
      <c r="P17" s="305"/>
      <c r="Q17" s="306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4"/>
      <c r="P18" s="305"/>
      <c r="Q18" s="306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4"/>
      <c r="P19" s="305"/>
      <c r="Q19" s="305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12"/>
      <c r="P20" s="313"/>
      <c r="Q20" s="31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4"/>
      <c r="P21" s="305"/>
      <c r="Q21" s="305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4"/>
      <c r="P22" s="305"/>
      <c r="Q22" s="306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0"/>
      <c r="Y23" s="311"/>
      <c r="Z23" s="311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4"/>
      <c r="P24" s="305"/>
      <c r="Q24" s="306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4"/>
      <c r="P25" s="305"/>
      <c r="Q25" s="306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14">
        <f>((C32+(R26+S26+T26)*0.5))</f>
        <v>700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4"/>
      <c r="P26" s="305"/>
      <c r="Q26" s="306"/>
      <c r="R26" s="112">
        <f>R25*37.5</f>
        <v>0</v>
      </c>
      <c r="S26" s="102">
        <f>S25*41.5</f>
        <v>0</v>
      </c>
      <c r="T26" s="102">
        <f>T25*50</f>
        <v>0</v>
      </c>
      <c r="U26" s="31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4"/>
      <c r="P27" s="305"/>
      <c r="Q27" s="306"/>
      <c r="R27" s="323" t="s">
        <v>56</v>
      </c>
      <c r="S27" s="324"/>
      <c r="T27" s="324"/>
      <c r="U27" s="32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4"/>
      <c r="P28" s="305"/>
      <c r="Q28" s="306"/>
      <c r="R28" s="316"/>
      <c r="S28" s="317"/>
      <c r="T28" s="31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32"/>
      <c r="P29" s="333"/>
      <c r="Q29" s="334"/>
      <c r="R29" s="335"/>
      <c r="S29" s="336"/>
      <c r="T29" s="33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38" t="s">
        <v>48</v>
      </c>
      <c r="B30" s="339"/>
      <c r="C30" s="339"/>
      <c r="D30" s="339"/>
      <c r="E30" s="340"/>
      <c r="F30" s="339"/>
      <c r="G30" s="339"/>
      <c r="H30" s="264">
        <f t="shared" ref="H30:M30" si="3">SUM(H5:H29)</f>
        <v>590</v>
      </c>
      <c r="I30" s="105">
        <f>SUM(I5:I29)</f>
        <v>0</v>
      </c>
      <c r="J30" s="105">
        <f>J5+J6+J7+J8+J9+J10+J11+J12+J13+J14+J15+J16+J18+J19+J17+J20+J22+J23+J21+J24+J25+J26+J27+J28+J29</f>
        <v>110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1"/>
      <c r="S30" s="341"/>
      <c r="T30" s="34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43" t="s">
        <v>16</v>
      </c>
      <c r="B31" s="344"/>
      <c r="C31" s="344"/>
      <c r="D31" s="344"/>
      <c r="E31" s="344"/>
      <c r="F31" s="344"/>
      <c r="G31" s="344"/>
      <c r="H31" s="265">
        <f t="shared" ref="H31:J31" si="4">H30+H62+H94</f>
        <v>590</v>
      </c>
      <c r="I31" s="103">
        <f t="shared" si="4"/>
        <v>0</v>
      </c>
      <c r="J31" s="103">
        <f t="shared" si="4"/>
        <v>110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7</v>
      </c>
      <c r="O31" s="104">
        <f>COUNT(I5:I29,I37:I61,I69:I93)</f>
        <v>0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2</v>
      </c>
      <c r="R31" s="98" t="s">
        <v>83</v>
      </c>
      <c r="S31" s="111">
        <f>H31+L31-U28-U29-U30</f>
        <v>590</v>
      </c>
      <c r="T31" s="328">
        <f>H31+I31+L31+M31</f>
        <v>590</v>
      </c>
      <c r="U31" s="32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19" t="s">
        <v>55</v>
      </c>
      <c r="B32" s="320"/>
      <c r="C32" s="107">
        <f>H31+I31+J31+K31</f>
        <v>700</v>
      </c>
      <c r="D32" s="196"/>
      <c r="E32" s="107"/>
      <c r="F32" s="321" t="s">
        <v>53</v>
      </c>
      <c r="G32" s="321"/>
      <c r="H32" s="109">
        <f>COUNT(B5:B29,B37:B61,B69:B93)</f>
        <v>8</v>
      </c>
      <c r="I32" s="322" t="s">
        <v>54</v>
      </c>
      <c r="J32" s="322"/>
      <c r="K32" s="108">
        <f>C32/H32</f>
        <v>87.5</v>
      </c>
      <c r="L32" s="260"/>
      <c r="M32" s="260"/>
      <c r="N32" s="260">
        <f>H31/C32</f>
        <v>0.84285714285714286</v>
      </c>
      <c r="O32" s="260">
        <f>I31/C32</f>
        <v>0</v>
      </c>
      <c r="P32" s="260">
        <f>K31/C32</f>
        <v>0</v>
      </c>
      <c r="Q32" s="110">
        <f>J31/C32</f>
        <v>0.15714285714285714</v>
      </c>
      <c r="R32" s="99" t="s">
        <v>82</v>
      </c>
      <c r="S32" s="266">
        <f>I31+M31</f>
        <v>0</v>
      </c>
      <c r="T32" s="330"/>
      <c r="U32" s="331"/>
      <c r="V32" s="55"/>
      <c r="W32" s="55"/>
      <c r="X32" s="56" t="s">
        <v>27</v>
      </c>
      <c r="Y32" s="56"/>
      <c r="Z32" s="54">
        <f>I31</f>
        <v>0</v>
      </c>
      <c r="AE32" s="37"/>
      <c r="AF32" s="37"/>
      <c r="AG32" s="37"/>
      <c r="AH32" s="37"/>
    </row>
    <row r="33" spans="1:34" ht="18" thickBot="1" x14ac:dyDescent="0.45">
      <c r="A33" s="326" t="s">
        <v>24</v>
      </c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288"/>
      <c r="U33" s="289"/>
      <c r="X33" s="57" t="s">
        <v>29</v>
      </c>
      <c r="Y33" s="57"/>
      <c r="Z33" s="58">
        <f>SUM(Z31:Z32)</f>
        <v>-2745</v>
      </c>
      <c r="AE33" s="37"/>
      <c r="AF33" s="37"/>
      <c r="AG33" s="59"/>
      <c r="AH33" s="37"/>
    </row>
    <row r="34" spans="1:34" ht="18" thickBot="1" x14ac:dyDescent="0.45">
      <c r="A34" s="287" t="str">
        <f>A2</f>
        <v>26 - 7 - 2022</v>
      </c>
      <c r="B34" s="288"/>
      <c r="C34" s="288"/>
      <c r="D34" s="288"/>
      <c r="E34" s="288"/>
      <c r="F34" s="288"/>
      <c r="G34" s="289"/>
      <c r="H34" s="290" t="s">
        <v>49</v>
      </c>
      <c r="I34" s="291"/>
      <c r="J34" s="287" t="str">
        <f>J2</f>
        <v>SHOWER</v>
      </c>
      <c r="K34" s="289"/>
      <c r="L34" s="291" t="s">
        <v>50</v>
      </c>
      <c r="M34" s="292"/>
      <c r="N34" s="290"/>
      <c r="O34" s="288" t="str">
        <f>O2</f>
        <v>HENDRA</v>
      </c>
      <c r="P34" s="288"/>
      <c r="Q34" s="289"/>
      <c r="R34" s="291" t="s">
        <v>51</v>
      </c>
      <c r="S34" s="290"/>
      <c r="T34" s="293">
        <f>T2</f>
        <v>5</v>
      </c>
      <c r="U34" s="293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297" t="s">
        <v>8</v>
      </c>
      <c r="P36" s="297"/>
      <c r="Q36" s="29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4"/>
      <c r="P37" s="305"/>
      <c r="Q37" s="306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01"/>
      <c r="P38" s="302"/>
      <c r="Q38" s="303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4"/>
      <c r="P39" s="305"/>
      <c r="Q39" s="306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07"/>
      <c r="P40" s="308"/>
      <c r="Q40" s="309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07"/>
      <c r="P41" s="308"/>
      <c r="Q41" s="309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4"/>
      <c r="P42" s="295"/>
      <c r="Q42" s="296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4"/>
      <c r="P43" s="305"/>
      <c r="Q43" s="306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4"/>
      <c r="P44" s="305"/>
      <c r="Q44" s="306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4"/>
      <c r="P45" s="305"/>
      <c r="Q45" s="306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4"/>
      <c r="P46" s="305"/>
      <c r="Q46" s="306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4"/>
      <c r="P47" s="305"/>
      <c r="Q47" s="306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4"/>
      <c r="P48" s="305"/>
      <c r="Q48" s="306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4"/>
      <c r="P49" s="305"/>
      <c r="Q49" s="306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4"/>
      <c r="P50" s="305"/>
      <c r="Q50" s="306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4"/>
      <c r="P51" s="305"/>
      <c r="Q51" s="305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4"/>
      <c r="P52" s="305"/>
      <c r="Q52" s="305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5"/>
      <c r="P53" s="304"/>
      <c r="Q53" s="304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5"/>
      <c r="P54" s="304"/>
      <c r="Q54" s="304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5"/>
      <c r="P55" s="304"/>
      <c r="Q55" s="304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5"/>
      <c r="P56" s="305"/>
      <c r="Q56" s="305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4"/>
      <c r="P57" s="305"/>
      <c r="Q57" s="305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5"/>
      <c r="P58" s="305"/>
      <c r="Q58" s="305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5"/>
      <c r="P59" s="305"/>
      <c r="Q59" s="305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4"/>
      <c r="P60" s="305"/>
      <c r="Q60" s="306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46"/>
      <c r="P61" s="347"/>
      <c r="Q61" s="348"/>
      <c r="R61" s="81"/>
      <c r="S61" s="68"/>
      <c r="T61" s="68"/>
      <c r="U61" s="77"/>
    </row>
    <row r="62" spans="1:21" x14ac:dyDescent="0.4">
      <c r="A62" s="349" t="s">
        <v>48</v>
      </c>
      <c r="B62" s="350"/>
      <c r="C62" s="350"/>
      <c r="D62" s="350"/>
      <c r="E62" s="350"/>
      <c r="F62" s="350"/>
      <c r="G62" s="350"/>
      <c r="H62" s="350">
        <f t="shared" ref="H62:M62" si="8">SUM(H37:H61)</f>
        <v>0</v>
      </c>
      <c r="I62" s="355">
        <f t="shared" si="8"/>
        <v>0</v>
      </c>
      <c r="J62" s="355">
        <f>J61+J60+J59+J58+J57+J56+J55+J54+J53+J52+J51+J50+J49+J48+J47+J46+J45+J44+J43+J42+J41+J40+J39+J38+J37</f>
        <v>0</v>
      </c>
      <c r="K62" s="355">
        <f>K61+K60+K59+K58+K57+K56+K55+K54+K53+K52+K51+K50+K49+K48+K47+K46+K45+K44+K43+K42+K41+K40+K39+K38+K37</f>
        <v>0</v>
      </c>
      <c r="L62" s="358">
        <f t="shared" si="8"/>
        <v>0</v>
      </c>
      <c r="M62" s="361">
        <f t="shared" si="8"/>
        <v>0</v>
      </c>
      <c r="N62" s="364"/>
      <c r="O62" s="365"/>
      <c r="P62" s="365"/>
      <c r="Q62" s="366"/>
      <c r="R62" s="5"/>
      <c r="S62" s="6"/>
      <c r="T62" s="7"/>
      <c r="U62" s="8"/>
    </row>
    <row r="63" spans="1:21" ht="18" thickBot="1" x14ac:dyDescent="0.45">
      <c r="A63" s="351"/>
      <c r="B63" s="352"/>
      <c r="C63" s="352"/>
      <c r="D63" s="352"/>
      <c r="E63" s="352"/>
      <c r="F63" s="352"/>
      <c r="G63" s="352"/>
      <c r="H63" s="352"/>
      <c r="I63" s="356"/>
      <c r="J63" s="356"/>
      <c r="K63" s="356"/>
      <c r="L63" s="359"/>
      <c r="M63" s="362"/>
      <c r="N63" s="367"/>
      <c r="O63" s="368"/>
      <c r="P63" s="368"/>
      <c r="Q63" s="369"/>
      <c r="R63" s="1"/>
      <c r="S63" s="2"/>
      <c r="T63" s="3"/>
      <c r="U63" s="4"/>
    </row>
    <row r="64" spans="1:21" ht="18" thickBot="1" x14ac:dyDescent="0.45">
      <c r="A64" s="353"/>
      <c r="B64" s="354"/>
      <c r="C64" s="354"/>
      <c r="D64" s="354"/>
      <c r="E64" s="354"/>
      <c r="F64" s="354"/>
      <c r="G64" s="354"/>
      <c r="H64" s="354"/>
      <c r="I64" s="357"/>
      <c r="J64" s="357"/>
      <c r="K64" s="357"/>
      <c r="L64" s="360"/>
      <c r="M64" s="363"/>
      <c r="N64" s="326"/>
      <c r="O64" s="327"/>
      <c r="P64" s="327"/>
      <c r="Q64" s="370"/>
      <c r="R64" s="371" t="s">
        <v>17</v>
      </c>
      <c r="S64" s="372"/>
      <c r="T64" s="372"/>
      <c r="U64" s="373"/>
    </row>
    <row r="65" spans="1:21" ht="18" thickBot="1" x14ac:dyDescent="0.45">
      <c r="A65" s="287" t="s">
        <v>24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8"/>
      <c r="Q65" s="288"/>
      <c r="R65" s="288"/>
      <c r="S65" s="288"/>
      <c r="T65" s="288"/>
      <c r="U65" s="289"/>
    </row>
    <row r="66" spans="1:21" ht="18" thickBot="1" x14ac:dyDescent="0.45">
      <c r="A66" s="287" t="str">
        <f>A34</f>
        <v>26 - 7 - 2022</v>
      </c>
      <c r="B66" s="288"/>
      <c r="C66" s="288"/>
      <c r="D66" s="288"/>
      <c r="E66" s="288"/>
      <c r="F66" s="288"/>
      <c r="G66" s="289"/>
      <c r="H66" s="290" t="s">
        <v>49</v>
      </c>
      <c r="I66" s="291"/>
      <c r="J66" s="287" t="str">
        <f>J34</f>
        <v>SHOWER</v>
      </c>
      <c r="K66" s="289"/>
      <c r="L66" s="291" t="s">
        <v>50</v>
      </c>
      <c r="M66" s="292"/>
      <c r="N66" s="290"/>
      <c r="O66" s="288" t="str">
        <f>O34</f>
        <v>HENDRA</v>
      </c>
      <c r="P66" s="288"/>
      <c r="Q66" s="289"/>
      <c r="R66" s="291" t="s">
        <v>51</v>
      </c>
      <c r="S66" s="290"/>
      <c r="T66" s="293">
        <f>T34</f>
        <v>5</v>
      </c>
      <c r="U66" s="293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297" t="s">
        <v>8</v>
      </c>
      <c r="P68" s="297"/>
      <c r="Q68" s="29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4"/>
      <c r="P69" s="305"/>
      <c r="Q69" s="306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01"/>
      <c r="P70" s="302"/>
      <c r="Q70" s="303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4"/>
      <c r="P71" s="305"/>
      <c r="Q71" s="306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07"/>
      <c r="P72" s="308"/>
      <c r="Q72" s="309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07"/>
      <c r="P73" s="308"/>
      <c r="Q73" s="309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4"/>
      <c r="P74" s="295"/>
      <c r="Q74" s="296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4"/>
      <c r="P75" s="305"/>
      <c r="Q75" s="306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4"/>
      <c r="P76" s="305"/>
      <c r="Q76" s="306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4"/>
      <c r="P77" s="305"/>
      <c r="Q77" s="306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4"/>
      <c r="P78" s="305"/>
      <c r="Q78" s="306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4"/>
      <c r="P79" s="305"/>
      <c r="Q79" s="306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4"/>
      <c r="P80" s="305"/>
      <c r="Q80" s="306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4"/>
      <c r="P81" s="305"/>
      <c r="Q81" s="306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4"/>
      <c r="P82" s="305"/>
      <c r="Q82" s="306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4"/>
      <c r="P83" s="305"/>
      <c r="Q83" s="305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4"/>
      <c r="P84" s="305"/>
      <c r="Q84" s="305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5"/>
      <c r="P85" s="304"/>
      <c r="Q85" s="304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5"/>
      <c r="P86" s="304"/>
      <c r="Q86" s="304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5"/>
      <c r="P87" s="304"/>
      <c r="Q87" s="304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5"/>
      <c r="P88" s="305"/>
      <c r="Q88" s="305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4"/>
      <c r="P89" s="305"/>
      <c r="Q89" s="305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5"/>
      <c r="P90" s="305"/>
      <c r="Q90" s="305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5"/>
      <c r="P91" s="305"/>
      <c r="Q91" s="305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4"/>
      <c r="P92" s="305"/>
      <c r="Q92" s="306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46"/>
      <c r="P93" s="347"/>
      <c r="Q93" s="348"/>
      <c r="R93" s="81"/>
      <c r="S93" s="68"/>
      <c r="T93" s="68"/>
      <c r="U93" s="77"/>
    </row>
    <row r="94" spans="1:21" x14ac:dyDescent="0.4">
      <c r="A94" s="349" t="s">
        <v>48</v>
      </c>
      <c r="B94" s="350"/>
      <c r="C94" s="350"/>
      <c r="D94" s="350"/>
      <c r="E94" s="374"/>
      <c r="F94" s="350"/>
      <c r="G94" s="350"/>
      <c r="H94" s="350">
        <f t="shared" ref="H94:M94" si="12">SUM(H69:H93)</f>
        <v>0</v>
      </c>
      <c r="I94" s="355">
        <f t="shared" si="12"/>
        <v>0</v>
      </c>
      <c r="J94" s="355">
        <f>J93+J92+J91+J90+J89+J88+J87+J86+J85+J84+J83+J82+J81+J80+J79+J78+J77+J76+J75+J74+J73+J72+J71+J70+J69</f>
        <v>0</v>
      </c>
      <c r="K94" s="355">
        <f>K93+K92+K91+K90+K89+K88+K87+K86+K85+K84+K83+K82+K81+K80+K79+K78+K77+K76+K75+K74+K73+K72+K71+K70+K69</f>
        <v>0</v>
      </c>
      <c r="L94" s="358">
        <f t="shared" si="12"/>
        <v>0</v>
      </c>
      <c r="M94" s="361">
        <f t="shared" si="12"/>
        <v>0</v>
      </c>
      <c r="N94" s="364"/>
      <c r="O94" s="365"/>
      <c r="P94" s="365"/>
      <c r="Q94" s="366"/>
      <c r="R94" s="5"/>
      <c r="S94" s="6"/>
      <c r="T94" s="7"/>
      <c r="U94" s="8"/>
    </row>
    <row r="95" spans="1:21" ht="18" thickBot="1" x14ac:dyDescent="0.45">
      <c r="A95" s="351"/>
      <c r="B95" s="352"/>
      <c r="C95" s="352"/>
      <c r="D95" s="352"/>
      <c r="E95" s="352"/>
      <c r="F95" s="352"/>
      <c r="G95" s="352"/>
      <c r="H95" s="352"/>
      <c r="I95" s="356"/>
      <c r="J95" s="356"/>
      <c r="K95" s="356"/>
      <c r="L95" s="359"/>
      <c r="M95" s="362"/>
      <c r="N95" s="367"/>
      <c r="O95" s="368"/>
      <c r="P95" s="368"/>
      <c r="Q95" s="369"/>
      <c r="R95" s="1"/>
      <c r="S95" s="2"/>
      <c r="T95" s="3"/>
      <c r="U95" s="4"/>
    </row>
    <row r="96" spans="1:21" ht="18" thickBot="1" x14ac:dyDescent="0.45">
      <c r="A96" s="353"/>
      <c r="B96" s="354"/>
      <c r="C96" s="354"/>
      <c r="D96" s="354"/>
      <c r="E96" s="354"/>
      <c r="F96" s="354"/>
      <c r="G96" s="354"/>
      <c r="H96" s="354"/>
      <c r="I96" s="357"/>
      <c r="J96" s="357"/>
      <c r="K96" s="357"/>
      <c r="L96" s="360"/>
      <c r="M96" s="363"/>
      <c r="N96" s="326"/>
      <c r="O96" s="327"/>
      <c r="P96" s="327"/>
      <c r="Q96" s="370"/>
      <c r="R96" s="371" t="s">
        <v>52</v>
      </c>
      <c r="S96" s="372"/>
      <c r="T96" s="372"/>
      <c r="U96" s="373"/>
    </row>
  </sheetData>
  <mergeCells count="131"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</mergeCells>
  <phoneticPr fontId="3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="90" zoomScaleNormal="90" zoomScaleSheetLayoutView="77" workbookViewId="0">
      <selection activeCell="R5" sqref="R5:R8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287" t="s">
        <v>77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9"/>
    </row>
    <row r="2" spans="1:44" ht="18" thickBot="1" x14ac:dyDescent="0.45">
      <c r="A2" s="287" t="s">
        <v>169</v>
      </c>
      <c r="B2" s="288"/>
      <c r="C2" s="288"/>
      <c r="D2" s="288"/>
      <c r="E2" s="288"/>
      <c r="F2" s="288"/>
      <c r="G2" s="289"/>
      <c r="H2" s="290" t="s">
        <v>49</v>
      </c>
      <c r="I2" s="291"/>
      <c r="J2" s="287" t="s">
        <v>98</v>
      </c>
      <c r="K2" s="289"/>
      <c r="L2" s="291" t="s">
        <v>96</v>
      </c>
      <c r="M2" s="292"/>
      <c r="N2" s="290"/>
      <c r="O2" s="288" t="s">
        <v>99</v>
      </c>
      <c r="P2" s="288"/>
      <c r="Q2" s="289"/>
      <c r="R2" s="291" t="s">
        <v>51</v>
      </c>
      <c r="S2" s="290"/>
      <c r="T2" s="293">
        <v>5</v>
      </c>
      <c r="U2" s="29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297" t="s">
        <v>8</v>
      </c>
      <c r="P4" s="297"/>
      <c r="Q4" s="29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10270</v>
      </c>
      <c r="C5" s="68" t="s">
        <v>170</v>
      </c>
      <c r="D5" s="200" t="s">
        <v>171</v>
      </c>
      <c r="E5" s="181" t="s">
        <v>172</v>
      </c>
      <c r="F5" s="170">
        <v>850</v>
      </c>
      <c r="G5" s="118" t="s">
        <v>108</v>
      </c>
      <c r="H5" s="91"/>
      <c r="I5" s="124"/>
      <c r="J5" s="130" t="str">
        <f>IF(G5="RSL","55","0")</f>
        <v>0</v>
      </c>
      <c r="K5" s="130">
        <v>79.099999999999994</v>
      </c>
      <c r="L5" s="131"/>
      <c r="M5" s="131"/>
      <c r="N5" s="134" t="s">
        <v>99</v>
      </c>
      <c r="O5" s="375" t="s">
        <v>173</v>
      </c>
      <c r="P5" s="376"/>
      <c r="Q5" s="377"/>
      <c r="R5" s="33" t="s">
        <v>99</v>
      </c>
      <c r="S5" s="31">
        <v>0.33333333333333331</v>
      </c>
      <c r="T5" s="32">
        <v>0.71875</v>
      </c>
      <c r="U5" s="92">
        <f t="shared" ref="U5:U15" si="0">(T5-S5)*24</f>
        <v>9.25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10271</v>
      </c>
      <c r="C6" s="67" t="s">
        <v>174</v>
      </c>
      <c r="D6" s="200" t="s">
        <v>175</v>
      </c>
      <c r="E6" s="181" t="s">
        <v>91</v>
      </c>
      <c r="F6" s="171">
        <v>910</v>
      </c>
      <c r="G6" s="118" t="s">
        <v>117</v>
      </c>
      <c r="H6" s="91"/>
      <c r="I6" s="124">
        <v>95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01"/>
      <c r="P6" s="302"/>
      <c r="Q6" s="303"/>
      <c r="R6" s="33" t="s">
        <v>100</v>
      </c>
      <c r="S6" s="31">
        <v>0.33333333333333331</v>
      </c>
      <c r="T6" s="32">
        <v>0.71875</v>
      </c>
      <c r="U6" s="92">
        <f t="shared" si="0"/>
        <v>9.25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10272</v>
      </c>
      <c r="C7" s="67" t="s">
        <v>176</v>
      </c>
      <c r="D7" s="200" t="s">
        <v>177</v>
      </c>
      <c r="E7" s="181" t="s">
        <v>92</v>
      </c>
      <c r="F7" s="171">
        <v>930</v>
      </c>
      <c r="G7" s="118" t="s">
        <v>117</v>
      </c>
      <c r="H7" s="91">
        <v>95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04"/>
      <c r="P7" s="305"/>
      <c r="Q7" s="306"/>
      <c r="R7" s="134" t="s">
        <v>102</v>
      </c>
      <c r="S7" s="31">
        <v>0.375</v>
      </c>
      <c r="T7" s="32">
        <v>0.66666666666666663</v>
      </c>
      <c r="U7" s="92">
        <f t="shared" si="0"/>
        <v>6.9999999999999991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10273</v>
      </c>
      <c r="C8" s="27" t="s">
        <v>179</v>
      </c>
      <c r="D8" s="200" t="s">
        <v>180</v>
      </c>
      <c r="E8" s="181" t="s">
        <v>92</v>
      </c>
      <c r="F8" s="171">
        <v>1025</v>
      </c>
      <c r="G8" s="118" t="s">
        <v>112</v>
      </c>
      <c r="H8" s="91"/>
      <c r="I8" s="124">
        <v>350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07"/>
      <c r="P8" s="308"/>
      <c r="Q8" s="309"/>
      <c r="R8" s="26" t="s">
        <v>103</v>
      </c>
      <c r="S8" s="31">
        <v>0.35416666666666669</v>
      </c>
      <c r="T8" s="32">
        <v>0.71875</v>
      </c>
      <c r="U8" s="92">
        <f t="shared" si="0"/>
        <v>8.75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10274</v>
      </c>
      <c r="C9" s="63" t="s">
        <v>181</v>
      </c>
      <c r="D9" s="201" t="s">
        <v>182</v>
      </c>
      <c r="E9" s="181" t="s">
        <v>92</v>
      </c>
      <c r="F9" s="172">
        <v>1035</v>
      </c>
      <c r="G9" s="119" t="s">
        <v>137</v>
      </c>
      <c r="H9" s="91">
        <v>55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33" t="s">
        <v>100</v>
      </c>
      <c r="O9" s="307"/>
      <c r="P9" s="308"/>
      <c r="Q9" s="309"/>
      <c r="R9" s="26" t="s">
        <v>104</v>
      </c>
      <c r="S9" s="31">
        <v>0.45833333333333331</v>
      </c>
      <c r="T9" s="32">
        <v>0.66666666666666663</v>
      </c>
      <c r="U9" s="92">
        <f t="shared" si="0"/>
        <v>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10275</v>
      </c>
      <c r="C10" s="28" t="s">
        <v>178</v>
      </c>
      <c r="D10" s="202" t="s">
        <v>183</v>
      </c>
      <c r="E10" s="181" t="s">
        <v>92</v>
      </c>
      <c r="F10" s="173">
        <v>1040</v>
      </c>
      <c r="G10" s="120" t="s">
        <v>117</v>
      </c>
      <c r="H10" s="123"/>
      <c r="I10" s="125">
        <v>75.75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294"/>
      <c r="P10" s="295"/>
      <c r="Q10" s="296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10276</v>
      </c>
      <c r="C11" s="18" t="s">
        <v>184</v>
      </c>
      <c r="D11" s="203" t="s">
        <v>185</v>
      </c>
      <c r="E11" s="181" t="s">
        <v>92</v>
      </c>
      <c r="F11" s="66">
        <v>1110</v>
      </c>
      <c r="G11" s="121" t="s">
        <v>108</v>
      </c>
      <c r="H11" s="123"/>
      <c r="I11" s="124"/>
      <c r="J11" s="130" t="str">
        <f t="shared" si="1"/>
        <v>0</v>
      </c>
      <c r="K11" s="130">
        <v>79.099999999999994</v>
      </c>
      <c r="L11" s="131"/>
      <c r="M11" s="131"/>
      <c r="N11" s="134" t="s">
        <v>99</v>
      </c>
      <c r="O11" s="304" t="s">
        <v>186</v>
      </c>
      <c r="P11" s="305"/>
      <c r="Q11" s="306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10277</v>
      </c>
      <c r="C12" s="64" t="s">
        <v>187</v>
      </c>
      <c r="D12" s="204" t="s">
        <v>188</v>
      </c>
      <c r="E12" s="181" t="s">
        <v>92</v>
      </c>
      <c r="F12" s="173">
        <v>1125</v>
      </c>
      <c r="G12" s="119" t="s">
        <v>117</v>
      </c>
      <c r="H12" s="123"/>
      <c r="I12" s="125">
        <v>75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04"/>
      <c r="P12" s="305"/>
      <c r="Q12" s="306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10278</v>
      </c>
      <c r="C13" s="64" t="s">
        <v>193</v>
      </c>
      <c r="D13" s="204" t="s">
        <v>194</v>
      </c>
      <c r="E13" s="181" t="s">
        <v>92</v>
      </c>
      <c r="F13" s="173">
        <v>1210</v>
      </c>
      <c r="G13" s="119" t="s">
        <v>117</v>
      </c>
      <c r="H13" s="169"/>
      <c r="I13" s="168">
        <v>75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04"/>
      <c r="P13" s="305"/>
      <c r="Q13" s="306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10279</v>
      </c>
      <c r="C14" s="65" t="s">
        <v>189</v>
      </c>
      <c r="D14" s="205" t="s">
        <v>190</v>
      </c>
      <c r="E14" s="181" t="s">
        <v>92</v>
      </c>
      <c r="F14" s="174">
        <v>1250</v>
      </c>
      <c r="G14" s="122" t="s">
        <v>121</v>
      </c>
      <c r="H14" s="123"/>
      <c r="I14" s="125">
        <v>120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04"/>
      <c r="P14" s="305"/>
      <c r="Q14" s="306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10280</v>
      </c>
      <c r="C15" s="65" t="s">
        <v>195</v>
      </c>
      <c r="D15" s="205" t="s">
        <v>196</v>
      </c>
      <c r="E15" s="181" t="s">
        <v>92</v>
      </c>
      <c r="F15" s="174">
        <v>1300</v>
      </c>
      <c r="G15" s="122" t="s">
        <v>121</v>
      </c>
      <c r="H15" s="123">
        <v>120</v>
      </c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04"/>
      <c r="P15" s="305"/>
      <c r="Q15" s="306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10281</v>
      </c>
      <c r="C16" s="65" t="s">
        <v>191</v>
      </c>
      <c r="D16" s="205" t="s">
        <v>192</v>
      </c>
      <c r="E16" s="181" t="s">
        <v>92</v>
      </c>
      <c r="F16" s="174">
        <v>1305</v>
      </c>
      <c r="G16" s="122" t="s">
        <v>121</v>
      </c>
      <c r="H16" s="123"/>
      <c r="I16" s="124">
        <v>120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04"/>
      <c r="P16" s="305"/>
      <c r="Q16" s="306"/>
      <c r="R16" s="82">
        <f>H32/U16</f>
        <v>0.40764331210191085</v>
      </c>
      <c r="S16" s="83">
        <f>H32/(U16-U5)</f>
        <v>0.53333333333333333</v>
      </c>
      <c r="T16" s="83">
        <f>C32/U16</f>
        <v>64.225477707006377</v>
      </c>
      <c r="U16" s="83">
        <f>SUM(U5:U15)</f>
        <v>39.25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10282</v>
      </c>
      <c r="C17" s="18" t="s">
        <v>200</v>
      </c>
      <c r="D17" s="203" t="s">
        <v>201</v>
      </c>
      <c r="E17" s="181" t="s">
        <v>92</v>
      </c>
      <c r="F17" s="66">
        <v>1410</v>
      </c>
      <c r="G17" s="121" t="s">
        <v>126</v>
      </c>
      <c r="H17" s="123"/>
      <c r="I17" s="124">
        <v>282.8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04"/>
      <c r="P17" s="305"/>
      <c r="Q17" s="306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10283</v>
      </c>
      <c r="C18" s="18" t="s">
        <v>197</v>
      </c>
      <c r="D18" s="203" t="s">
        <v>198</v>
      </c>
      <c r="E18" s="181" t="s">
        <v>91</v>
      </c>
      <c r="F18" s="66">
        <v>1415</v>
      </c>
      <c r="G18" s="20" t="s">
        <v>108</v>
      </c>
      <c r="H18" s="123"/>
      <c r="I18" s="124"/>
      <c r="J18" s="130" t="str">
        <f t="shared" si="1"/>
        <v>0</v>
      </c>
      <c r="K18" s="130">
        <v>79.099999999999994</v>
      </c>
      <c r="L18" s="131"/>
      <c r="M18" s="131"/>
      <c r="N18" s="134" t="s">
        <v>99</v>
      </c>
      <c r="O18" s="304" t="s">
        <v>199</v>
      </c>
      <c r="P18" s="305"/>
      <c r="Q18" s="306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10284</v>
      </c>
      <c r="C19" s="18" t="s">
        <v>202</v>
      </c>
      <c r="D19" s="203" t="s">
        <v>203</v>
      </c>
      <c r="E19" s="181" t="s">
        <v>92</v>
      </c>
      <c r="F19" s="66">
        <v>1420</v>
      </c>
      <c r="G19" s="121" t="s">
        <v>205</v>
      </c>
      <c r="H19" s="123">
        <v>320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99</v>
      </c>
      <c r="O19" s="304"/>
      <c r="P19" s="305"/>
      <c r="Q19" s="305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10285</v>
      </c>
      <c r="C20" s="18" t="s">
        <v>206</v>
      </c>
      <c r="D20" s="203" t="s">
        <v>207</v>
      </c>
      <c r="E20" s="181" t="s">
        <v>92</v>
      </c>
      <c r="F20" s="66">
        <v>1505</v>
      </c>
      <c r="G20" s="121" t="s">
        <v>204</v>
      </c>
      <c r="H20" s="123">
        <v>500</v>
      </c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99</v>
      </c>
      <c r="O20" s="312"/>
      <c r="P20" s="313"/>
      <c r="Q20" s="31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4"/>
      <c r="P21" s="305"/>
      <c r="Q21" s="305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4"/>
      <c r="P22" s="305"/>
      <c r="Q22" s="306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0"/>
      <c r="Y23" s="311"/>
      <c r="Z23" s="311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4"/>
      <c r="P24" s="305"/>
      <c r="Q24" s="306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4"/>
      <c r="P25" s="305"/>
      <c r="Q25" s="306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14">
        <f>((C32+(R26+S26+T26)*0.5))</f>
        <v>2520.8500000000004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4"/>
      <c r="P26" s="305"/>
      <c r="Q26" s="306"/>
      <c r="R26" s="112">
        <f>R25*37.5</f>
        <v>0</v>
      </c>
      <c r="S26" s="102">
        <f>S25*41.5</f>
        <v>0</v>
      </c>
      <c r="T26" s="102">
        <f>T25*50</f>
        <v>0</v>
      </c>
      <c r="U26" s="31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4"/>
      <c r="P27" s="305"/>
      <c r="Q27" s="306"/>
      <c r="R27" s="323" t="s">
        <v>56</v>
      </c>
      <c r="S27" s="324"/>
      <c r="T27" s="324"/>
      <c r="U27" s="32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4"/>
      <c r="P28" s="305"/>
      <c r="Q28" s="306"/>
      <c r="R28" s="316"/>
      <c r="S28" s="317"/>
      <c r="T28" s="31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32"/>
      <c r="P29" s="333"/>
      <c r="Q29" s="334"/>
      <c r="R29" s="335"/>
      <c r="S29" s="336"/>
      <c r="T29" s="33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38" t="s">
        <v>48</v>
      </c>
      <c r="B30" s="339"/>
      <c r="C30" s="339"/>
      <c r="D30" s="339"/>
      <c r="E30" s="340"/>
      <c r="F30" s="339"/>
      <c r="G30" s="339"/>
      <c r="H30" s="264">
        <f t="shared" ref="H30:M30" si="3">SUM(H5:H29)</f>
        <v>1090</v>
      </c>
      <c r="I30" s="105">
        <f>SUM(I5:I29)</f>
        <v>1193.55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237.29999999999998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1"/>
      <c r="S30" s="341"/>
      <c r="T30" s="34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43" t="s">
        <v>16</v>
      </c>
      <c r="B31" s="344"/>
      <c r="C31" s="344"/>
      <c r="D31" s="344"/>
      <c r="E31" s="344"/>
      <c r="F31" s="344"/>
      <c r="G31" s="344"/>
      <c r="H31" s="265">
        <f t="shared" ref="H31:J31" si="4">H30+H62+H94</f>
        <v>1090</v>
      </c>
      <c r="I31" s="103">
        <f t="shared" si="4"/>
        <v>1193.55</v>
      </c>
      <c r="J31" s="103">
        <f t="shared" si="4"/>
        <v>0</v>
      </c>
      <c r="K31" s="103">
        <f>K30+K62+K94</f>
        <v>237.29999999999998</v>
      </c>
      <c r="L31" s="97">
        <f>L30+L62+L94</f>
        <v>0</v>
      </c>
      <c r="M31" s="97">
        <f>M30+M62+M94</f>
        <v>0</v>
      </c>
      <c r="N31" s="262">
        <f>COUNT(H5:H29,H37:H61,H69:H93)</f>
        <v>5</v>
      </c>
      <c r="O31" s="104">
        <f>COUNT(I5:I29,I37:I61,I69:I93)</f>
        <v>8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1090</v>
      </c>
      <c r="T31" s="328">
        <f>H31+I31+L31+M31</f>
        <v>2283.5500000000002</v>
      </c>
      <c r="U31" s="32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19" t="s">
        <v>55</v>
      </c>
      <c r="B32" s="320"/>
      <c r="C32" s="107">
        <f>H31+I31+J31+K31</f>
        <v>2520.8500000000004</v>
      </c>
      <c r="D32" s="196"/>
      <c r="E32" s="107"/>
      <c r="F32" s="321" t="s">
        <v>53</v>
      </c>
      <c r="G32" s="321"/>
      <c r="H32" s="109">
        <f>COUNT(B5:B29,B37:B61,B69:B93)</f>
        <v>16</v>
      </c>
      <c r="I32" s="322" t="s">
        <v>54</v>
      </c>
      <c r="J32" s="322"/>
      <c r="K32" s="108">
        <f>C32/H32</f>
        <v>157.55312500000002</v>
      </c>
      <c r="L32" s="260"/>
      <c r="M32" s="260"/>
      <c r="N32" s="260">
        <f>H31/C32</f>
        <v>0.43239383541265836</v>
      </c>
      <c r="O32" s="260">
        <f>I31/C32</f>
        <v>0.47347124977686089</v>
      </c>
      <c r="P32" s="260">
        <f>K31/C32</f>
        <v>9.4134914810480572E-2</v>
      </c>
      <c r="Q32" s="110">
        <f>J31/C32</f>
        <v>0</v>
      </c>
      <c r="R32" s="99" t="s">
        <v>82</v>
      </c>
      <c r="S32" s="266">
        <f>I31+M31</f>
        <v>1193.55</v>
      </c>
      <c r="T32" s="330"/>
      <c r="U32" s="331"/>
      <c r="V32" s="55"/>
      <c r="W32" s="55"/>
      <c r="X32" s="56" t="s">
        <v>27</v>
      </c>
      <c r="Y32" s="56"/>
      <c r="Z32" s="54">
        <f>I31</f>
        <v>1193.55</v>
      </c>
      <c r="AE32" s="37"/>
      <c r="AF32" s="37"/>
      <c r="AG32" s="37"/>
      <c r="AH32" s="37"/>
    </row>
    <row r="33" spans="1:34" ht="18" thickBot="1" x14ac:dyDescent="0.45">
      <c r="A33" s="326" t="s">
        <v>24</v>
      </c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288"/>
      <c r="U33" s="289"/>
      <c r="X33" s="57" t="s">
        <v>29</v>
      </c>
      <c r="Y33" s="57"/>
      <c r="Z33" s="58">
        <f>SUM(Z31:Z32)</f>
        <v>-1551.45</v>
      </c>
      <c r="AE33" s="37"/>
      <c r="AF33" s="37"/>
      <c r="AG33" s="59"/>
      <c r="AH33" s="37"/>
    </row>
    <row r="34" spans="1:34" ht="18" thickBot="1" x14ac:dyDescent="0.45">
      <c r="A34" s="287" t="str">
        <f>A2</f>
        <v>27-07-2022</v>
      </c>
      <c r="B34" s="288"/>
      <c r="C34" s="288"/>
      <c r="D34" s="288"/>
      <c r="E34" s="288"/>
      <c r="F34" s="288"/>
      <c r="G34" s="289"/>
      <c r="H34" s="290" t="s">
        <v>49</v>
      </c>
      <c r="I34" s="291"/>
      <c r="J34" s="287" t="str">
        <f>J2</f>
        <v>SUNNY</v>
      </c>
      <c r="K34" s="289"/>
      <c r="L34" s="291" t="s">
        <v>50</v>
      </c>
      <c r="M34" s="292"/>
      <c r="N34" s="290"/>
      <c r="O34" s="288" t="str">
        <f>O2</f>
        <v>JOHN</v>
      </c>
      <c r="P34" s="288"/>
      <c r="Q34" s="289"/>
      <c r="R34" s="291" t="s">
        <v>51</v>
      </c>
      <c r="S34" s="290"/>
      <c r="T34" s="293">
        <f>T2</f>
        <v>5</v>
      </c>
      <c r="U34" s="293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297" t="s">
        <v>8</v>
      </c>
      <c r="P36" s="297"/>
      <c r="Q36" s="29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4"/>
      <c r="P37" s="305"/>
      <c r="Q37" s="306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01"/>
      <c r="P38" s="302"/>
      <c r="Q38" s="303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4"/>
      <c r="P39" s="305"/>
      <c r="Q39" s="306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07"/>
      <c r="P40" s="308"/>
      <c r="Q40" s="309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07"/>
      <c r="P41" s="308"/>
      <c r="Q41" s="309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4"/>
      <c r="P42" s="295"/>
      <c r="Q42" s="296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4"/>
      <c r="P43" s="305"/>
      <c r="Q43" s="306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4"/>
      <c r="P44" s="305"/>
      <c r="Q44" s="306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4"/>
      <c r="P45" s="305"/>
      <c r="Q45" s="306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4"/>
      <c r="P46" s="305"/>
      <c r="Q46" s="306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4"/>
      <c r="P47" s="305"/>
      <c r="Q47" s="306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4"/>
      <c r="P48" s="305"/>
      <c r="Q48" s="306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4"/>
      <c r="P49" s="305"/>
      <c r="Q49" s="306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4"/>
      <c r="P50" s="305"/>
      <c r="Q50" s="306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4"/>
      <c r="P51" s="305"/>
      <c r="Q51" s="305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4"/>
      <c r="P52" s="305"/>
      <c r="Q52" s="305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5"/>
      <c r="P53" s="304"/>
      <c r="Q53" s="304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5"/>
      <c r="P54" s="304"/>
      <c r="Q54" s="304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5"/>
      <c r="P55" s="304"/>
      <c r="Q55" s="304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5"/>
      <c r="P56" s="305"/>
      <c r="Q56" s="305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4"/>
      <c r="P57" s="305"/>
      <c r="Q57" s="305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5"/>
      <c r="P58" s="305"/>
      <c r="Q58" s="305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5"/>
      <c r="P59" s="305"/>
      <c r="Q59" s="305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4"/>
      <c r="P60" s="305"/>
      <c r="Q60" s="306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46"/>
      <c r="P61" s="347"/>
      <c r="Q61" s="348"/>
      <c r="R61" s="81"/>
      <c r="S61" s="68"/>
      <c r="T61" s="68"/>
      <c r="U61" s="77"/>
    </row>
    <row r="62" spans="1:21" x14ac:dyDescent="0.4">
      <c r="A62" s="349" t="s">
        <v>48</v>
      </c>
      <c r="B62" s="350"/>
      <c r="C62" s="350"/>
      <c r="D62" s="350"/>
      <c r="E62" s="350"/>
      <c r="F62" s="350"/>
      <c r="G62" s="350"/>
      <c r="H62" s="350">
        <f t="shared" ref="H62:M62" si="8">SUM(H37:H61)</f>
        <v>0</v>
      </c>
      <c r="I62" s="355">
        <f t="shared" si="8"/>
        <v>0</v>
      </c>
      <c r="J62" s="355">
        <f>J61+J60+J59+J58+J57+J56+J55+J54+J53+J52+J51+J50+J49+J48+J47+J46+J45+J44+J43+J42+J41+J40+J39+J38+J37</f>
        <v>0</v>
      </c>
      <c r="K62" s="355">
        <f>K61+K60+K59+K58+K57+K56+K55+K54+K53+K52+K51+K50+K49+K48+K47+K46+K45+K44+K43+K42+K41+K40+K39+K38+K37</f>
        <v>0</v>
      </c>
      <c r="L62" s="358">
        <f t="shared" si="8"/>
        <v>0</v>
      </c>
      <c r="M62" s="361">
        <f t="shared" si="8"/>
        <v>0</v>
      </c>
      <c r="N62" s="364"/>
      <c r="O62" s="365"/>
      <c r="P62" s="365"/>
      <c r="Q62" s="366"/>
      <c r="R62" s="5"/>
      <c r="S62" s="6"/>
      <c r="T62" s="7"/>
      <c r="U62" s="8"/>
    </row>
    <row r="63" spans="1:21" ht="18" thickBot="1" x14ac:dyDescent="0.45">
      <c r="A63" s="351"/>
      <c r="B63" s="352"/>
      <c r="C63" s="352"/>
      <c r="D63" s="352"/>
      <c r="E63" s="352"/>
      <c r="F63" s="352"/>
      <c r="G63" s="352"/>
      <c r="H63" s="352"/>
      <c r="I63" s="356"/>
      <c r="J63" s="356"/>
      <c r="K63" s="356"/>
      <c r="L63" s="359"/>
      <c r="M63" s="362"/>
      <c r="N63" s="367"/>
      <c r="O63" s="368"/>
      <c r="P63" s="368"/>
      <c r="Q63" s="369"/>
      <c r="R63" s="1"/>
      <c r="S63" s="2"/>
      <c r="T63" s="3"/>
      <c r="U63" s="4"/>
    </row>
    <row r="64" spans="1:21" ht="18" thickBot="1" x14ac:dyDescent="0.45">
      <c r="A64" s="353"/>
      <c r="B64" s="354"/>
      <c r="C64" s="354"/>
      <c r="D64" s="354"/>
      <c r="E64" s="354"/>
      <c r="F64" s="354"/>
      <c r="G64" s="354"/>
      <c r="H64" s="354"/>
      <c r="I64" s="357"/>
      <c r="J64" s="357"/>
      <c r="K64" s="357"/>
      <c r="L64" s="360"/>
      <c r="M64" s="363"/>
      <c r="N64" s="326"/>
      <c r="O64" s="327"/>
      <c r="P64" s="327"/>
      <c r="Q64" s="370"/>
      <c r="R64" s="371" t="s">
        <v>17</v>
      </c>
      <c r="S64" s="372"/>
      <c r="T64" s="372"/>
      <c r="U64" s="373"/>
    </row>
    <row r="65" spans="1:21" ht="18" thickBot="1" x14ac:dyDescent="0.45">
      <c r="A65" s="287" t="s">
        <v>24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8"/>
      <c r="Q65" s="288"/>
      <c r="R65" s="288"/>
      <c r="S65" s="288"/>
      <c r="T65" s="288"/>
      <c r="U65" s="289"/>
    </row>
    <row r="66" spans="1:21" ht="18" thickBot="1" x14ac:dyDescent="0.45">
      <c r="A66" s="287" t="str">
        <f>A34</f>
        <v>27-07-2022</v>
      </c>
      <c r="B66" s="288"/>
      <c r="C66" s="288"/>
      <c r="D66" s="288"/>
      <c r="E66" s="288"/>
      <c r="F66" s="288"/>
      <c r="G66" s="289"/>
      <c r="H66" s="290" t="s">
        <v>49</v>
      </c>
      <c r="I66" s="291"/>
      <c r="J66" s="287" t="str">
        <f>J34</f>
        <v>SUNNY</v>
      </c>
      <c r="K66" s="289"/>
      <c r="L66" s="291" t="s">
        <v>50</v>
      </c>
      <c r="M66" s="292"/>
      <c r="N66" s="290"/>
      <c r="O66" s="288" t="str">
        <f>O34</f>
        <v>JOHN</v>
      </c>
      <c r="P66" s="288"/>
      <c r="Q66" s="289"/>
      <c r="R66" s="291" t="s">
        <v>51</v>
      </c>
      <c r="S66" s="290"/>
      <c r="T66" s="293">
        <f>T34</f>
        <v>5</v>
      </c>
      <c r="U66" s="293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297" t="s">
        <v>8</v>
      </c>
      <c r="P68" s="297"/>
      <c r="Q68" s="29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4"/>
      <c r="P69" s="305"/>
      <c r="Q69" s="306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01"/>
      <c r="P70" s="302"/>
      <c r="Q70" s="303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4"/>
      <c r="P71" s="305"/>
      <c r="Q71" s="306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07"/>
      <c r="P72" s="308"/>
      <c r="Q72" s="309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07"/>
      <c r="P73" s="308"/>
      <c r="Q73" s="309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4"/>
      <c r="P74" s="295"/>
      <c r="Q74" s="296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4"/>
      <c r="P75" s="305"/>
      <c r="Q75" s="306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4"/>
      <c r="P76" s="305"/>
      <c r="Q76" s="306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4"/>
      <c r="P77" s="305"/>
      <c r="Q77" s="306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4"/>
      <c r="P78" s="305"/>
      <c r="Q78" s="306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4"/>
      <c r="P79" s="305"/>
      <c r="Q79" s="306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4"/>
      <c r="P80" s="305"/>
      <c r="Q80" s="306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4"/>
      <c r="P81" s="305"/>
      <c r="Q81" s="306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4"/>
      <c r="P82" s="305"/>
      <c r="Q82" s="306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4"/>
      <c r="P83" s="305"/>
      <c r="Q83" s="305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4"/>
      <c r="P84" s="305"/>
      <c r="Q84" s="305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5"/>
      <c r="P85" s="304"/>
      <c r="Q85" s="304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5"/>
      <c r="P86" s="304"/>
      <c r="Q86" s="304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5"/>
      <c r="P87" s="304"/>
      <c r="Q87" s="304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5"/>
      <c r="P88" s="305"/>
      <c r="Q88" s="305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4"/>
      <c r="P89" s="305"/>
      <c r="Q89" s="305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5"/>
      <c r="P90" s="305"/>
      <c r="Q90" s="305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5"/>
      <c r="P91" s="305"/>
      <c r="Q91" s="305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4"/>
      <c r="P92" s="305"/>
      <c r="Q92" s="306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46"/>
      <c r="P93" s="347"/>
      <c r="Q93" s="348"/>
      <c r="R93" s="81"/>
      <c r="S93" s="68"/>
      <c r="T93" s="68"/>
      <c r="U93" s="77"/>
    </row>
    <row r="94" spans="1:21" x14ac:dyDescent="0.4">
      <c r="A94" s="349" t="s">
        <v>48</v>
      </c>
      <c r="B94" s="350"/>
      <c r="C94" s="350"/>
      <c r="D94" s="350"/>
      <c r="E94" s="374"/>
      <c r="F94" s="350"/>
      <c r="G94" s="350"/>
      <c r="H94" s="350">
        <f t="shared" ref="H94:M94" si="12">SUM(H69:H93)</f>
        <v>0</v>
      </c>
      <c r="I94" s="355">
        <f t="shared" si="12"/>
        <v>0</v>
      </c>
      <c r="J94" s="355">
        <f>J93+J92+J91+J90+J89+J88+J87+J86+J85+J84+J83+J82+J81+J80+J79+J78+J77+J76+J75+J74+J73+J72+J71+J70+J69</f>
        <v>0</v>
      </c>
      <c r="K94" s="355">
        <f>K93+K92+K91+K90+K89+K88+K87+K86+K85+K84+K83+K82+K81+K80+K79+K78+K77+K76+K75+K74+K73+K72+K71+K70+K69</f>
        <v>0</v>
      </c>
      <c r="L94" s="358">
        <f t="shared" si="12"/>
        <v>0</v>
      </c>
      <c r="M94" s="361">
        <f t="shared" si="12"/>
        <v>0</v>
      </c>
      <c r="N94" s="364"/>
      <c r="O94" s="365"/>
      <c r="P94" s="365"/>
      <c r="Q94" s="366"/>
      <c r="R94" s="5"/>
      <c r="S94" s="6"/>
      <c r="T94" s="7"/>
      <c r="U94" s="8"/>
    </row>
    <row r="95" spans="1:21" ht="18" thickBot="1" x14ac:dyDescent="0.45">
      <c r="A95" s="351"/>
      <c r="B95" s="352"/>
      <c r="C95" s="352"/>
      <c r="D95" s="352"/>
      <c r="E95" s="352"/>
      <c r="F95" s="352"/>
      <c r="G95" s="352"/>
      <c r="H95" s="352"/>
      <c r="I95" s="356"/>
      <c r="J95" s="356"/>
      <c r="K95" s="356"/>
      <c r="L95" s="359"/>
      <c r="M95" s="362"/>
      <c r="N95" s="367"/>
      <c r="O95" s="368"/>
      <c r="P95" s="368"/>
      <c r="Q95" s="369"/>
      <c r="R95" s="1"/>
      <c r="S95" s="2"/>
      <c r="T95" s="3"/>
      <c r="U95" s="4"/>
    </row>
    <row r="96" spans="1:21" ht="18" thickBot="1" x14ac:dyDescent="0.45">
      <c r="A96" s="353"/>
      <c r="B96" s="354"/>
      <c r="C96" s="354"/>
      <c r="D96" s="354"/>
      <c r="E96" s="354"/>
      <c r="F96" s="354"/>
      <c r="G96" s="354"/>
      <c r="H96" s="354"/>
      <c r="I96" s="357"/>
      <c r="J96" s="357"/>
      <c r="K96" s="357"/>
      <c r="L96" s="360"/>
      <c r="M96" s="363"/>
      <c r="N96" s="326"/>
      <c r="O96" s="327"/>
      <c r="P96" s="327"/>
      <c r="Q96" s="370"/>
      <c r="R96" s="371" t="s">
        <v>52</v>
      </c>
      <c r="S96" s="372"/>
      <c r="T96" s="372"/>
      <c r="U96" s="373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3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I13" sqref="I13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287" t="s">
        <v>77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9"/>
    </row>
    <row r="2" spans="1:44" ht="18" thickBot="1" x14ac:dyDescent="0.45">
      <c r="A2" s="287" t="s">
        <v>208</v>
      </c>
      <c r="B2" s="288"/>
      <c r="C2" s="288"/>
      <c r="D2" s="288"/>
      <c r="E2" s="288"/>
      <c r="F2" s="288"/>
      <c r="G2" s="289"/>
      <c r="H2" s="290" t="s">
        <v>49</v>
      </c>
      <c r="I2" s="291"/>
      <c r="J2" s="287" t="s">
        <v>209</v>
      </c>
      <c r="K2" s="289"/>
      <c r="L2" s="291" t="s">
        <v>96</v>
      </c>
      <c r="M2" s="292"/>
      <c r="N2" s="290"/>
      <c r="O2" s="288" t="s">
        <v>99</v>
      </c>
      <c r="P2" s="288"/>
      <c r="Q2" s="289"/>
      <c r="R2" s="291" t="s">
        <v>51</v>
      </c>
      <c r="S2" s="290"/>
      <c r="T2" s="293">
        <v>5</v>
      </c>
      <c r="U2" s="29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297" t="s">
        <v>8</v>
      </c>
      <c r="P4" s="297"/>
      <c r="Q4" s="29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10286</v>
      </c>
      <c r="C5" s="68" t="s">
        <v>210</v>
      </c>
      <c r="D5" s="200"/>
      <c r="E5" s="181" t="s">
        <v>172</v>
      </c>
      <c r="F5" s="170">
        <v>750</v>
      </c>
      <c r="G5" s="118" t="s">
        <v>44</v>
      </c>
      <c r="H5" s="91"/>
      <c r="I5" s="124"/>
      <c r="J5" s="130">
        <v>110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33" t="s">
        <v>100</v>
      </c>
      <c r="O5" s="375" t="s">
        <v>211</v>
      </c>
      <c r="P5" s="376"/>
      <c r="Q5" s="377"/>
      <c r="R5" s="33" t="s">
        <v>99</v>
      </c>
      <c r="S5" s="31">
        <v>0.35416666666666669</v>
      </c>
      <c r="T5" s="32">
        <v>0.70833333333333337</v>
      </c>
      <c r="U5" s="92">
        <f t="shared" ref="U5:U15" si="0">(T5-S5)*24</f>
        <v>8.5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10287</v>
      </c>
      <c r="C6" s="67" t="s">
        <v>212</v>
      </c>
      <c r="D6" s="200"/>
      <c r="E6" s="181" t="s">
        <v>91</v>
      </c>
      <c r="F6" s="171">
        <v>830</v>
      </c>
      <c r="G6" s="118" t="s">
        <v>44</v>
      </c>
      <c r="H6" s="91"/>
      <c r="I6" s="124"/>
      <c r="J6" s="130" t="str">
        <f t="shared" ref="J6:J29" si="1">IF(G6="RSL","55","0")</f>
        <v>55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01" t="s">
        <v>213</v>
      </c>
      <c r="P6" s="302"/>
      <c r="Q6" s="303"/>
      <c r="R6" s="33" t="s">
        <v>100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10288</v>
      </c>
      <c r="C7" s="67" t="s">
        <v>214</v>
      </c>
      <c r="D7" s="200" t="s">
        <v>215</v>
      </c>
      <c r="E7" s="181" t="s">
        <v>91</v>
      </c>
      <c r="F7" s="171">
        <v>845</v>
      </c>
      <c r="G7" s="118" t="s">
        <v>108</v>
      </c>
      <c r="H7" s="91"/>
      <c r="I7" s="124"/>
      <c r="J7" s="130" t="str">
        <f t="shared" si="1"/>
        <v>0</v>
      </c>
      <c r="K7" s="130">
        <v>79.099999999999994</v>
      </c>
      <c r="L7" s="131"/>
      <c r="M7" s="131"/>
      <c r="N7" s="134" t="s">
        <v>99</v>
      </c>
      <c r="O7" s="304" t="s">
        <v>216</v>
      </c>
      <c r="P7" s="305"/>
      <c r="Q7" s="306"/>
      <c r="R7" s="134" t="s">
        <v>102</v>
      </c>
      <c r="S7" s="31">
        <v>0.375</v>
      </c>
      <c r="T7" s="32">
        <v>0.66666666666666663</v>
      </c>
      <c r="U7" s="92">
        <f t="shared" si="0"/>
        <v>6.9999999999999991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10289</v>
      </c>
      <c r="C8" s="27" t="s">
        <v>217</v>
      </c>
      <c r="D8" s="200" t="s">
        <v>218</v>
      </c>
      <c r="E8" s="181" t="s">
        <v>92</v>
      </c>
      <c r="F8" s="171">
        <v>900</v>
      </c>
      <c r="G8" s="118" t="s">
        <v>117</v>
      </c>
      <c r="H8" s="91"/>
      <c r="I8" s="124">
        <v>202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07"/>
      <c r="P8" s="308"/>
      <c r="Q8" s="309"/>
      <c r="R8" s="26" t="s">
        <v>103</v>
      </c>
      <c r="S8" s="31">
        <v>0.35416666666666669</v>
      </c>
      <c r="T8" s="32">
        <v>0.70833333333333337</v>
      </c>
      <c r="U8" s="92">
        <f t="shared" si="0"/>
        <v>8.5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10290</v>
      </c>
      <c r="C9" s="63" t="s">
        <v>219</v>
      </c>
      <c r="D9" s="201" t="s">
        <v>220</v>
      </c>
      <c r="E9" s="181" t="s">
        <v>91</v>
      </c>
      <c r="F9" s="172">
        <v>905</v>
      </c>
      <c r="G9" s="119" t="s">
        <v>117</v>
      </c>
      <c r="H9" s="91"/>
      <c r="I9" s="91">
        <v>95.95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07"/>
      <c r="P9" s="308"/>
      <c r="Q9" s="309"/>
      <c r="R9" s="26" t="s">
        <v>265</v>
      </c>
      <c r="S9" s="31">
        <v>0.39583333333333331</v>
      </c>
      <c r="T9" s="32">
        <v>0.64583333333333337</v>
      </c>
      <c r="U9" s="92">
        <f t="shared" si="0"/>
        <v>6.0000000000000018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275">
        <v>10291</v>
      </c>
      <c r="C10" s="276" t="s">
        <v>221</v>
      </c>
      <c r="D10" s="277" t="s">
        <v>222</v>
      </c>
      <c r="E10" s="269" t="s">
        <v>91</v>
      </c>
      <c r="F10" s="278">
        <v>920</v>
      </c>
      <c r="G10" s="279" t="s">
        <v>108</v>
      </c>
      <c r="H10" s="280"/>
      <c r="I10" s="280"/>
      <c r="J10" s="272" t="str">
        <f t="shared" si="1"/>
        <v>0</v>
      </c>
      <c r="K10" s="272" t="str">
        <f t="shared" si="2"/>
        <v>58.3</v>
      </c>
      <c r="L10" s="273"/>
      <c r="M10" s="273">
        <v>800</v>
      </c>
      <c r="N10" s="274" t="s">
        <v>99</v>
      </c>
      <c r="O10" s="378" t="s">
        <v>223</v>
      </c>
      <c r="P10" s="379"/>
      <c r="Q10" s="380"/>
      <c r="R10" s="26" t="s">
        <v>266</v>
      </c>
      <c r="S10" s="31">
        <v>0.4375</v>
      </c>
      <c r="T10" s="32">
        <v>0.60416666666666663</v>
      </c>
      <c r="U10" s="92">
        <f t="shared" si="0"/>
        <v>3.9999999999999991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10292</v>
      </c>
      <c r="C11" s="18" t="s">
        <v>224</v>
      </c>
      <c r="D11" s="203"/>
      <c r="E11" s="181" t="s">
        <v>91</v>
      </c>
      <c r="F11" s="66">
        <v>920</v>
      </c>
      <c r="G11" s="121" t="s">
        <v>121</v>
      </c>
      <c r="H11" s="123"/>
      <c r="I11" s="124">
        <v>151.5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04"/>
      <c r="P11" s="305"/>
      <c r="Q11" s="306"/>
      <c r="R11" s="26" t="s">
        <v>267</v>
      </c>
      <c r="S11" s="31">
        <v>0.625</v>
      </c>
      <c r="T11" s="32">
        <v>0.6875</v>
      </c>
      <c r="U11" s="92">
        <f t="shared" si="0"/>
        <v>1.5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10293</v>
      </c>
      <c r="C12" s="64" t="s">
        <v>225</v>
      </c>
      <c r="D12" s="204" t="s">
        <v>226</v>
      </c>
      <c r="E12" s="181" t="s">
        <v>92</v>
      </c>
      <c r="F12" s="173">
        <v>950</v>
      </c>
      <c r="G12" s="119" t="s">
        <v>117</v>
      </c>
      <c r="H12" s="123"/>
      <c r="I12" s="125">
        <v>95.95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04"/>
      <c r="P12" s="305"/>
      <c r="Q12" s="306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10294</v>
      </c>
      <c r="C13" s="64" t="s">
        <v>227</v>
      </c>
      <c r="D13" s="204" t="s">
        <v>228</v>
      </c>
      <c r="E13" s="181" t="s">
        <v>91</v>
      </c>
      <c r="F13" s="173">
        <v>1000</v>
      </c>
      <c r="G13" s="119" t="s">
        <v>108</v>
      </c>
      <c r="H13" s="169"/>
      <c r="I13" s="168"/>
      <c r="J13" s="130" t="str">
        <f t="shared" si="1"/>
        <v>0</v>
      </c>
      <c r="K13" s="130">
        <v>79.099999999999994</v>
      </c>
      <c r="L13" s="131"/>
      <c r="M13" s="131"/>
      <c r="N13" s="134" t="s">
        <v>99</v>
      </c>
      <c r="O13" s="304" t="s">
        <v>229</v>
      </c>
      <c r="P13" s="305"/>
      <c r="Q13" s="306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10295</v>
      </c>
      <c r="C14" s="65" t="s">
        <v>230</v>
      </c>
      <c r="D14" s="205"/>
      <c r="E14" s="181" t="s">
        <v>92</v>
      </c>
      <c r="F14" s="174">
        <v>1000</v>
      </c>
      <c r="G14" s="122" t="s">
        <v>231</v>
      </c>
      <c r="H14" s="123"/>
      <c r="I14" s="125">
        <v>50.5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04"/>
      <c r="P14" s="305"/>
      <c r="Q14" s="306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10296</v>
      </c>
      <c r="C15" s="65" t="s">
        <v>262</v>
      </c>
      <c r="D15" s="205" t="s">
        <v>232</v>
      </c>
      <c r="E15" s="181" t="s">
        <v>91</v>
      </c>
      <c r="F15" s="174">
        <v>1000</v>
      </c>
      <c r="G15" s="122" t="s">
        <v>137</v>
      </c>
      <c r="H15" s="123">
        <v>50</v>
      </c>
      <c r="I15" s="124">
        <v>20.2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04"/>
      <c r="P15" s="305"/>
      <c r="Q15" s="306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10297</v>
      </c>
      <c r="C16" s="65" t="s">
        <v>262</v>
      </c>
      <c r="D16" s="205" t="s">
        <v>233</v>
      </c>
      <c r="E16" s="181" t="s">
        <v>92</v>
      </c>
      <c r="F16" s="174">
        <v>1000</v>
      </c>
      <c r="G16" s="122" t="s">
        <v>234</v>
      </c>
      <c r="H16" s="123"/>
      <c r="I16" s="124"/>
      <c r="J16" s="130" t="str">
        <f t="shared" si="1"/>
        <v>0</v>
      </c>
      <c r="K16" s="130">
        <v>62.5</v>
      </c>
      <c r="L16" s="131"/>
      <c r="M16" s="131"/>
      <c r="N16" s="134" t="s">
        <v>99</v>
      </c>
      <c r="O16" s="304" t="s">
        <v>235</v>
      </c>
      <c r="P16" s="305"/>
      <c r="Q16" s="306"/>
      <c r="R16" s="82">
        <f>H32/U16</f>
        <v>0.5842696629213483</v>
      </c>
      <c r="S16" s="83">
        <f>H32/(U16-U5)</f>
        <v>0.72222222222222221</v>
      </c>
      <c r="T16" s="83">
        <f>C32/U16</f>
        <v>57.159550561797751</v>
      </c>
      <c r="U16" s="83">
        <f>SUM(U5:U15)</f>
        <v>44.5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10298</v>
      </c>
      <c r="C17" s="18" t="s">
        <v>236</v>
      </c>
      <c r="D17" s="203" t="s">
        <v>237</v>
      </c>
      <c r="E17" s="181" t="s">
        <v>92</v>
      </c>
      <c r="F17" s="66">
        <v>1040</v>
      </c>
      <c r="G17" s="121" t="s">
        <v>117</v>
      </c>
      <c r="H17" s="123">
        <v>95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04"/>
      <c r="P17" s="305"/>
      <c r="Q17" s="306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10299</v>
      </c>
      <c r="C18" s="18" t="s">
        <v>238</v>
      </c>
      <c r="D18" s="203" t="s">
        <v>239</v>
      </c>
      <c r="E18" s="181" t="s">
        <v>91</v>
      </c>
      <c r="F18" s="66">
        <v>1040</v>
      </c>
      <c r="G18" s="20" t="s">
        <v>121</v>
      </c>
      <c r="H18" s="123"/>
      <c r="I18" s="124">
        <v>151.5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99</v>
      </c>
      <c r="O18" s="304"/>
      <c r="P18" s="305"/>
      <c r="Q18" s="306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10300</v>
      </c>
      <c r="C19" s="18" t="s">
        <v>240</v>
      </c>
      <c r="D19" s="203" t="s">
        <v>241</v>
      </c>
      <c r="E19" s="181" t="s">
        <v>92</v>
      </c>
      <c r="F19" s="66">
        <v>1040</v>
      </c>
      <c r="G19" s="121" t="s">
        <v>117</v>
      </c>
      <c r="H19" s="123"/>
      <c r="I19" s="124">
        <v>95.95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99</v>
      </c>
      <c r="O19" s="304"/>
      <c r="P19" s="305"/>
      <c r="Q19" s="305"/>
      <c r="R19" s="93" t="s">
        <v>45</v>
      </c>
      <c r="S19" s="94">
        <f>COUNT(L5:M29,L37:M61,L69:M93)</f>
        <v>1</v>
      </c>
      <c r="T19" s="116">
        <f>SUM(L5:M29,L37:M61,L69:M93)</f>
        <v>800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10301</v>
      </c>
      <c r="C20" s="18" t="s">
        <v>242</v>
      </c>
      <c r="D20" s="203" t="s">
        <v>243</v>
      </c>
      <c r="E20" s="181" t="s">
        <v>92</v>
      </c>
      <c r="F20" s="66">
        <v>1130</v>
      </c>
      <c r="G20" s="121" t="s">
        <v>137</v>
      </c>
      <c r="H20" s="123"/>
      <c r="I20" s="219">
        <v>55.55</v>
      </c>
      <c r="J20" s="130" t="str">
        <f t="shared" si="1"/>
        <v>0</v>
      </c>
      <c r="K20" s="221" t="str">
        <f t="shared" si="2"/>
        <v>0</v>
      </c>
      <c r="L20" s="220"/>
      <c r="M20" s="220"/>
      <c r="N20" s="33" t="s">
        <v>100</v>
      </c>
      <c r="O20" s="312"/>
      <c r="P20" s="313"/>
      <c r="Q20" s="31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10302</v>
      </c>
      <c r="C21" s="18" t="s">
        <v>244</v>
      </c>
      <c r="D21" s="203" t="s">
        <v>245</v>
      </c>
      <c r="E21" s="181" t="s">
        <v>92</v>
      </c>
      <c r="F21" s="66">
        <v>1145</v>
      </c>
      <c r="G21" s="20" t="s">
        <v>108</v>
      </c>
      <c r="H21" s="123"/>
      <c r="I21" s="124"/>
      <c r="J21" s="130" t="str">
        <f t="shared" si="1"/>
        <v>0</v>
      </c>
      <c r="K21" s="130">
        <v>79.099999999999994</v>
      </c>
      <c r="L21" s="131"/>
      <c r="M21" s="131"/>
      <c r="N21" s="134" t="s">
        <v>99</v>
      </c>
      <c r="O21" s="304" t="s">
        <v>246</v>
      </c>
      <c r="P21" s="305"/>
      <c r="Q21" s="305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>
        <v>10303</v>
      </c>
      <c r="C22" s="127" t="s">
        <v>247</v>
      </c>
      <c r="D22" s="206" t="s">
        <v>248</v>
      </c>
      <c r="E22" s="181" t="s">
        <v>92</v>
      </c>
      <c r="F22" s="175">
        <v>1200</v>
      </c>
      <c r="G22" s="263" t="s">
        <v>121</v>
      </c>
      <c r="H22" s="89">
        <v>120</v>
      </c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99</v>
      </c>
      <c r="O22" s="304"/>
      <c r="P22" s="305"/>
      <c r="Q22" s="306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>
        <v>10304</v>
      </c>
      <c r="C23" s="136" t="s">
        <v>249</v>
      </c>
      <c r="D23" s="207" t="s">
        <v>261</v>
      </c>
      <c r="E23" s="181" t="s">
        <v>91</v>
      </c>
      <c r="F23" s="176">
        <v>1235</v>
      </c>
      <c r="G23" s="165" t="s">
        <v>121</v>
      </c>
      <c r="H23" s="89">
        <v>150</v>
      </c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99</v>
      </c>
      <c r="O23" s="163"/>
      <c r="P23" s="164"/>
      <c r="Q23" s="159"/>
      <c r="R23" s="113"/>
      <c r="S23" s="114"/>
      <c r="T23" s="114"/>
      <c r="U23" s="115"/>
      <c r="X23" s="310"/>
      <c r="Y23" s="311"/>
      <c r="Z23" s="311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>
        <v>10305</v>
      </c>
      <c r="C24" s="127" t="s">
        <v>250</v>
      </c>
      <c r="D24" s="206" t="s">
        <v>251</v>
      </c>
      <c r="E24" s="181" t="s">
        <v>92</v>
      </c>
      <c r="F24" s="175">
        <v>1245</v>
      </c>
      <c r="G24" s="263" t="s">
        <v>108</v>
      </c>
      <c r="H24" s="89"/>
      <c r="I24" s="141"/>
      <c r="J24" s="130" t="str">
        <f t="shared" si="1"/>
        <v>0</v>
      </c>
      <c r="K24" s="130">
        <v>79.099999999999994</v>
      </c>
      <c r="L24" s="69"/>
      <c r="M24" s="69"/>
      <c r="N24" s="134" t="s">
        <v>99</v>
      </c>
      <c r="O24" s="304" t="s">
        <v>252</v>
      </c>
      <c r="P24" s="305"/>
      <c r="Q24" s="306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>
        <v>10306</v>
      </c>
      <c r="C25" s="132" t="s">
        <v>253</v>
      </c>
      <c r="D25" s="208" t="s">
        <v>254</v>
      </c>
      <c r="E25" s="181" t="s">
        <v>91</v>
      </c>
      <c r="F25" s="175">
        <v>1330</v>
      </c>
      <c r="G25" s="263" t="s">
        <v>108</v>
      </c>
      <c r="H25" s="90"/>
      <c r="I25" s="90"/>
      <c r="J25" s="130" t="str">
        <f t="shared" si="1"/>
        <v>0</v>
      </c>
      <c r="K25" s="130">
        <v>79.099999999999994</v>
      </c>
      <c r="L25" s="69"/>
      <c r="M25" s="69"/>
      <c r="N25" s="134" t="s">
        <v>99</v>
      </c>
      <c r="O25" s="304" t="s">
        <v>255</v>
      </c>
      <c r="P25" s="305"/>
      <c r="Q25" s="306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14">
        <f>((C32+(R26+S26+T26)*0.5))</f>
        <v>2543.6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>
        <v>10307</v>
      </c>
      <c r="C26" s="27" t="s">
        <v>259</v>
      </c>
      <c r="D26" s="209" t="s">
        <v>260</v>
      </c>
      <c r="E26" s="181" t="s">
        <v>92</v>
      </c>
      <c r="F26" s="177">
        <v>1340</v>
      </c>
      <c r="G26" s="20" t="s">
        <v>117</v>
      </c>
      <c r="H26" s="89"/>
      <c r="I26" s="141">
        <v>75.75</v>
      </c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99</v>
      </c>
      <c r="O26" s="304"/>
      <c r="P26" s="305"/>
      <c r="Q26" s="306"/>
      <c r="R26" s="112">
        <f>R25*37.5</f>
        <v>0</v>
      </c>
      <c r="S26" s="102">
        <f>S25*41.5</f>
        <v>0</v>
      </c>
      <c r="T26" s="102">
        <f>T25*50</f>
        <v>0</v>
      </c>
      <c r="U26" s="31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>
        <v>10308</v>
      </c>
      <c r="C27" s="27" t="s">
        <v>256</v>
      </c>
      <c r="D27" s="209"/>
      <c r="E27" s="181" t="s">
        <v>92</v>
      </c>
      <c r="F27" s="177">
        <v>1345</v>
      </c>
      <c r="G27" s="20" t="s">
        <v>117</v>
      </c>
      <c r="H27" s="89"/>
      <c r="I27" s="141">
        <v>95.95</v>
      </c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99</v>
      </c>
      <c r="O27" s="304"/>
      <c r="P27" s="305"/>
      <c r="Q27" s="306"/>
      <c r="R27" s="323" t="s">
        <v>56</v>
      </c>
      <c r="S27" s="324"/>
      <c r="T27" s="324"/>
      <c r="U27" s="32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>
        <v>10309</v>
      </c>
      <c r="C28" s="27" t="s">
        <v>257</v>
      </c>
      <c r="D28" s="209" t="s">
        <v>258</v>
      </c>
      <c r="E28" s="181" t="s">
        <v>92</v>
      </c>
      <c r="F28" s="177">
        <v>1350</v>
      </c>
      <c r="G28" s="20" t="s">
        <v>117</v>
      </c>
      <c r="H28" s="89"/>
      <c r="I28" s="141">
        <v>95</v>
      </c>
      <c r="J28" s="130" t="str">
        <f t="shared" si="1"/>
        <v>0</v>
      </c>
      <c r="K28" s="130" t="str">
        <f t="shared" si="2"/>
        <v>0</v>
      </c>
      <c r="L28" s="69"/>
      <c r="M28" s="69"/>
      <c r="N28" s="134" t="s">
        <v>99</v>
      </c>
      <c r="O28" s="304"/>
      <c r="P28" s="305"/>
      <c r="Q28" s="306"/>
      <c r="R28" s="316"/>
      <c r="S28" s="317"/>
      <c r="T28" s="31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>
        <v>10310</v>
      </c>
      <c r="C29" s="34" t="s">
        <v>263</v>
      </c>
      <c r="D29" s="210" t="s">
        <v>264</v>
      </c>
      <c r="E29" s="182" t="s">
        <v>91</v>
      </c>
      <c r="F29" s="177">
        <v>1450</v>
      </c>
      <c r="G29" s="20" t="s">
        <v>121</v>
      </c>
      <c r="H29" s="89"/>
      <c r="I29" s="89">
        <v>151.5</v>
      </c>
      <c r="J29" s="130" t="str">
        <f t="shared" si="1"/>
        <v>0</v>
      </c>
      <c r="K29" s="130" t="str">
        <f t="shared" si="2"/>
        <v>0</v>
      </c>
      <c r="L29" s="69"/>
      <c r="M29" s="69"/>
      <c r="N29" s="134" t="s">
        <v>99</v>
      </c>
      <c r="O29" s="332"/>
      <c r="P29" s="333"/>
      <c r="Q29" s="334"/>
      <c r="R29" s="335"/>
      <c r="S29" s="336"/>
      <c r="T29" s="33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38" t="s">
        <v>48</v>
      </c>
      <c r="B30" s="339"/>
      <c r="C30" s="339"/>
      <c r="D30" s="339"/>
      <c r="E30" s="340"/>
      <c r="F30" s="339"/>
      <c r="G30" s="339"/>
      <c r="H30" s="264">
        <f t="shared" ref="H30:M30" si="3">SUM(H5:H29)</f>
        <v>415</v>
      </c>
      <c r="I30" s="105">
        <f>SUM(I5:I29)</f>
        <v>1337.3</v>
      </c>
      <c r="J30" s="105">
        <f>J5+J6+J7+J8+J9+J10+J11+J12+J13+J14+J15+J16+J18+J19+J17+J20+J22+J23+J21+J24+J25+J26+J27+J28+J29</f>
        <v>165</v>
      </c>
      <c r="K30" s="105">
        <f>K5+K6+K7+K8+K9+K10+K11+K12+K13+K14+K15+K16+K18+K19+K17+K20+K22+K23+K21+K24+K25+K26+K27+K28+K29</f>
        <v>516.30000000000007</v>
      </c>
      <c r="L30" s="106">
        <f t="shared" si="3"/>
        <v>0</v>
      </c>
      <c r="M30" s="106">
        <f t="shared" si="3"/>
        <v>800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1"/>
      <c r="S30" s="341"/>
      <c r="T30" s="34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43" t="s">
        <v>16</v>
      </c>
      <c r="B31" s="344"/>
      <c r="C31" s="344"/>
      <c r="D31" s="344"/>
      <c r="E31" s="344"/>
      <c r="F31" s="344"/>
      <c r="G31" s="344"/>
      <c r="H31" s="265">
        <f t="shared" ref="H31:J31" si="4">H30+H62+H94</f>
        <v>415</v>
      </c>
      <c r="I31" s="103">
        <f t="shared" si="4"/>
        <v>1337.3</v>
      </c>
      <c r="J31" s="103">
        <f t="shared" si="4"/>
        <v>275</v>
      </c>
      <c r="K31" s="103">
        <f>K30+K62+K94</f>
        <v>516.30000000000007</v>
      </c>
      <c r="L31" s="97">
        <f>L30+L62+L94</f>
        <v>0</v>
      </c>
      <c r="M31" s="97">
        <f>M30+M62+M94</f>
        <v>800</v>
      </c>
      <c r="N31" s="262">
        <f>COUNT(H5:H29,H37:H61,H69:H93)</f>
        <v>4</v>
      </c>
      <c r="O31" s="104">
        <f>COUNT(I5:I29,I37:I61,I69:I93)</f>
        <v>13</v>
      </c>
      <c r="P31" s="104">
        <f>COUNTIF(G5:G29,"G*")+COUNTIF(G37:G61,"G*")+COUNTIF(G69:G93,"G*")+COUNTIF(G5:G29,"P*")+COUNTIF(G37:G61,"P*")+COUNTIF(G69:G93,"P*")</f>
        <v>7</v>
      </c>
      <c r="Q31" s="117">
        <f>COUNTIF(G5:G29,"RSL")+COUNTIF(G37:G61,"RSL")+COUNTIF(G69:G93,"RSL")</f>
        <v>3</v>
      </c>
      <c r="R31" s="98" t="s">
        <v>83</v>
      </c>
      <c r="S31" s="111">
        <f>H31+L31-U28-U29-U30</f>
        <v>415</v>
      </c>
      <c r="T31" s="328">
        <f>H31+I31+L31+M31</f>
        <v>2552.3000000000002</v>
      </c>
      <c r="U31" s="32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19" t="s">
        <v>55</v>
      </c>
      <c r="B32" s="320"/>
      <c r="C32" s="107">
        <f>H31+I31+J31+K31</f>
        <v>2543.6</v>
      </c>
      <c r="D32" s="196"/>
      <c r="E32" s="107"/>
      <c r="F32" s="321" t="s">
        <v>53</v>
      </c>
      <c r="G32" s="321"/>
      <c r="H32" s="109">
        <f>COUNT(B5:B29,B37:B61,B69:B93)</f>
        <v>26</v>
      </c>
      <c r="I32" s="322" t="s">
        <v>54</v>
      </c>
      <c r="J32" s="322"/>
      <c r="K32" s="108">
        <f>C32/H32</f>
        <v>97.830769230769221</v>
      </c>
      <c r="L32" s="260"/>
      <c r="M32" s="260"/>
      <c r="N32" s="260">
        <f>H31/C32</f>
        <v>0.16315458405409655</v>
      </c>
      <c r="O32" s="260">
        <f>I31/C32</f>
        <v>0.52575090423022486</v>
      </c>
      <c r="P32" s="260">
        <f>K31/C32</f>
        <v>0.20298002830633752</v>
      </c>
      <c r="Q32" s="110">
        <f>J31/C32</f>
        <v>0.1081144834093411</v>
      </c>
      <c r="R32" s="99" t="s">
        <v>82</v>
      </c>
      <c r="S32" s="266">
        <f>I31+M31</f>
        <v>2137.3000000000002</v>
      </c>
      <c r="T32" s="330"/>
      <c r="U32" s="331"/>
      <c r="V32" s="55"/>
      <c r="W32" s="55"/>
      <c r="X32" s="56" t="s">
        <v>27</v>
      </c>
      <c r="Y32" s="56"/>
      <c r="Z32" s="54">
        <f>I31</f>
        <v>1337.3</v>
      </c>
      <c r="AE32" s="37"/>
      <c r="AF32" s="37"/>
      <c r="AG32" s="37"/>
      <c r="AH32" s="37"/>
    </row>
    <row r="33" spans="1:34" ht="18" thickBot="1" x14ac:dyDescent="0.45">
      <c r="A33" s="326" t="s">
        <v>24</v>
      </c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288"/>
      <c r="U33" s="289"/>
      <c r="X33" s="57" t="s">
        <v>29</v>
      </c>
      <c r="Y33" s="57"/>
      <c r="Z33" s="58">
        <f>SUM(Z31:Z32)</f>
        <v>-1407.7</v>
      </c>
      <c r="AE33" s="37"/>
      <c r="AF33" s="37"/>
      <c r="AG33" s="59"/>
      <c r="AH33" s="37"/>
    </row>
    <row r="34" spans="1:34" ht="18" thickBot="1" x14ac:dyDescent="0.45">
      <c r="A34" s="287" t="str">
        <f>A2</f>
        <v>28-07-2022</v>
      </c>
      <c r="B34" s="288"/>
      <c r="C34" s="288"/>
      <c r="D34" s="288"/>
      <c r="E34" s="288"/>
      <c r="F34" s="288"/>
      <c r="G34" s="289"/>
      <c r="H34" s="290" t="s">
        <v>49</v>
      </c>
      <c r="I34" s="291"/>
      <c r="J34" s="287" t="str">
        <f>J2</f>
        <v>sunny</v>
      </c>
      <c r="K34" s="289"/>
      <c r="L34" s="291" t="s">
        <v>50</v>
      </c>
      <c r="M34" s="292"/>
      <c r="N34" s="290"/>
      <c r="O34" s="288" t="str">
        <f>O2</f>
        <v>JOHN</v>
      </c>
      <c r="P34" s="288"/>
      <c r="Q34" s="289"/>
      <c r="R34" s="291" t="s">
        <v>51</v>
      </c>
      <c r="S34" s="290"/>
      <c r="T34" s="293">
        <f>T2</f>
        <v>5</v>
      </c>
      <c r="U34" s="293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297" t="s">
        <v>8</v>
      </c>
      <c r="P36" s="297"/>
      <c r="Q36" s="29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>
        <v>10311</v>
      </c>
      <c r="C37" s="68" t="s">
        <v>268</v>
      </c>
      <c r="D37" s="258" t="s">
        <v>269</v>
      </c>
      <c r="E37" s="181" t="s">
        <v>92</v>
      </c>
      <c r="F37" s="281">
        <v>0.66666666666666663</v>
      </c>
      <c r="G37" s="118" t="s">
        <v>44</v>
      </c>
      <c r="H37" s="91"/>
      <c r="I37" s="124"/>
      <c r="J37" s="130">
        <v>110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 t="s">
        <v>99</v>
      </c>
      <c r="O37" s="304" t="s">
        <v>270</v>
      </c>
      <c r="P37" s="305"/>
      <c r="Q37" s="306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01"/>
      <c r="P38" s="302"/>
      <c r="Q38" s="303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4"/>
      <c r="P39" s="305"/>
      <c r="Q39" s="306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07"/>
      <c r="P40" s="308"/>
      <c r="Q40" s="309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07"/>
      <c r="P41" s="308"/>
      <c r="Q41" s="309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4"/>
      <c r="P42" s="295"/>
      <c r="Q42" s="296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4"/>
      <c r="P43" s="305"/>
      <c r="Q43" s="306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4"/>
      <c r="P44" s="305"/>
      <c r="Q44" s="306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4"/>
      <c r="P45" s="305"/>
      <c r="Q45" s="306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4"/>
      <c r="P46" s="305"/>
      <c r="Q46" s="306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4"/>
      <c r="P47" s="305"/>
      <c r="Q47" s="306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4"/>
      <c r="P48" s="305"/>
      <c r="Q48" s="306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4"/>
      <c r="P49" s="305"/>
      <c r="Q49" s="306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4"/>
      <c r="P50" s="305"/>
      <c r="Q50" s="306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4"/>
      <c r="P51" s="305"/>
      <c r="Q51" s="305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4"/>
      <c r="P52" s="305"/>
      <c r="Q52" s="305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5"/>
      <c r="P53" s="304"/>
      <c r="Q53" s="304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5"/>
      <c r="P54" s="304"/>
      <c r="Q54" s="304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5"/>
      <c r="P55" s="304"/>
      <c r="Q55" s="304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5"/>
      <c r="P56" s="305"/>
      <c r="Q56" s="305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4"/>
      <c r="P57" s="305"/>
      <c r="Q57" s="305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5"/>
      <c r="P58" s="305"/>
      <c r="Q58" s="305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5"/>
      <c r="P59" s="305"/>
      <c r="Q59" s="305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4"/>
      <c r="P60" s="305"/>
      <c r="Q60" s="306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46"/>
      <c r="P61" s="347"/>
      <c r="Q61" s="348"/>
      <c r="R61" s="81"/>
      <c r="S61" s="68"/>
      <c r="T61" s="68"/>
      <c r="U61" s="77"/>
    </row>
    <row r="62" spans="1:21" x14ac:dyDescent="0.4">
      <c r="A62" s="349" t="s">
        <v>48</v>
      </c>
      <c r="B62" s="350"/>
      <c r="C62" s="350"/>
      <c r="D62" s="350"/>
      <c r="E62" s="350"/>
      <c r="F62" s="350"/>
      <c r="G62" s="350"/>
      <c r="H62" s="350">
        <f t="shared" ref="H62:M62" si="8">SUM(H37:H61)</f>
        <v>0</v>
      </c>
      <c r="I62" s="355">
        <f t="shared" si="8"/>
        <v>0</v>
      </c>
      <c r="J62" s="355">
        <f>J61+J60+J59+J58+J57+J56+J55+J54+J53+J52+J51+J50+J49+J48+J47+J46+J45+J44+J43+J42+J41+J40+J39+J38+J37</f>
        <v>110</v>
      </c>
      <c r="K62" s="355">
        <f>K61+K60+K59+K58+K57+K56+K55+K54+K53+K52+K51+K50+K49+K48+K47+K46+K45+K44+K43+K42+K41+K40+K39+K38+K37</f>
        <v>0</v>
      </c>
      <c r="L62" s="358">
        <f t="shared" si="8"/>
        <v>0</v>
      </c>
      <c r="M62" s="361">
        <f t="shared" si="8"/>
        <v>0</v>
      </c>
      <c r="N62" s="364"/>
      <c r="O62" s="365"/>
      <c r="P62" s="365"/>
      <c r="Q62" s="366"/>
      <c r="R62" s="5"/>
      <c r="S62" s="6"/>
      <c r="T62" s="7"/>
      <c r="U62" s="8"/>
    </row>
    <row r="63" spans="1:21" ht="18" thickBot="1" x14ac:dyDescent="0.45">
      <c r="A63" s="351"/>
      <c r="B63" s="352"/>
      <c r="C63" s="352"/>
      <c r="D63" s="352"/>
      <c r="E63" s="352"/>
      <c r="F63" s="352"/>
      <c r="G63" s="352"/>
      <c r="H63" s="352"/>
      <c r="I63" s="356"/>
      <c r="J63" s="356"/>
      <c r="K63" s="356"/>
      <c r="L63" s="359"/>
      <c r="M63" s="362"/>
      <c r="N63" s="367"/>
      <c r="O63" s="368"/>
      <c r="P63" s="368"/>
      <c r="Q63" s="369"/>
      <c r="R63" s="1"/>
      <c r="S63" s="2"/>
      <c r="T63" s="3"/>
      <c r="U63" s="4"/>
    </row>
    <row r="64" spans="1:21" ht="18" thickBot="1" x14ac:dyDescent="0.45">
      <c r="A64" s="353"/>
      <c r="B64" s="354"/>
      <c r="C64" s="354"/>
      <c r="D64" s="354"/>
      <c r="E64" s="354"/>
      <c r="F64" s="354"/>
      <c r="G64" s="354"/>
      <c r="H64" s="354"/>
      <c r="I64" s="357"/>
      <c r="J64" s="357"/>
      <c r="K64" s="357"/>
      <c r="L64" s="360"/>
      <c r="M64" s="363"/>
      <c r="N64" s="326"/>
      <c r="O64" s="327"/>
      <c r="P64" s="327"/>
      <c r="Q64" s="370"/>
      <c r="R64" s="371" t="s">
        <v>17</v>
      </c>
      <c r="S64" s="372"/>
      <c r="T64" s="372"/>
      <c r="U64" s="373"/>
    </row>
    <row r="65" spans="1:21" ht="18" thickBot="1" x14ac:dyDescent="0.45">
      <c r="A65" s="287" t="s">
        <v>24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8"/>
      <c r="Q65" s="288"/>
      <c r="R65" s="288"/>
      <c r="S65" s="288"/>
      <c r="T65" s="288"/>
      <c r="U65" s="289"/>
    </row>
    <row r="66" spans="1:21" ht="18" thickBot="1" x14ac:dyDescent="0.45">
      <c r="A66" s="287" t="str">
        <f>A34</f>
        <v>28-07-2022</v>
      </c>
      <c r="B66" s="288"/>
      <c r="C66" s="288"/>
      <c r="D66" s="288"/>
      <c r="E66" s="288"/>
      <c r="F66" s="288"/>
      <c r="G66" s="289"/>
      <c r="H66" s="290" t="s">
        <v>49</v>
      </c>
      <c r="I66" s="291"/>
      <c r="J66" s="287" t="str">
        <f>J34</f>
        <v>sunny</v>
      </c>
      <c r="K66" s="289"/>
      <c r="L66" s="291" t="s">
        <v>50</v>
      </c>
      <c r="M66" s="292"/>
      <c r="N66" s="290"/>
      <c r="O66" s="288" t="str">
        <f>O34</f>
        <v>JOHN</v>
      </c>
      <c r="P66" s="288"/>
      <c r="Q66" s="289"/>
      <c r="R66" s="291" t="s">
        <v>51</v>
      </c>
      <c r="S66" s="290"/>
      <c r="T66" s="293">
        <f>T34</f>
        <v>5</v>
      </c>
      <c r="U66" s="293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297" t="s">
        <v>8</v>
      </c>
      <c r="P68" s="297"/>
      <c r="Q68" s="29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4"/>
      <c r="P69" s="305"/>
      <c r="Q69" s="306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01"/>
      <c r="P70" s="302"/>
      <c r="Q70" s="303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4"/>
      <c r="P71" s="305"/>
      <c r="Q71" s="306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07"/>
      <c r="P72" s="308"/>
      <c r="Q72" s="309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07"/>
      <c r="P73" s="308"/>
      <c r="Q73" s="309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4"/>
      <c r="P74" s="295"/>
      <c r="Q74" s="296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4"/>
      <c r="P75" s="305"/>
      <c r="Q75" s="306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4"/>
      <c r="P76" s="305"/>
      <c r="Q76" s="306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4"/>
      <c r="P77" s="305"/>
      <c r="Q77" s="306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4"/>
      <c r="P78" s="305"/>
      <c r="Q78" s="306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4"/>
      <c r="P79" s="305"/>
      <c r="Q79" s="306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4"/>
      <c r="P80" s="305"/>
      <c r="Q80" s="306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4"/>
      <c r="P81" s="305"/>
      <c r="Q81" s="306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4"/>
      <c r="P82" s="305"/>
      <c r="Q82" s="306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4"/>
      <c r="P83" s="305"/>
      <c r="Q83" s="305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4"/>
      <c r="P84" s="305"/>
      <c r="Q84" s="305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5"/>
      <c r="P85" s="304"/>
      <c r="Q85" s="304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5"/>
      <c r="P86" s="304"/>
      <c r="Q86" s="304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5"/>
      <c r="P87" s="304"/>
      <c r="Q87" s="304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5"/>
      <c r="P88" s="305"/>
      <c r="Q88" s="305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4"/>
      <c r="P89" s="305"/>
      <c r="Q89" s="305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5"/>
      <c r="P90" s="305"/>
      <c r="Q90" s="305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5"/>
      <c r="P91" s="305"/>
      <c r="Q91" s="305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4"/>
      <c r="P92" s="305"/>
      <c r="Q92" s="306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46"/>
      <c r="P93" s="347"/>
      <c r="Q93" s="348"/>
      <c r="R93" s="81"/>
      <c r="S93" s="68"/>
      <c r="T93" s="68"/>
      <c r="U93" s="77"/>
    </row>
    <row r="94" spans="1:21" x14ac:dyDescent="0.4">
      <c r="A94" s="349" t="s">
        <v>48</v>
      </c>
      <c r="B94" s="350"/>
      <c r="C94" s="350"/>
      <c r="D94" s="350"/>
      <c r="E94" s="374"/>
      <c r="F94" s="350"/>
      <c r="G94" s="350"/>
      <c r="H94" s="350">
        <f t="shared" ref="H94:M94" si="12">SUM(H69:H93)</f>
        <v>0</v>
      </c>
      <c r="I94" s="355">
        <f t="shared" si="12"/>
        <v>0</v>
      </c>
      <c r="J94" s="355">
        <f>J93+J92+J91+J90+J89+J88+J87+J86+J85+J84+J83+J82+J81+J80+J79+J78+J77+J76+J75+J74+J73+J72+J71+J70+J69</f>
        <v>0</v>
      </c>
      <c r="K94" s="355">
        <f>K93+K92+K91+K90+K89+K88+K87+K86+K85+K84+K83+K82+K81+K80+K79+K78+K77+K76+K75+K74+K73+K72+K71+K70+K69</f>
        <v>0</v>
      </c>
      <c r="L94" s="358">
        <f t="shared" si="12"/>
        <v>0</v>
      </c>
      <c r="M94" s="361">
        <f t="shared" si="12"/>
        <v>0</v>
      </c>
      <c r="N94" s="364"/>
      <c r="O94" s="365"/>
      <c r="P94" s="365"/>
      <c r="Q94" s="366"/>
      <c r="R94" s="5"/>
      <c r="S94" s="6"/>
      <c r="T94" s="7"/>
      <c r="U94" s="8"/>
    </row>
    <row r="95" spans="1:21" ht="18" thickBot="1" x14ac:dyDescent="0.45">
      <c r="A95" s="351"/>
      <c r="B95" s="352"/>
      <c r="C95" s="352"/>
      <c r="D95" s="352"/>
      <c r="E95" s="352"/>
      <c r="F95" s="352"/>
      <c r="G95" s="352"/>
      <c r="H95" s="352"/>
      <c r="I95" s="356"/>
      <c r="J95" s="356"/>
      <c r="K95" s="356"/>
      <c r="L95" s="359"/>
      <c r="M95" s="362"/>
      <c r="N95" s="367"/>
      <c r="O95" s="368"/>
      <c r="P95" s="368"/>
      <c r="Q95" s="369"/>
      <c r="R95" s="1"/>
      <c r="S95" s="2"/>
      <c r="T95" s="3"/>
      <c r="U95" s="4"/>
    </row>
    <row r="96" spans="1:21" ht="18" thickBot="1" x14ac:dyDescent="0.45">
      <c r="A96" s="353"/>
      <c r="B96" s="354"/>
      <c r="C96" s="354"/>
      <c r="D96" s="354"/>
      <c r="E96" s="354"/>
      <c r="F96" s="354"/>
      <c r="G96" s="354"/>
      <c r="H96" s="354"/>
      <c r="I96" s="357"/>
      <c r="J96" s="357"/>
      <c r="K96" s="357"/>
      <c r="L96" s="360"/>
      <c r="M96" s="363"/>
      <c r="N96" s="326"/>
      <c r="O96" s="327"/>
      <c r="P96" s="327"/>
      <c r="Q96" s="370"/>
      <c r="R96" s="371" t="s">
        <v>52</v>
      </c>
      <c r="S96" s="372"/>
      <c r="T96" s="372"/>
      <c r="U96" s="373"/>
    </row>
  </sheetData>
  <mergeCells count="131"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3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topLeftCell="A7" zoomScale="80" zoomScaleNormal="80" zoomScaleSheetLayoutView="77" workbookViewId="0">
      <selection activeCell="S32" sqref="S32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287" t="s">
        <v>77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9"/>
    </row>
    <row r="2" spans="1:44" ht="18" thickBot="1" x14ac:dyDescent="0.45">
      <c r="A2" s="287" t="s">
        <v>271</v>
      </c>
      <c r="B2" s="288"/>
      <c r="C2" s="288"/>
      <c r="D2" s="288"/>
      <c r="E2" s="288"/>
      <c r="F2" s="288"/>
      <c r="G2" s="289"/>
      <c r="H2" s="290" t="s">
        <v>49</v>
      </c>
      <c r="I2" s="291"/>
      <c r="J2" s="287" t="s">
        <v>98</v>
      </c>
      <c r="K2" s="289"/>
      <c r="L2" s="291" t="s">
        <v>96</v>
      </c>
      <c r="M2" s="292"/>
      <c r="N2" s="290"/>
      <c r="O2" s="288" t="s">
        <v>272</v>
      </c>
      <c r="P2" s="288"/>
      <c r="Q2" s="289"/>
      <c r="R2" s="291" t="s">
        <v>51</v>
      </c>
      <c r="S2" s="290"/>
      <c r="T2" s="293">
        <v>5</v>
      </c>
      <c r="U2" s="29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297" t="s">
        <v>8</v>
      </c>
      <c r="P4" s="297"/>
      <c r="Q4" s="29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10312</v>
      </c>
      <c r="C5" s="68" t="s">
        <v>278</v>
      </c>
      <c r="D5" s="200" t="s">
        <v>279</v>
      </c>
      <c r="E5" s="181" t="s">
        <v>92</v>
      </c>
      <c r="F5" s="170">
        <v>855</v>
      </c>
      <c r="G5" s="118" t="s">
        <v>160</v>
      </c>
      <c r="H5" s="91">
        <v>280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100</v>
      </c>
      <c r="O5" s="375"/>
      <c r="P5" s="376"/>
      <c r="Q5" s="377"/>
      <c r="R5" s="33" t="s">
        <v>100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10313</v>
      </c>
      <c r="C6" s="67" t="s">
        <v>274</v>
      </c>
      <c r="D6" s="200" t="s">
        <v>275</v>
      </c>
      <c r="E6" s="181" t="s">
        <v>91</v>
      </c>
      <c r="F6" s="171">
        <v>920</v>
      </c>
      <c r="G6" s="118" t="s">
        <v>121</v>
      </c>
      <c r="H6" s="91">
        <v>180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100</v>
      </c>
      <c r="O6" s="301"/>
      <c r="P6" s="302"/>
      <c r="Q6" s="303"/>
      <c r="R6" s="134" t="s">
        <v>103</v>
      </c>
      <c r="S6" s="31">
        <v>0.34375</v>
      </c>
      <c r="T6" s="32">
        <v>0.70833333333333337</v>
      </c>
      <c r="U6" s="92">
        <f t="shared" si="0"/>
        <v>8.75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10314</v>
      </c>
      <c r="C7" s="67" t="s">
        <v>276</v>
      </c>
      <c r="D7" s="200" t="s">
        <v>277</v>
      </c>
      <c r="E7" s="181" t="s">
        <v>91</v>
      </c>
      <c r="F7" s="171">
        <v>935</v>
      </c>
      <c r="G7" s="118" t="s">
        <v>137</v>
      </c>
      <c r="H7" s="91">
        <v>55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100</v>
      </c>
      <c r="O7" s="304"/>
      <c r="P7" s="305"/>
      <c r="Q7" s="306"/>
      <c r="R7" s="26" t="s">
        <v>151</v>
      </c>
      <c r="S7" s="31">
        <v>0.35416666666666669</v>
      </c>
      <c r="T7" s="32">
        <v>0.47916666666666669</v>
      </c>
      <c r="U7" s="92">
        <f t="shared" si="0"/>
        <v>3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10315</v>
      </c>
      <c r="C8" s="27" t="s">
        <v>280</v>
      </c>
      <c r="D8" s="200" t="s">
        <v>281</v>
      </c>
      <c r="E8" s="181" t="s">
        <v>91</v>
      </c>
      <c r="F8" s="171">
        <v>1000</v>
      </c>
      <c r="G8" s="118" t="s">
        <v>108</v>
      </c>
      <c r="H8" s="91"/>
      <c r="I8" s="124"/>
      <c r="J8" s="130" t="str">
        <f t="shared" si="1"/>
        <v>0</v>
      </c>
      <c r="K8" s="130">
        <v>79.16</v>
      </c>
      <c r="L8" s="131"/>
      <c r="M8" s="131"/>
      <c r="N8" s="134" t="s">
        <v>100</v>
      </c>
      <c r="O8" s="307" t="s">
        <v>282</v>
      </c>
      <c r="P8" s="308"/>
      <c r="Q8" s="309"/>
      <c r="R8" s="26" t="s">
        <v>273</v>
      </c>
      <c r="S8" s="31">
        <v>0.39583333333333331</v>
      </c>
      <c r="T8" s="32">
        <v>0.61458333333333337</v>
      </c>
      <c r="U8" s="92">
        <f t="shared" si="0"/>
        <v>5.2500000000000018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10316</v>
      </c>
      <c r="C9" s="63" t="s">
        <v>286</v>
      </c>
      <c r="D9" s="201" t="s">
        <v>287</v>
      </c>
      <c r="E9" s="181" t="s">
        <v>92</v>
      </c>
      <c r="F9" s="172">
        <v>1130</v>
      </c>
      <c r="G9" s="119" t="s">
        <v>117</v>
      </c>
      <c r="H9" s="91">
        <v>90</v>
      </c>
      <c r="I9" s="91"/>
      <c r="J9" s="130" t="str">
        <f t="shared" si="1"/>
        <v>0</v>
      </c>
      <c r="K9" s="130">
        <v>0</v>
      </c>
      <c r="L9" s="131"/>
      <c r="M9" s="131"/>
      <c r="N9" s="134" t="s">
        <v>100</v>
      </c>
      <c r="O9" s="307"/>
      <c r="P9" s="308"/>
      <c r="Q9" s="309"/>
      <c r="R9" s="26" t="s">
        <v>104</v>
      </c>
      <c r="S9" s="31">
        <v>0.45833333333333331</v>
      </c>
      <c r="T9" s="32">
        <v>0.66666666666666663</v>
      </c>
      <c r="U9" s="92">
        <f t="shared" si="0"/>
        <v>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10317</v>
      </c>
      <c r="C10" s="28" t="s">
        <v>283</v>
      </c>
      <c r="D10" s="202" t="s">
        <v>284</v>
      </c>
      <c r="E10" s="181" t="s">
        <v>92</v>
      </c>
      <c r="F10" s="173">
        <v>1205</v>
      </c>
      <c r="G10" s="120" t="s">
        <v>234</v>
      </c>
      <c r="H10" s="123"/>
      <c r="I10" s="125"/>
      <c r="J10" s="130" t="str">
        <f t="shared" si="1"/>
        <v>0</v>
      </c>
      <c r="K10" s="130">
        <v>162.33000000000001</v>
      </c>
      <c r="L10" s="131"/>
      <c r="M10" s="131"/>
      <c r="N10" s="134" t="s">
        <v>100</v>
      </c>
      <c r="O10" s="294" t="s">
        <v>285</v>
      </c>
      <c r="P10" s="295"/>
      <c r="Q10" s="296"/>
      <c r="R10" s="26" t="s">
        <v>102</v>
      </c>
      <c r="S10" s="31">
        <v>0.45833333333333331</v>
      </c>
      <c r="T10" s="32">
        <v>0.70833333333333337</v>
      </c>
      <c r="U10" s="92">
        <f t="shared" si="0"/>
        <v>6.0000000000000018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10318</v>
      </c>
      <c r="C11" s="18" t="s">
        <v>288</v>
      </c>
      <c r="D11" s="203" t="s">
        <v>289</v>
      </c>
      <c r="E11" s="181" t="s">
        <v>91</v>
      </c>
      <c r="F11" s="66">
        <v>1230</v>
      </c>
      <c r="G11" s="121" t="s">
        <v>205</v>
      </c>
      <c r="H11" s="123"/>
      <c r="I11" s="124">
        <v>252.5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100</v>
      </c>
      <c r="O11" s="304"/>
      <c r="P11" s="305"/>
      <c r="Q11" s="306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10319</v>
      </c>
      <c r="C12" s="64" t="s">
        <v>290</v>
      </c>
      <c r="D12" s="204" t="s">
        <v>291</v>
      </c>
      <c r="E12" s="181" t="s">
        <v>92</v>
      </c>
      <c r="F12" s="173">
        <v>1250</v>
      </c>
      <c r="G12" s="119" t="s">
        <v>117</v>
      </c>
      <c r="H12" s="123"/>
      <c r="I12" s="125">
        <v>95.95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100</v>
      </c>
      <c r="O12" s="304" t="s">
        <v>148</v>
      </c>
      <c r="P12" s="305"/>
      <c r="Q12" s="306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10320</v>
      </c>
      <c r="C13" s="64" t="s">
        <v>292</v>
      </c>
      <c r="D13" s="204" t="s">
        <v>293</v>
      </c>
      <c r="E13" s="181" t="s">
        <v>91</v>
      </c>
      <c r="F13" s="173">
        <v>1330</v>
      </c>
      <c r="G13" s="119" t="s">
        <v>117</v>
      </c>
      <c r="H13" s="169">
        <v>90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100</v>
      </c>
      <c r="O13" s="304"/>
      <c r="P13" s="305"/>
      <c r="Q13" s="306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10321</v>
      </c>
      <c r="C14" s="65" t="s">
        <v>294</v>
      </c>
      <c r="D14" s="205" t="s">
        <v>295</v>
      </c>
      <c r="E14" s="181" t="s">
        <v>91</v>
      </c>
      <c r="F14" s="174">
        <v>1400</v>
      </c>
      <c r="G14" s="122" t="s">
        <v>137</v>
      </c>
      <c r="H14" s="123">
        <v>55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100</v>
      </c>
      <c r="O14" s="304"/>
      <c r="P14" s="305"/>
      <c r="Q14" s="306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10322</v>
      </c>
      <c r="C15" s="65" t="s">
        <v>296</v>
      </c>
      <c r="D15" s="205" t="s">
        <v>297</v>
      </c>
      <c r="E15" s="181" t="s">
        <v>91</v>
      </c>
      <c r="F15" s="174">
        <v>1430</v>
      </c>
      <c r="G15" s="122" t="s">
        <v>117</v>
      </c>
      <c r="H15" s="123">
        <v>75</v>
      </c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100</v>
      </c>
      <c r="O15" s="304"/>
      <c r="P15" s="305"/>
      <c r="Q15" s="306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10323</v>
      </c>
      <c r="C16" s="65" t="s">
        <v>298</v>
      </c>
      <c r="D16" s="205" t="s">
        <v>299</v>
      </c>
      <c r="E16" s="181" t="s">
        <v>92</v>
      </c>
      <c r="F16" s="174">
        <v>1515</v>
      </c>
      <c r="G16" s="122" t="s">
        <v>44</v>
      </c>
      <c r="H16" s="123"/>
      <c r="I16" s="124"/>
      <c r="J16" s="130">
        <v>110</v>
      </c>
      <c r="K16" s="130" t="str">
        <f t="shared" si="2"/>
        <v>0</v>
      </c>
      <c r="L16" s="131"/>
      <c r="M16" s="131"/>
      <c r="N16" s="134" t="s">
        <v>100</v>
      </c>
      <c r="O16" s="381" t="s">
        <v>300</v>
      </c>
      <c r="P16" s="305"/>
      <c r="Q16" s="306"/>
      <c r="R16" s="82">
        <f>H32/U16</f>
        <v>0.35135135135135137</v>
      </c>
      <c r="S16" s="83">
        <f>H32/(U16-U5)</f>
        <v>0.4642857142857143</v>
      </c>
      <c r="T16" s="83">
        <f>C32/U16</f>
        <v>42.701081081081085</v>
      </c>
      <c r="U16" s="83">
        <f>SUM(U5:U15)</f>
        <v>37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10324</v>
      </c>
      <c r="C17" s="18" t="s">
        <v>301</v>
      </c>
      <c r="D17" s="203" t="s">
        <v>302</v>
      </c>
      <c r="E17" s="181" t="s">
        <v>92</v>
      </c>
      <c r="F17" s="66">
        <v>1600</v>
      </c>
      <c r="G17" s="121" t="s">
        <v>137</v>
      </c>
      <c r="H17" s="123">
        <v>55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100</v>
      </c>
      <c r="O17" s="304"/>
      <c r="P17" s="305"/>
      <c r="Q17" s="306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4"/>
      <c r="P18" s="305"/>
      <c r="Q18" s="306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4"/>
      <c r="P19" s="305"/>
      <c r="Q19" s="305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12"/>
      <c r="P20" s="313"/>
      <c r="Q20" s="31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4"/>
      <c r="P21" s="305"/>
      <c r="Q21" s="305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4"/>
      <c r="P22" s="305"/>
      <c r="Q22" s="306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0"/>
      <c r="Y23" s="311"/>
      <c r="Z23" s="311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4"/>
      <c r="P24" s="305"/>
      <c r="Q24" s="306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4"/>
      <c r="P25" s="305"/>
      <c r="Q25" s="306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14">
        <f>((C32+(R26+S26+T26)*0.5))</f>
        <v>1579.94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4"/>
      <c r="P26" s="305"/>
      <c r="Q26" s="306"/>
      <c r="R26" s="112">
        <f>R25*37.5</f>
        <v>0</v>
      </c>
      <c r="S26" s="102">
        <f>S25*41.5</f>
        <v>0</v>
      </c>
      <c r="T26" s="102">
        <f>T25*50</f>
        <v>0</v>
      </c>
      <c r="U26" s="31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4"/>
      <c r="P27" s="305"/>
      <c r="Q27" s="306"/>
      <c r="R27" s="323" t="s">
        <v>56</v>
      </c>
      <c r="S27" s="324"/>
      <c r="T27" s="324"/>
      <c r="U27" s="32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4"/>
      <c r="P28" s="305"/>
      <c r="Q28" s="306"/>
      <c r="R28" s="316"/>
      <c r="S28" s="317"/>
      <c r="T28" s="31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32"/>
      <c r="P29" s="333"/>
      <c r="Q29" s="334"/>
      <c r="R29" s="335"/>
      <c r="S29" s="336"/>
      <c r="T29" s="33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38" t="s">
        <v>48</v>
      </c>
      <c r="B30" s="339"/>
      <c r="C30" s="339"/>
      <c r="D30" s="339"/>
      <c r="E30" s="340"/>
      <c r="F30" s="339"/>
      <c r="G30" s="339"/>
      <c r="H30" s="264">
        <f t="shared" ref="H30:M30" si="3">SUM(H5:H29)</f>
        <v>880</v>
      </c>
      <c r="I30" s="105">
        <f>SUM(I5:I29)</f>
        <v>348.45</v>
      </c>
      <c r="J30" s="105">
        <f>J5+J6+J7+J8+J9+J10+J11+J12+J13+J14+J15+J16+J18+J19+J17+J20+J22+J23+J21+J24+J25+J26+J27+J28+J29</f>
        <v>110</v>
      </c>
      <c r="K30" s="105">
        <f>K5+K6+K7+K8+K9+K10+K11+K12+K13+K14+K15+K16+K18+K19+K17+K20+K22+K23+K21+K24+K25+K26+K27+K28+K29</f>
        <v>241.49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1"/>
      <c r="S30" s="341"/>
      <c r="T30" s="34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43" t="s">
        <v>16</v>
      </c>
      <c r="B31" s="344"/>
      <c r="C31" s="344"/>
      <c r="D31" s="344"/>
      <c r="E31" s="344"/>
      <c r="F31" s="344"/>
      <c r="G31" s="344"/>
      <c r="H31" s="265">
        <f t="shared" ref="H31:J31" si="4">H30+H62+H94</f>
        <v>880</v>
      </c>
      <c r="I31" s="103">
        <f t="shared" si="4"/>
        <v>348.45</v>
      </c>
      <c r="J31" s="103">
        <f t="shared" si="4"/>
        <v>110</v>
      </c>
      <c r="K31" s="103">
        <f>K30+K62+K94</f>
        <v>241.49</v>
      </c>
      <c r="L31" s="97">
        <f>L30+L62+L94</f>
        <v>0</v>
      </c>
      <c r="M31" s="97">
        <f>M30+M62+M94</f>
        <v>0</v>
      </c>
      <c r="N31" s="262">
        <f>COUNT(H5:H29,H37:H61,H69:H93)</f>
        <v>8</v>
      </c>
      <c r="O31" s="104">
        <f>COUNT(I5:I29,I37:I61,I69:I93)</f>
        <v>2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880</v>
      </c>
      <c r="T31" s="328">
        <f>H31+I31+L31+M31</f>
        <v>1228.45</v>
      </c>
      <c r="U31" s="32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19" t="s">
        <v>55</v>
      </c>
      <c r="B32" s="320"/>
      <c r="C32" s="107">
        <f>H31+I31+J31+K31</f>
        <v>1579.94</v>
      </c>
      <c r="D32" s="196"/>
      <c r="E32" s="107"/>
      <c r="F32" s="321" t="s">
        <v>53</v>
      </c>
      <c r="G32" s="321"/>
      <c r="H32" s="109">
        <f>COUNT(B5:B29,B37:B61,B69:B93)</f>
        <v>13</v>
      </c>
      <c r="I32" s="322" t="s">
        <v>54</v>
      </c>
      <c r="J32" s="322"/>
      <c r="K32" s="108">
        <f>C32/H32</f>
        <v>121.53384615384616</v>
      </c>
      <c r="L32" s="260"/>
      <c r="M32" s="260"/>
      <c r="N32" s="260">
        <f>H31/C32</f>
        <v>0.55698317657632568</v>
      </c>
      <c r="O32" s="260">
        <f>I31/C32</f>
        <v>0.22054634986138713</v>
      </c>
      <c r="P32" s="260">
        <f>K31/C32</f>
        <v>0.15284757649024647</v>
      </c>
      <c r="Q32" s="110">
        <f>J31/C32</f>
        <v>6.962289707204071E-2</v>
      </c>
      <c r="R32" s="99" t="s">
        <v>82</v>
      </c>
      <c r="S32" s="266">
        <f>I31+M31</f>
        <v>348.45</v>
      </c>
      <c r="T32" s="330"/>
      <c r="U32" s="331"/>
      <c r="V32" s="55"/>
      <c r="W32" s="55"/>
      <c r="X32" s="56" t="s">
        <v>27</v>
      </c>
      <c r="Y32" s="56"/>
      <c r="Z32" s="54">
        <f>I31</f>
        <v>348.45</v>
      </c>
      <c r="AE32" s="37"/>
      <c r="AF32" s="37"/>
      <c r="AG32" s="37"/>
      <c r="AH32" s="37"/>
    </row>
    <row r="33" spans="1:34" ht="18" thickBot="1" x14ac:dyDescent="0.45">
      <c r="A33" s="326" t="s">
        <v>24</v>
      </c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288"/>
      <c r="U33" s="289"/>
      <c r="X33" s="57" t="s">
        <v>29</v>
      </c>
      <c r="Y33" s="57"/>
      <c r="Z33" s="58">
        <f>SUM(Z31:Z32)</f>
        <v>-2396.5500000000002</v>
      </c>
      <c r="AE33" s="37"/>
      <c r="AF33" s="37"/>
      <c r="AG33" s="59"/>
      <c r="AH33" s="37"/>
    </row>
    <row r="34" spans="1:34" ht="18" thickBot="1" x14ac:dyDescent="0.45">
      <c r="A34" s="287" t="str">
        <f>A2</f>
        <v>29-07-2022</v>
      </c>
      <c r="B34" s="288"/>
      <c r="C34" s="288"/>
      <c r="D34" s="288"/>
      <c r="E34" s="288"/>
      <c r="F34" s="288"/>
      <c r="G34" s="289"/>
      <c r="H34" s="290" t="s">
        <v>49</v>
      </c>
      <c r="I34" s="291"/>
      <c r="J34" s="287" t="str">
        <f>J2</f>
        <v>SUNNY</v>
      </c>
      <c r="K34" s="289"/>
      <c r="L34" s="291" t="s">
        <v>50</v>
      </c>
      <c r="M34" s="292"/>
      <c r="N34" s="290"/>
      <c r="O34" s="288" t="str">
        <f>O2</f>
        <v>HENDRA</v>
      </c>
      <c r="P34" s="288"/>
      <c r="Q34" s="289"/>
      <c r="R34" s="291" t="s">
        <v>51</v>
      </c>
      <c r="S34" s="290"/>
      <c r="T34" s="293">
        <f>T2</f>
        <v>5</v>
      </c>
      <c r="U34" s="293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297" t="s">
        <v>8</v>
      </c>
      <c r="P36" s="297"/>
      <c r="Q36" s="29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4"/>
      <c r="P37" s="305"/>
      <c r="Q37" s="306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01"/>
      <c r="P38" s="302"/>
      <c r="Q38" s="303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4"/>
      <c r="P39" s="305"/>
      <c r="Q39" s="306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07"/>
      <c r="P40" s="308"/>
      <c r="Q40" s="309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07"/>
      <c r="P41" s="308"/>
      <c r="Q41" s="309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4"/>
      <c r="P42" s="295"/>
      <c r="Q42" s="296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4"/>
      <c r="P43" s="305"/>
      <c r="Q43" s="306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4"/>
      <c r="P44" s="305"/>
      <c r="Q44" s="306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4"/>
      <c r="P45" s="305"/>
      <c r="Q45" s="306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4"/>
      <c r="P46" s="305"/>
      <c r="Q46" s="306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4"/>
      <c r="P47" s="305"/>
      <c r="Q47" s="306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4"/>
      <c r="P48" s="305"/>
      <c r="Q48" s="306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4"/>
      <c r="P49" s="305"/>
      <c r="Q49" s="306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4"/>
      <c r="P50" s="305"/>
      <c r="Q50" s="306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4"/>
      <c r="P51" s="305"/>
      <c r="Q51" s="305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4"/>
      <c r="P52" s="305"/>
      <c r="Q52" s="305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5"/>
      <c r="P53" s="304"/>
      <c r="Q53" s="304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5"/>
      <c r="P54" s="304"/>
      <c r="Q54" s="304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5"/>
      <c r="P55" s="304"/>
      <c r="Q55" s="304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5"/>
      <c r="P56" s="305"/>
      <c r="Q56" s="305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4"/>
      <c r="P57" s="305"/>
      <c r="Q57" s="305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5"/>
      <c r="P58" s="305"/>
      <c r="Q58" s="305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5"/>
      <c r="P59" s="305"/>
      <c r="Q59" s="305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4"/>
      <c r="P60" s="305"/>
      <c r="Q60" s="306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46"/>
      <c r="P61" s="347"/>
      <c r="Q61" s="348"/>
      <c r="R61" s="81"/>
      <c r="S61" s="68"/>
      <c r="T61" s="68"/>
      <c r="U61" s="77"/>
    </row>
    <row r="62" spans="1:21" x14ac:dyDescent="0.4">
      <c r="A62" s="349" t="s">
        <v>48</v>
      </c>
      <c r="B62" s="350"/>
      <c r="C62" s="350"/>
      <c r="D62" s="350"/>
      <c r="E62" s="350"/>
      <c r="F62" s="350"/>
      <c r="G62" s="350"/>
      <c r="H62" s="350">
        <f t="shared" ref="H62:M62" si="8">SUM(H37:H61)</f>
        <v>0</v>
      </c>
      <c r="I62" s="355">
        <f t="shared" si="8"/>
        <v>0</v>
      </c>
      <c r="J62" s="355">
        <f>J61+J60+J59+J58+J57+J56+J55+J54+J53+J52+J51+J50+J49+J48+J47+J46+J45+J44+J43+J42+J41+J40+J39+J38+J37</f>
        <v>0</v>
      </c>
      <c r="K62" s="355">
        <f>K61+K60+K59+K58+K57+K56+K55+K54+K53+K52+K51+K50+K49+K48+K47+K46+K45+K44+K43+K42+K41+K40+K39+K38+K37</f>
        <v>0</v>
      </c>
      <c r="L62" s="358">
        <f t="shared" si="8"/>
        <v>0</v>
      </c>
      <c r="M62" s="361">
        <f t="shared" si="8"/>
        <v>0</v>
      </c>
      <c r="N62" s="364"/>
      <c r="O62" s="365"/>
      <c r="P62" s="365"/>
      <c r="Q62" s="366"/>
      <c r="R62" s="5"/>
      <c r="S62" s="6"/>
      <c r="T62" s="7"/>
      <c r="U62" s="8"/>
    </row>
    <row r="63" spans="1:21" ht="18" thickBot="1" x14ac:dyDescent="0.45">
      <c r="A63" s="351"/>
      <c r="B63" s="352"/>
      <c r="C63" s="352"/>
      <c r="D63" s="352"/>
      <c r="E63" s="352"/>
      <c r="F63" s="352"/>
      <c r="G63" s="352"/>
      <c r="H63" s="352"/>
      <c r="I63" s="356"/>
      <c r="J63" s="356"/>
      <c r="K63" s="356"/>
      <c r="L63" s="359"/>
      <c r="M63" s="362"/>
      <c r="N63" s="367"/>
      <c r="O63" s="368"/>
      <c r="P63" s="368"/>
      <c r="Q63" s="369"/>
      <c r="R63" s="1"/>
      <c r="S63" s="2"/>
      <c r="T63" s="3"/>
      <c r="U63" s="4"/>
    </row>
    <row r="64" spans="1:21" ht="18" thickBot="1" x14ac:dyDescent="0.45">
      <c r="A64" s="353"/>
      <c r="B64" s="354"/>
      <c r="C64" s="354"/>
      <c r="D64" s="354"/>
      <c r="E64" s="354"/>
      <c r="F64" s="354"/>
      <c r="G64" s="354"/>
      <c r="H64" s="354"/>
      <c r="I64" s="357"/>
      <c r="J64" s="357"/>
      <c r="K64" s="357"/>
      <c r="L64" s="360"/>
      <c r="M64" s="363"/>
      <c r="N64" s="326"/>
      <c r="O64" s="327"/>
      <c r="P64" s="327"/>
      <c r="Q64" s="370"/>
      <c r="R64" s="371" t="s">
        <v>17</v>
      </c>
      <c r="S64" s="372"/>
      <c r="T64" s="372"/>
      <c r="U64" s="373"/>
    </row>
    <row r="65" spans="1:21" ht="18" thickBot="1" x14ac:dyDescent="0.45">
      <c r="A65" s="287" t="s">
        <v>24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8"/>
      <c r="Q65" s="288"/>
      <c r="R65" s="288"/>
      <c r="S65" s="288"/>
      <c r="T65" s="288"/>
      <c r="U65" s="289"/>
    </row>
    <row r="66" spans="1:21" ht="18" thickBot="1" x14ac:dyDescent="0.45">
      <c r="A66" s="287" t="str">
        <f>A34</f>
        <v>29-07-2022</v>
      </c>
      <c r="B66" s="288"/>
      <c r="C66" s="288"/>
      <c r="D66" s="288"/>
      <c r="E66" s="288"/>
      <c r="F66" s="288"/>
      <c r="G66" s="289"/>
      <c r="H66" s="290" t="s">
        <v>49</v>
      </c>
      <c r="I66" s="291"/>
      <c r="J66" s="287" t="str">
        <f>J34</f>
        <v>SUNNY</v>
      </c>
      <c r="K66" s="289"/>
      <c r="L66" s="291" t="s">
        <v>50</v>
      </c>
      <c r="M66" s="292"/>
      <c r="N66" s="290"/>
      <c r="O66" s="288" t="str">
        <f>O34</f>
        <v>HENDRA</v>
      </c>
      <c r="P66" s="288"/>
      <c r="Q66" s="289"/>
      <c r="R66" s="291" t="s">
        <v>51</v>
      </c>
      <c r="S66" s="290"/>
      <c r="T66" s="293">
        <f>T34</f>
        <v>5</v>
      </c>
      <c r="U66" s="293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297" t="s">
        <v>8</v>
      </c>
      <c r="P68" s="297"/>
      <c r="Q68" s="29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4"/>
      <c r="P69" s="305"/>
      <c r="Q69" s="306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01"/>
      <c r="P70" s="302"/>
      <c r="Q70" s="303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4"/>
      <c r="P71" s="305"/>
      <c r="Q71" s="306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07"/>
      <c r="P72" s="308"/>
      <c r="Q72" s="309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07"/>
      <c r="P73" s="308"/>
      <c r="Q73" s="309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4"/>
      <c r="P74" s="295"/>
      <c r="Q74" s="296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4"/>
      <c r="P75" s="305"/>
      <c r="Q75" s="306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4"/>
      <c r="P76" s="305"/>
      <c r="Q76" s="306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4"/>
      <c r="P77" s="305"/>
      <c r="Q77" s="306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4"/>
      <c r="P78" s="305"/>
      <c r="Q78" s="306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4"/>
      <c r="P79" s="305"/>
      <c r="Q79" s="306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4"/>
      <c r="P80" s="305"/>
      <c r="Q80" s="306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4"/>
      <c r="P81" s="305"/>
      <c r="Q81" s="306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4"/>
      <c r="P82" s="305"/>
      <c r="Q82" s="306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4"/>
      <c r="P83" s="305"/>
      <c r="Q83" s="305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4"/>
      <c r="P84" s="305"/>
      <c r="Q84" s="305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5"/>
      <c r="P85" s="304"/>
      <c r="Q85" s="304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5"/>
      <c r="P86" s="304"/>
      <c r="Q86" s="304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5"/>
      <c r="P87" s="304"/>
      <c r="Q87" s="304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5"/>
      <c r="P88" s="305"/>
      <c r="Q88" s="305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4"/>
      <c r="P89" s="305"/>
      <c r="Q89" s="305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5"/>
      <c r="P90" s="305"/>
      <c r="Q90" s="305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5"/>
      <c r="P91" s="305"/>
      <c r="Q91" s="305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4"/>
      <c r="P92" s="305"/>
      <c r="Q92" s="306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46"/>
      <c r="P93" s="347"/>
      <c r="Q93" s="348"/>
      <c r="R93" s="81"/>
      <c r="S93" s="68"/>
      <c r="T93" s="68"/>
      <c r="U93" s="77"/>
    </row>
    <row r="94" spans="1:21" x14ac:dyDescent="0.4">
      <c r="A94" s="349" t="s">
        <v>48</v>
      </c>
      <c r="B94" s="350"/>
      <c r="C94" s="350"/>
      <c r="D94" s="350"/>
      <c r="E94" s="374"/>
      <c r="F94" s="350"/>
      <c r="G94" s="350"/>
      <c r="H94" s="350">
        <f t="shared" ref="H94:M94" si="12">SUM(H69:H93)</f>
        <v>0</v>
      </c>
      <c r="I94" s="355">
        <f t="shared" si="12"/>
        <v>0</v>
      </c>
      <c r="J94" s="355">
        <f>J93+J92+J91+J90+J89+J88+J87+J86+J85+J84+J83+J82+J81+J80+J79+J78+J77+J76+J75+J74+J73+J72+J71+J70+J69</f>
        <v>0</v>
      </c>
      <c r="K94" s="355">
        <f>K93+K92+K91+K90+K89+K88+K87+K86+K85+K84+K83+K82+K81+K80+K79+K78+K77+K76+K75+K74+K73+K72+K71+K70+K69</f>
        <v>0</v>
      </c>
      <c r="L94" s="358">
        <f t="shared" si="12"/>
        <v>0</v>
      </c>
      <c r="M94" s="361">
        <f t="shared" si="12"/>
        <v>0</v>
      </c>
      <c r="N94" s="364"/>
      <c r="O94" s="365"/>
      <c r="P94" s="365"/>
      <c r="Q94" s="366"/>
      <c r="R94" s="5"/>
      <c r="S94" s="6"/>
      <c r="T94" s="7"/>
      <c r="U94" s="8"/>
    </row>
    <row r="95" spans="1:21" ht="18" thickBot="1" x14ac:dyDescent="0.45">
      <c r="A95" s="351"/>
      <c r="B95" s="352"/>
      <c r="C95" s="352"/>
      <c r="D95" s="352"/>
      <c r="E95" s="352"/>
      <c r="F95" s="352"/>
      <c r="G95" s="352"/>
      <c r="H95" s="352"/>
      <c r="I95" s="356"/>
      <c r="J95" s="356"/>
      <c r="K95" s="356"/>
      <c r="L95" s="359"/>
      <c r="M95" s="362"/>
      <c r="N95" s="367"/>
      <c r="O95" s="368"/>
      <c r="P95" s="368"/>
      <c r="Q95" s="369"/>
      <c r="R95" s="1"/>
      <c r="S95" s="2"/>
      <c r="T95" s="3"/>
      <c r="U95" s="4"/>
    </row>
    <row r="96" spans="1:21" ht="18" thickBot="1" x14ac:dyDescent="0.45">
      <c r="A96" s="353"/>
      <c r="B96" s="354"/>
      <c r="C96" s="354"/>
      <c r="D96" s="354"/>
      <c r="E96" s="354"/>
      <c r="F96" s="354"/>
      <c r="G96" s="354"/>
      <c r="H96" s="354"/>
      <c r="I96" s="357"/>
      <c r="J96" s="357"/>
      <c r="K96" s="357"/>
      <c r="L96" s="360"/>
      <c r="M96" s="363"/>
      <c r="N96" s="326"/>
      <c r="O96" s="327"/>
      <c r="P96" s="327"/>
      <c r="Q96" s="370"/>
      <c r="R96" s="371" t="s">
        <v>52</v>
      </c>
      <c r="S96" s="372"/>
      <c r="T96" s="372"/>
      <c r="U96" s="373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3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tabSelected="1" zoomScale="80" zoomScaleNormal="80" zoomScaleSheetLayoutView="77" workbookViewId="0">
      <selection activeCell="O25" sqref="O25:Q25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287" t="s">
        <v>77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9"/>
    </row>
    <row r="2" spans="1:44" ht="18" thickBot="1" x14ac:dyDescent="0.45">
      <c r="A2" s="287" t="s">
        <v>303</v>
      </c>
      <c r="B2" s="288"/>
      <c r="C2" s="288"/>
      <c r="D2" s="288"/>
      <c r="E2" s="288"/>
      <c r="F2" s="288"/>
      <c r="G2" s="289"/>
      <c r="H2" s="290" t="s">
        <v>49</v>
      </c>
      <c r="I2" s="291"/>
      <c r="J2" s="287" t="s">
        <v>98</v>
      </c>
      <c r="K2" s="289"/>
      <c r="L2" s="291" t="s">
        <v>96</v>
      </c>
      <c r="M2" s="292"/>
      <c r="N2" s="290"/>
      <c r="O2" s="288" t="s">
        <v>99</v>
      </c>
      <c r="P2" s="288"/>
      <c r="Q2" s="289"/>
      <c r="R2" s="291" t="s">
        <v>51</v>
      </c>
      <c r="S2" s="290"/>
      <c r="T2" s="293">
        <v>7</v>
      </c>
      <c r="U2" s="29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297" t="s">
        <v>8</v>
      </c>
      <c r="P4" s="297"/>
      <c r="Q4" s="29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10325</v>
      </c>
      <c r="C5" s="68" t="s">
        <v>306</v>
      </c>
      <c r="D5" s="200" t="s">
        <v>307</v>
      </c>
      <c r="E5" s="181" t="s">
        <v>107</v>
      </c>
      <c r="F5" s="170">
        <v>800</v>
      </c>
      <c r="G5" s="118" t="s">
        <v>160</v>
      </c>
      <c r="H5" s="91">
        <v>280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2" t="s">
        <v>100</v>
      </c>
      <c r="O5" s="375"/>
      <c r="P5" s="376"/>
      <c r="Q5" s="377"/>
      <c r="R5" s="33" t="s">
        <v>99</v>
      </c>
      <c r="S5" s="31">
        <v>0.35416666666666669</v>
      </c>
      <c r="T5" s="32">
        <v>0.72916666666666663</v>
      </c>
      <c r="U5" s="92">
        <f t="shared" ref="U5:U15" si="0">(T5-S5)*24</f>
        <v>8.9999999999999982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10326</v>
      </c>
      <c r="C6" s="67" t="s">
        <v>308</v>
      </c>
      <c r="D6" s="200" t="s">
        <v>309</v>
      </c>
      <c r="E6" s="181" t="s">
        <v>172</v>
      </c>
      <c r="F6" s="171">
        <v>840</v>
      </c>
      <c r="G6" s="118" t="s">
        <v>231</v>
      </c>
      <c r="H6" s="91">
        <v>65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01"/>
      <c r="P6" s="302"/>
      <c r="Q6" s="303"/>
      <c r="R6" s="132" t="s">
        <v>100</v>
      </c>
      <c r="S6" s="31">
        <v>0.33333333333333331</v>
      </c>
      <c r="T6" s="32">
        <v>0.72916666666666663</v>
      </c>
      <c r="U6" s="92">
        <f t="shared" si="0"/>
        <v>9.5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10327</v>
      </c>
      <c r="C7" s="67" t="s">
        <v>310</v>
      </c>
      <c r="D7" s="200" t="s">
        <v>311</v>
      </c>
      <c r="E7" s="181" t="s">
        <v>92</v>
      </c>
      <c r="F7" s="171">
        <v>900</v>
      </c>
      <c r="G7" s="118" t="s">
        <v>117</v>
      </c>
      <c r="H7" s="91"/>
      <c r="I7" s="124">
        <v>75.75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04"/>
      <c r="P7" s="305"/>
      <c r="Q7" s="306"/>
      <c r="R7" s="134" t="s">
        <v>101</v>
      </c>
      <c r="S7" s="31">
        <v>0.33333333333333331</v>
      </c>
      <c r="T7" s="32">
        <v>0.72916666666666663</v>
      </c>
      <c r="U7" s="92">
        <f t="shared" si="0"/>
        <v>9.5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10328</v>
      </c>
      <c r="C8" s="27" t="s">
        <v>312</v>
      </c>
      <c r="D8" s="200" t="s">
        <v>313</v>
      </c>
      <c r="E8" s="181" t="s">
        <v>92</v>
      </c>
      <c r="F8" s="171">
        <v>915</v>
      </c>
      <c r="G8" s="118" t="s">
        <v>117</v>
      </c>
      <c r="H8" s="91">
        <v>100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07"/>
      <c r="P8" s="308"/>
      <c r="Q8" s="309"/>
      <c r="R8" s="26" t="s">
        <v>102</v>
      </c>
      <c r="S8" s="31">
        <v>0.375</v>
      </c>
      <c r="T8" s="32">
        <v>0.70833333333333337</v>
      </c>
      <c r="U8" s="92">
        <f t="shared" si="0"/>
        <v>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10329</v>
      </c>
      <c r="C9" s="63" t="s">
        <v>314</v>
      </c>
      <c r="D9" s="201" t="s">
        <v>315</v>
      </c>
      <c r="E9" s="181" t="s">
        <v>92</v>
      </c>
      <c r="F9" s="172">
        <v>950</v>
      </c>
      <c r="G9" s="119" t="s">
        <v>117</v>
      </c>
      <c r="H9" s="91"/>
      <c r="I9" s="91">
        <v>75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07"/>
      <c r="P9" s="308"/>
      <c r="Q9" s="309"/>
      <c r="R9" s="26" t="s">
        <v>103</v>
      </c>
      <c r="S9" s="31">
        <v>0.35416666666666669</v>
      </c>
      <c r="T9" s="32">
        <v>0.72916666666666663</v>
      </c>
      <c r="U9" s="92">
        <f t="shared" si="0"/>
        <v>8.9999999999999982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10330</v>
      </c>
      <c r="C10" s="28" t="s">
        <v>316</v>
      </c>
      <c r="D10" s="202" t="s">
        <v>317</v>
      </c>
      <c r="E10" s="181" t="s">
        <v>92</v>
      </c>
      <c r="F10" s="173">
        <v>955</v>
      </c>
      <c r="G10" s="120" t="s">
        <v>231</v>
      </c>
      <c r="H10" s="123">
        <v>50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294"/>
      <c r="P10" s="295"/>
      <c r="Q10" s="296"/>
      <c r="R10" s="26" t="s">
        <v>304</v>
      </c>
      <c r="S10" s="31">
        <v>0.38541666666666669</v>
      </c>
      <c r="T10" s="32">
        <v>0.72916666666666663</v>
      </c>
      <c r="U10" s="92">
        <f t="shared" si="0"/>
        <v>8.2499999999999982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10331</v>
      </c>
      <c r="C11" s="18" t="s">
        <v>318</v>
      </c>
      <c r="D11" s="203" t="s">
        <v>319</v>
      </c>
      <c r="E11" s="181" t="s">
        <v>91</v>
      </c>
      <c r="F11" s="66">
        <v>1000</v>
      </c>
      <c r="G11" s="121" t="s">
        <v>117</v>
      </c>
      <c r="H11" s="123">
        <v>75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04"/>
      <c r="P11" s="305"/>
      <c r="Q11" s="306"/>
      <c r="R11" s="26" t="s">
        <v>305</v>
      </c>
      <c r="S11" s="31">
        <v>0.42708333333333331</v>
      </c>
      <c r="T11" s="32">
        <v>0.72916666666666663</v>
      </c>
      <c r="U11" s="92">
        <f t="shared" si="0"/>
        <v>7.25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10332</v>
      </c>
      <c r="C12" s="18" t="s">
        <v>328</v>
      </c>
      <c r="D12" s="203" t="s">
        <v>329</v>
      </c>
      <c r="E12" s="181" t="s">
        <v>92</v>
      </c>
      <c r="F12" s="66">
        <v>1005</v>
      </c>
      <c r="G12" s="121" t="s">
        <v>44</v>
      </c>
      <c r="H12" s="123">
        <v>100</v>
      </c>
      <c r="I12" s="125"/>
      <c r="J12" s="130" t="str">
        <f t="shared" si="1"/>
        <v>55</v>
      </c>
      <c r="K12" s="130" t="str">
        <f t="shared" si="2"/>
        <v>0</v>
      </c>
      <c r="L12" s="131"/>
      <c r="M12" s="131"/>
      <c r="N12" s="134" t="s">
        <v>99</v>
      </c>
      <c r="O12" s="304" t="s">
        <v>330</v>
      </c>
      <c r="P12" s="305"/>
      <c r="Q12" s="306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10333</v>
      </c>
      <c r="C13" s="64" t="s">
        <v>320</v>
      </c>
      <c r="D13" s="204" t="s">
        <v>321</v>
      </c>
      <c r="E13" s="181" t="s">
        <v>92</v>
      </c>
      <c r="F13" s="173">
        <v>1010</v>
      </c>
      <c r="G13" s="119" t="s">
        <v>121</v>
      </c>
      <c r="H13" s="169"/>
      <c r="I13" s="168">
        <v>424.2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04"/>
      <c r="P13" s="305"/>
      <c r="Q13" s="306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10334</v>
      </c>
      <c r="C14" s="65" t="s">
        <v>322</v>
      </c>
      <c r="D14" s="205" t="s">
        <v>323</v>
      </c>
      <c r="E14" s="181" t="s">
        <v>92</v>
      </c>
      <c r="F14" s="174">
        <v>1017</v>
      </c>
      <c r="G14" s="122" t="s">
        <v>117</v>
      </c>
      <c r="H14" s="123"/>
      <c r="I14" s="125">
        <v>95.95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04"/>
      <c r="P14" s="305"/>
      <c r="Q14" s="306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10335</v>
      </c>
      <c r="C15" s="65" t="s">
        <v>324</v>
      </c>
      <c r="D15" s="205" t="s">
        <v>325</v>
      </c>
      <c r="E15" s="181" t="s">
        <v>91</v>
      </c>
      <c r="F15" s="174">
        <v>1030</v>
      </c>
      <c r="G15" s="122" t="s">
        <v>121</v>
      </c>
      <c r="H15" s="123"/>
      <c r="I15" s="124">
        <v>131.30000000000001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04"/>
      <c r="P15" s="305"/>
      <c r="Q15" s="306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10336</v>
      </c>
      <c r="C16" s="65" t="s">
        <v>326</v>
      </c>
      <c r="D16" s="205" t="s">
        <v>327</v>
      </c>
      <c r="E16" s="181" t="s">
        <v>91</v>
      </c>
      <c r="F16" s="174">
        <v>1050</v>
      </c>
      <c r="G16" s="122" t="s">
        <v>121</v>
      </c>
      <c r="H16" s="123">
        <v>150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04"/>
      <c r="P16" s="305"/>
      <c r="Q16" s="306"/>
      <c r="R16" s="82">
        <f>H32/U16</f>
        <v>0.54545454545454541</v>
      </c>
      <c r="S16" s="83">
        <f>H32/(U16-U5)</f>
        <v>0.64077669902912626</v>
      </c>
      <c r="T16" s="83">
        <f>C32/U16</f>
        <v>63.384297520661157</v>
      </c>
      <c r="U16" s="83">
        <f>SUM(U5:U15)</f>
        <v>60.5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10337</v>
      </c>
      <c r="C17" s="18" t="s">
        <v>331</v>
      </c>
      <c r="D17" s="203" t="s">
        <v>332</v>
      </c>
      <c r="E17" s="181" t="s">
        <v>92</v>
      </c>
      <c r="F17" s="66">
        <v>1100</v>
      </c>
      <c r="G17" s="121" t="s">
        <v>117</v>
      </c>
      <c r="H17" s="123"/>
      <c r="I17" s="124">
        <v>95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04"/>
      <c r="P17" s="305"/>
      <c r="Q17" s="306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10338</v>
      </c>
      <c r="C18" s="18" t="s">
        <v>333</v>
      </c>
      <c r="D18" s="203" t="s">
        <v>334</v>
      </c>
      <c r="E18" s="181" t="s">
        <v>92</v>
      </c>
      <c r="F18" s="66">
        <v>1110</v>
      </c>
      <c r="G18" s="20" t="s">
        <v>117</v>
      </c>
      <c r="H18" s="123">
        <v>95</v>
      </c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99</v>
      </c>
      <c r="O18" s="304"/>
      <c r="P18" s="305"/>
      <c r="Q18" s="306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10339</v>
      </c>
      <c r="C19" s="18" t="s">
        <v>335</v>
      </c>
      <c r="D19" s="203" t="s">
        <v>336</v>
      </c>
      <c r="E19" s="181" t="s">
        <v>91</v>
      </c>
      <c r="F19" s="66">
        <v>1130</v>
      </c>
      <c r="G19" s="121" t="s">
        <v>108</v>
      </c>
      <c r="H19" s="123"/>
      <c r="I19" s="124"/>
      <c r="J19" s="130" t="str">
        <f t="shared" si="1"/>
        <v>0</v>
      </c>
      <c r="K19" s="130" t="str">
        <f t="shared" si="2"/>
        <v>58.3</v>
      </c>
      <c r="L19" s="131"/>
      <c r="M19" s="131"/>
      <c r="N19" s="134" t="s">
        <v>99</v>
      </c>
      <c r="O19" s="304" t="s">
        <v>337</v>
      </c>
      <c r="P19" s="305"/>
      <c r="Q19" s="305"/>
      <c r="R19" s="93" t="s">
        <v>45</v>
      </c>
      <c r="S19" s="94">
        <f>COUNT(L5:M29,L37:M61,L69:M93)</f>
        <v>1</v>
      </c>
      <c r="T19" s="116">
        <f>SUM(L5:M29,L37:M61,L69:M93)</f>
        <v>375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10340</v>
      </c>
      <c r="C20" s="18" t="s">
        <v>338</v>
      </c>
      <c r="D20" s="203" t="s">
        <v>339</v>
      </c>
      <c r="E20" s="181" t="s">
        <v>91</v>
      </c>
      <c r="F20" s="66">
        <v>1140</v>
      </c>
      <c r="G20" s="121" t="s">
        <v>121</v>
      </c>
      <c r="H20" s="123">
        <v>150</v>
      </c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99</v>
      </c>
      <c r="O20" s="312"/>
      <c r="P20" s="313"/>
      <c r="Q20" s="31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10341</v>
      </c>
      <c r="C21" s="18" t="s">
        <v>340</v>
      </c>
      <c r="D21" s="203" t="s">
        <v>341</v>
      </c>
      <c r="E21" s="181" t="s">
        <v>92</v>
      </c>
      <c r="F21" s="66">
        <v>1150</v>
      </c>
      <c r="G21" s="20" t="s">
        <v>117</v>
      </c>
      <c r="H21" s="123"/>
      <c r="I21" s="124">
        <v>95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99</v>
      </c>
      <c r="O21" s="304"/>
      <c r="P21" s="305"/>
      <c r="Q21" s="305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>
        <v>10342</v>
      </c>
      <c r="C22" s="127" t="s">
        <v>342</v>
      </c>
      <c r="D22" s="206" t="s">
        <v>343</v>
      </c>
      <c r="E22" s="181" t="s">
        <v>91</v>
      </c>
      <c r="F22" s="175">
        <v>1150</v>
      </c>
      <c r="G22" s="263" t="s">
        <v>121</v>
      </c>
      <c r="H22" s="89">
        <v>150</v>
      </c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99</v>
      </c>
      <c r="O22" s="304"/>
      <c r="P22" s="305"/>
      <c r="Q22" s="306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>
        <v>10343</v>
      </c>
      <c r="C23" s="136" t="s">
        <v>344</v>
      </c>
      <c r="D23" s="207" t="s">
        <v>345</v>
      </c>
      <c r="E23" s="181" t="s">
        <v>92</v>
      </c>
      <c r="F23" s="176">
        <v>1150</v>
      </c>
      <c r="G23" s="165" t="s">
        <v>117</v>
      </c>
      <c r="H23" s="89">
        <v>95</v>
      </c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99</v>
      </c>
      <c r="O23" s="163"/>
      <c r="P23" s="164"/>
      <c r="Q23" s="159"/>
      <c r="R23" s="113"/>
      <c r="S23" s="114"/>
      <c r="T23" s="114"/>
      <c r="U23" s="115"/>
      <c r="X23" s="310"/>
      <c r="Y23" s="311"/>
      <c r="Z23" s="311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>
        <v>10344</v>
      </c>
      <c r="C24" s="127" t="s">
        <v>346</v>
      </c>
      <c r="D24" s="206" t="s">
        <v>347</v>
      </c>
      <c r="E24" s="181" t="s">
        <v>91</v>
      </c>
      <c r="F24" s="175">
        <v>1250</v>
      </c>
      <c r="G24" s="263" t="s">
        <v>121</v>
      </c>
      <c r="H24" s="89"/>
      <c r="I24" s="141">
        <v>120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99</v>
      </c>
      <c r="O24" s="304"/>
      <c r="P24" s="305"/>
      <c r="Q24" s="306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>
        <v>10345</v>
      </c>
      <c r="C25" s="132" t="s">
        <v>348</v>
      </c>
      <c r="D25" s="208" t="s">
        <v>349</v>
      </c>
      <c r="E25" s="181" t="s">
        <v>91</v>
      </c>
      <c r="F25" s="175">
        <v>1250</v>
      </c>
      <c r="G25" s="263" t="s">
        <v>121</v>
      </c>
      <c r="H25" s="90"/>
      <c r="I25" s="90">
        <v>121.2</v>
      </c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99</v>
      </c>
      <c r="O25" s="304"/>
      <c r="P25" s="305"/>
      <c r="Q25" s="306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14">
        <f>((C32+(R26+S26+T26)*0.5))</f>
        <v>3834.75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>
        <v>10346</v>
      </c>
      <c r="C26" s="27" t="s">
        <v>350</v>
      </c>
      <c r="D26" s="209" t="s">
        <v>351</v>
      </c>
      <c r="E26" s="181" t="s">
        <v>92</v>
      </c>
      <c r="F26" s="177">
        <v>1250</v>
      </c>
      <c r="G26" s="20" t="s">
        <v>121</v>
      </c>
      <c r="H26" s="89"/>
      <c r="I26" s="141">
        <v>200</v>
      </c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99</v>
      </c>
      <c r="O26" s="304"/>
      <c r="P26" s="305"/>
      <c r="Q26" s="306"/>
      <c r="R26" s="112">
        <f>R25*37.5</f>
        <v>0</v>
      </c>
      <c r="S26" s="102">
        <f>S25*41.5</f>
        <v>0</v>
      </c>
      <c r="T26" s="102">
        <f>T25*50</f>
        <v>0</v>
      </c>
      <c r="U26" s="31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>
        <v>10347</v>
      </c>
      <c r="C27" s="27" t="s">
        <v>352</v>
      </c>
      <c r="D27" s="209" t="s">
        <v>353</v>
      </c>
      <c r="E27" s="181" t="s">
        <v>92</v>
      </c>
      <c r="F27" s="177">
        <v>1256</v>
      </c>
      <c r="G27" s="20" t="s">
        <v>117</v>
      </c>
      <c r="H27" s="89"/>
      <c r="I27" s="141">
        <v>75</v>
      </c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99</v>
      </c>
      <c r="O27" s="304"/>
      <c r="P27" s="305"/>
      <c r="Q27" s="306"/>
      <c r="R27" s="323" t="s">
        <v>56</v>
      </c>
      <c r="S27" s="324"/>
      <c r="T27" s="324"/>
      <c r="U27" s="32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>
        <v>10348</v>
      </c>
      <c r="C28" s="27" t="s">
        <v>354</v>
      </c>
      <c r="D28" s="209" t="s">
        <v>355</v>
      </c>
      <c r="E28" s="181" t="s">
        <v>92</v>
      </c>
      <c r="F28" s="177">
        <v>1315</v>
      </c>
      <c r="G28" s="20" t="s">
        <v>137</v>
      </c>
      <c r="H28" s="89">
        <v>55</v>
      </c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 t="s">
        <v>99</v>
      </c>
      <c r="O28" s="304"/>
      <c r="P28" s="305"/>
      <c r="Q28" s="306"/>
      <c r="R28" s="316"/>
      <c r="S28" s="317"/>
      <c r="T28" s="31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>
        <v>10349</v>
      </c>
      <c r="C29" s="34" t="s">
        <v>356</v>
      </c>
      <c r="D29" s="210" t="s">
        <v>357</v>
      </c>
      <c r="E29" s="182" t="s">
        <v>91</v>
      </c>
      <c r="F29" s="177">
        <v>1320</v>
      </c>
      <c r="G29" s="20" t="s">
        <v>117</v>
      </c>
      <c r="H29" s="89">
        <v>75</v>
      </c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 t="s">
        <v>99</v>
      </c>
      <c r="O29" s="332"/>
      <c r="P29" s="333"/>
      <c r="Q29" s="334"/>
      <c r="R29" s="335"/>
      <c r="S29" s="336"/>
      <c r="T29" s="33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38" t="s">
        <v>48</v>
      </c>
      <c r="B30" s="339"/>
      <c r="C30" s="339"/>
      <c r="D30" s="339"/>
      <c r="E30" s="340"/>
      <c r="F30" s="339"/>
      <c r="G30" s="339"/>
      <c r="H30" s="264">
        <f t="shared" ref="H30:M30" si="3">SUM(H5:H29)</f>
        <v>1440</v>
      </c>
      <c r="I30" s="105">
        <f>SUM(I5:I29)</f>
        <v>1508.4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58.3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1"/>
      <c r="S30" s="341"/>
      <c r="T30" s="34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43" t="s">
        <v>16</v>
      </c>
      <c r="B31" s="344"/>
      <c r="C31" s="344"/>
      <c r="D31" s="344"/>
      <c r="E31" s="344"/>
      <c r="F31" s="344"/>
      <c r="G31" s="344"/>
      <c r="H31" s="265">
        <f t="shared" ref="H31:J31" si="4">H30+H62+H94</f>
        <v>1925</v>
      </c>
      <c r="I31" s="103">
        <f t="shared" si="4"/>
        <v>1733.95</v>
      </c>
      <c r="J31" s="103">
        <f t="shared" si="4"/>
        <v>55</v>
      </c>
      <c r="K31" s="103">
        <f>K30+K62+K94</f>
        <v>120.8</v>
      </c>
      <c r="L31" s="97">
        <f>L30+L62+L94</f>
        <v>375</v>
      </c>
      <c r="M31" s="97">
        <f>M30+M62+M94</f>
        <v>0</v>
      </c>
      <c r="N31" s="262">
        <f>COUNT(H5:H29,H37:H61,H69:H93)</f>
        <v>17</v>
      </c>
      <c r="O31" s="104">
        <f>COUNT(I5:I29,I37:I61,I69:I93)</f>
        <v>14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2300</v>
      </c>
      <c r="T31" s="328">
        <f>H31+I31+L31+M31</f>
        <v>4033.95</v>
      </c>
      <c r="U31" s="32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19" t="s">
        <v>55</v>
      </c>
      <c r="B32" s="320"/>
      <c r="C32" s="107">
        <f>H31+I31+J31+K31</f>
        <v>3834.75</v>
      </c>
      <c r="D32" s="196"/>
      <c r="E32" s="107"/>
      <c r="F32" s="321" t="s">
        <v>53</v>
      </c>
      <c r="G32" s="321"/>
      <c r="H32" s="109">
        <f>COUNT(B5:B29,B37:B61,B69:B93)</f>
        <v>33</v>
      </c>
      <c r="I32" s="322" t="s">
        <v>54</v>
      </c>
      <c r="J32" s="322"/>
      <c r="K32" s="108">
        <f>C32/H32</f>
        <v>116.20454545454545</v>
      </c>
      <c r="L32" s="260"/>
      <c r="M32" s="260"/>
      <c r="N32" s="260">
        <f>H31/C32</f>
        <v>0.50198839559293307</v>
      </c>
      <c r="O32" s="260">
        <f>I31/C32</f>
        <v>0.45216767716278766</v>
      </c>
      <c r="P32" s="260">
        <f>K31/C32</f>
        <v>3.1501401655909769E-2</v>
      </c>
      <c r="Q32" s="110">
        <f>J31/C32</f>
        <v>1.4342525588369516E-2</v>
      </c>
      <c r="R32" s="99" t="s">
        <v>82</v>
      </c>
      <c r="S32" s="266">
        <f>I31+M31</f>
        <v>1733.95</v>
      </c>
      <c r="T32" s="330"/>
      <c r="U32" s="331"/>
      <c r="V32" s="55"/>
      <c r="W32" s="55"/>
      <c r="X32" s="56" t="s">
        <v>27</v>
      </c>
      <c r="Y32" s="56"/>
      <c r="Z32" s="54">
        <f>I31</f>
        <v>1733.95</v>
      </c>
      <c r="AE32" s="37"/>
      <c r="AF32" s="37"/>
      <c r="AG32" s="37"/>
      <c r="AH32" s="37"/>
    </row>
    <row r="33" spans="1:34" ht="18" thickBot="1" x14ac:dyDescent="0.45">
      <c r="A33" s="326" t="s">
        <v>24</v>
      </c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288"/>
      <c r="U33" s="289"/>
      <c r="X33" s="57" t="s">
        <v>29</v>
      </c>
      <c r="Y33" s="57"/>
      <c r="Z33" s="58">
        <f>SUM(Z31:Z32)</f>
        <v>-1011.05</v>
      </c>
      <c r="AE33" s="37"/>
      <c r="AF33" s="37"/>
      <c r="AG33" s="59"/>
      <c r="AH33" s="37"/>
    </row>
    <row r="34" spans="1:34" ht="18" thickBot="1" x14ac:dyDescent="0.45">
      <c r="A34" s="287" t="str">
        <f>A2</f>
        <v>30 - 7 - 2022</v>
      </c>
      <c r="B34" s="288"/>
      <c r="C34" s="288"/>
      <c r="D34" s="288"/>
      <c r="E34" s="288"/>
      <c r="F34" s="288"/>
      <c r="G34" s="289"/>
      <c r="H34" s="290" t="s">
        <v>49</v>
      </c>
      <c r="I34" s="291"/>
      <c r="J34" s="287" t="str">
        <f>J2</f>
        <v>SUNNY</v>
      </c>
      <c r="K34" s="289"/>
      <c r="L34" s="291" t="s">
        <v>50</v>
      </c>
      <c r="M34" s="292"/>
      <c r="N34" s="290"/>
      <c r="O34" s="288" t="str">
        <f>O2</f>
        <v>JOHN</v>
      </c>
      <c r="P34" s="288"/>
      <c r="Q34" s="289"/>
      <c r="R34" s="291" t="s">
        <v>51</v>
      </c>
      <c r="S34" s="290"/>
      <c r="T34" s="293">
        <f>T2</f>
        <v>7</v>
      </c>
      <c r="U34" s="293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297" t="s">
        <v>8</v>
      </c>
      <c r="P36" s="297"/>
      <c r="Q36" s="29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>
        <v>10350</v>
      </c>
      <c r="C37" s="68" t="s">
        <v>358</v>
      </c>
      <c r="D37" s="258" t="s">
        <v>359</v>
      </c>
      <c r="E37" s="181" t="s">
        <v>92</v>
      </c>
      <c r="F37" s="174">
        <v>1330</v>
      </c>
      <c r="G37" s="118" t="s">
        <v>121</v>
      </c>
      <c r="H37" s="91">
        <v>150</v>
      </c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 t="s">
        <v>99</v>
      </c>
      <c r="O37" s="304"/>
      <c r="P37" s="305"/>
      <c r="Q37" s="306"/>
      <c r="R37" s="60"/>
      <c r="S37" s="61"/>
      <c r="T37" s="61"/>
      <c r="U37" s="70"/>
    </row>
    <row r="38" spans="1:34" x14ac:dyDescent="0.4">
      <c r="A38" s="128">
        <f>A37+1</f>
        <v>27</v>
      </c>
      <c r="B38" s="263">
        <v>10351</v>
      </c>
      <c r="C38" s="67" t="s">
        <v>360</v>
      </c>
      <c r="D38" s="195" t="s">
        <v>361</v>
      </c>
      <c r="E38" s="181" t="s">
        <v>92</v>
      </c>
      <c r="F38" s="179">
        <v>1340</v>
      </c>
      <c r="G38" s="118" t="s">
        <v>121</v>
      </c>
      <c r="H38" s="91">
        <v>150</v>
      </c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 t="s">
        <v>99</v>
      </c>
      <c r="O38" s="301"/>
      <c r="P38" s="302"/>
      <c r="Q38" s="303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>
        <v>10352</v>
      </c>
      <c r="C39" s="27" t="s">
        <v>362</v>
      </c>
      <c r="D39" s="183" t="s">
        <v>363</v>
      </c>
      <c r="E39" s="181" t="s">
        <v>91</v>
      </c>
      <c r="F39" s="179">
        <v>1400</v>
      </c>
      <c r="G39" s="118" t="s">
        <v>121</v>
      </c>
      <c r="H39" s="91">
        <v>110</v>
      </c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 t="s">
        <v>99</v>
      </c>
      <c r="O39" s="304"/>
      <c r="P39" s="305"/>
      <c r="Q39" s="306"/>
      <c r="R39" s="79"/>
      <c r="S39" s="13"/>
      <c r="T39" s="12"/>
      <c r="U39" s="72"/>
    </row>
    <row r="40" spans="1:34" x14ac:dyDescent="0.4">
      <c r="A40" s="128">
        <f t="shared" si="7"/>
        <v>29</v>
      </c>
      <c r="B40" s="282">
        <v>10353</v>
      </c>
      <c r="C40" s="63" t="s">
        <v>364</v>
      </c>
      <c r="D40" s="184" t="s">
        <v>365</v>
      </c>
      <c r="E40" s="181" t="s">
        <v>91</v>
      </c>
      <c r="F40" s="180">
        <v>1410</v>
      </c>
      <c r="G40" s="119" t="s">
        <v>117</v>
      </c>
      <c r="H40" s="91"/>
      <c r="I40" s="91">
        <v>75</v>
      </c>
      <c r="J40" s="130" t="str">
        <f t="shared" si="6"/>
        <v>0</v>
      </c>
      <c r="K40" s="130" t="str">
        <f t="shared" si="5"/>
        <v>0</v>
      </c>
      <c r="L40" s="131"/>
      <c r="M40" s="131"/>
      <c r="N40" s="69" t="s">
        <v>99</v>
      </c>
      <c r="O40" s="307"/>
      <c r="P40" s="308"/>
      <c r="Q40" s="309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>
        <v>10354</v>
      </c>
      <c r="C41" s="63" t="s">
        <v>366</v>
      </c>
      <c r="D41" s="184" t="s">
        <v>367</v>
      </c>
      <c r="E41" s="181" t="s">
        <v>91</v>
      </c>
      <c r="F41" s="180">
        <v>1415</v>
      </c>
      <c r="G41" s="119" t="s">
        <v>137</v>
      </c>
      <c r="H41" s="91">
        <v>75</v>
      </c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 t="s">
        <v>99</v>
      </c>
      <c r="O41" s="307"/>
      <c r="P41" s="308"/>
      <c r="Q41" s="309"/>
      <c r="R41" s="80"/>
      <c r="S41" s="73"/>
      <c r="T41" s="73"/>
      <c r="U41" s="74"/>
    </row>
    <row r="42" spans="1:34" x14ac:dyDescent="0.4">
      <c r="A42" s="128">
        <f t="shared" si="7"/>
        <v>31</v>
      </c>
      <c r="B42" s="282">
        <v>10355</v>
      </c>
      <c r="C42" s="28" t="s">
        <v>368</v>
      </c>
      <c r="D42" s="185" t="s">
        <v>369</v>
      </c>
      <c r="E42" s="181" t="s">
        <v>92</v>
      </c>
      <c r="F42" s="173">
        <v>1515</v>
      </c>
      <c r="G42" s="120" t="s">
        <v>137</v>
      </c>
      <c r="H42" s="123"/>
      <c r="I42" s="125">
        <v>55.55</v>
      </c>
      <c r="J42" s="130" t="str">
        <f t="shared" si="6"/>
        <v>0</v>
      </c>
      <c r="K42" s="130" t="str">
        <f t="shared" si="5"/>
        <v>0</v>
      </c>
      <c r="L42" s="131"/>
      <c r="M42" s="131"/>
      <c r="N42" s="69" t="s">
        <v>99</v>
      </c>
      <c r="O42" s="294"/>
      <c r="P42" s="295"/>
      <c r="Q42" s="296"/>
      <c r="R42" s="80"/>
      <c r="S42" s="73"/>
      <c r="T42" s="73"/>
      <c r="U42" s="74"/>
    </row>
    <row r="43" spans="1:34" x14ac:dyDescent="0.4">
      <c r="A43" s="128">
        <f t="shared" si="7"/>
        <v>32</v>
      </c>
      <c r="B43" s="271">
        <v>10356</v>
      </c>
      <c r="C43" s="283" t="s">
        <v>370</v>
      </c>
      <c r="D43" s="284" t="s">
        <v>371</v>
      </c>
      <c r="E43" s="269" t="s">
        <v>92</v>
      </c>
      <c r="F43" s="285">
        <v>1516</v>
      </c>
      <c r="G43" s="286" t="s">
        <v>234</v>
      </c>
      <c r="H43" s="280"/>
      <c r="I43" s="272"/>
      <c r="J43" s="272" t="str">
        <f t="shared" si="6"/>
        <v>0</v>
      </c>
      <c r="K43" s="272">
        <v>62.5</v>
      </c>
      <c r="L43" s="273">
        <v>375</v>
      </c>
      <c r="M43" s="273"/>
      <c r="N43" s="272" t="s">
        <v>99</v>
      </c>
      <c r="O43" s="378" t="s">
        <v>372</v>
      </c>
      <c r="P43" s="379"/>
      <c r="Q43" s="380"/>
      <c r="R43" s="78"/>
      <c r="S43" s="71"/>
      <c r="T43" s="71"/>
      <c r="U43" s="72"/>
    </row>
    <row r="44" spans="1:34" x14ac:dyDescent="0.4">
      <c r="A44" s="128">
        <f t="shared" si="7"/>
        <v>33</v>
      </c>
      <c r="B44" s="282">
        <v>10357</v>
      </c>
      <c r="C44" s="64" t="s">
        <v>373</v>
      </c>
      <c r="D44" s="186" t="s">
        <v>374</v>
      </c>
      <c r="E44" s="181" t="s">
        <v>91</v>
      </c>
      <c r="F44" s="173">
        <v>1520</v>
      </c>
      <c r="G44" s="119" t="s">
        <v>117</v>
      </c>
      <c r="H44" s="123"/>
      <c r="I44" s="125">
        <v>95</v>
      </c>
      <c r="J44" s="130" t="str">
        <f t="shared" si="6"/>
        <v>0</v>
      </c>
      <c r="K44" s="130" t="str">
        <f t="shared" si="5"/>
        <v>0</v>
      </c>
      <c r="L44" s="131"/>
      <c r="M44" s="131"/>
      <c r="N44" s="69" t="s">
        <v>99</v>
      </c>
      <c r="O44" s="304"/>
      <c r="P44" s="305"/>
      <c r="Q44" s="306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4"/>
      <c r="P45" s="305"/>
      <c r="Q45" s="306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4"/>
      <c r="P46" s="305"/>
      <c r="Q46" s="306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4"/>
      <c r="P47" s="305"/>
      <c r="Q47" s="306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4"/>
      <c r="P48" s="305"/>
      <c r="Q48" s="306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4"/>
      <c r="P49" s="305"/>
      <c r="Q49" s="306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4"/>
      <c r="P50" s="305"/>
      <c r="Q50" s="306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4"/>
      <c r="P51" s="305"/>
      <c r="Q51" s="305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4"/>
      <c r="P52" s="305"/>
      <c r="Q52" s="305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5"/>
      <c r="P53" s="304"/>
      <c r="Q53" s="304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5"/>
      <c r="P54" s="304"/>
      <c r="Q54" s="304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5"/>
      <c r="P55" s="304"/>
      <c r="Q55" s="304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5"/>
      <c r="P56" s="305"/>
      <c r="Q56" s="305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4"/>
      <c r="P57" s="305"/>
      <c r="Q57" s="305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5"/>
      <c r="P58" s="305"/>
      <c r="Q58" s="305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5"/>
      <c r="P59" s="305"/>
      <c r="Q59" s="305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4"/>
      <c r="P60" s="305"/>
      <c r="Q60" s="306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46"/>
      <c r="P61" s="347"/>
      <c r="Q61" s="348"/>
      <c r="R61" s="81"/>
      <c r="S61" s="68"/>
      <c r="T61" s="68"/>
      <c r="U61" s="77"/>
    </row>
    <row r="62" spans="1:21" x14ac:dyDescent="0.4">
      <c r="A62" s="349" t="s">
        <v>48</v>
      </c>
      <c r="B62" s="350"/>
      <c r="C62" s="350"/>
      <c r="D62" s="350"/>
      <c r="E62" s="350"/>
      <c r="F62" s="350"/>
      <c r="G62" s="350"/>
      <c r="H62" s="350">
        <f t="shared" ref="H62:M62" si="8">SUM(H37:H61)</f>
        <v>485</v>
      </c>
      <c r="I62" s="355">
        <f t="shared" si="8"/>
        <v>225.55</v>
      </c>
      <c r="J62" s="355">
        <f>J61+J60+J59+J58+J57+J56+J55+J54+J53+J52+J51+J50+J49+J48+J47+J46+J45+J44+J43+J42+J41+J40+J39+J38+J37</f>
        <v>0</v>
      </c>
      <c r="K62" s="355">
        <f>K61+K60+K59+K58+K57+K56+K55+K54+K53+K52+K51+K50+K49+K48+K47+K46+K45+K44+K43+K42+K41+K40+K39+K38+K37</f>
        <v>62.5</v>
      </c>
      <c r="L62" s="358">
        <f t="shared" si="8"/>
        <v>375</v>
      </c>
      <c r="M62" s="361">
        <f t="shared" si="8"/>
        <v>0</v>
      </c>
      <c r="N62" s="364"/>
      <c r="O62" s="365"/>
      <c r="P62" s="365"/>
      <c r="Q62" s="366"/>
      <c r="R62" s="5"/>
      <c r="S62" s="6"/>
      <c r="T62" s="7"/>
      <c r="U62" s="8"/>
    </row>
    <row r="63" spans="1:21" ht="18" thickBot="1" x14ac:dyDescent="0.45">
      <c r="A63" s="351"/>
      <c r="B63" s="352"/>
      <c r="C63" s="352"/>
      <c r="D63" s="352"/>
      <c r="E63" s="352"/>
      <c r="F63" s="352"/>
      <c r="G63" s="352"/>
      <c r="H63" s="352"/>
      <c r="I63" s="356"/>
      <c r="J63" s="356"/>
      <c r="K63" s="356"/>
      <c r="L63" s="359"/>
      <c r="M63" s="362"/>
      <c r="N63" s="367"/>
      <c r="O63" s="368"/>
      <c r="P63" s="368"/>
      <c r="Q63" s="369"/>
      <c r="R63" s="1"/>
      <c r="S63" s="2"/>
      <c r="T63" s="3"/>
      <c r="U63" s="4"/>
    </row>
    <row r="64" spans="1:21" ht="18" thickBot="1" x14ac:dyDescent="0.45">
      <c r="A64" s="353"/>
      <c r="B64" s="354"/>
      <c r="C64" s="354"/>
      <c r="D64" s="354"/>
      <c r="E64" s="354"/>
      <c r="F64" s="354"/>
      <c r="G64" s="354"/>
      <c r="H64" s="354"/>
      <c r="I64" s="357"/>
      <c r="J64" s="357"/>
      <c r="K64" s="357"/>
      <c r="L64" s="360"/>
      <c r="M64" s="363"/>
      <c r="N64" s="326"/>
      <c r="O64" s="327"/>
      <c r="P64" s="327"/>
      <c r="Q64" s="370"/>
      <c r="R64" s="371" t="s">
        <v>17</v>
      </c>
      <c r="S64" s="372"/>
      <c r="T64" s="372"/>
      <c r="U64" s="373"/>
    </row>
    <row r="65" spans="1:21" ht="18" thickBot="1" x14ac:dyDescent="0.45">
      <c r="A65" s="287" t="s">
        <v>24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8"/>
      <c r="Q65" s="288"/>
      <c r="R65" s="288"/>
      <c r="S65" s="288"/>
      <c r="T65" s="288"/>
      <c r="U65" s="289"/>
    </row>
    <row r="66" spans="1:21" ht="18" thickBot="1" x14ac:dyDescent="0.45">
      <c r="A66" s="287" t="str">
        <f>A34</f>
        <v>30 - 7 - 2022</v>
      </c>
      <c r="B66" s="288"/>
      <c r="C66" s="288"/>
      <c r="D66" s="288"/>
      <c r="E66" s="288"/>
      <c r="F66" s="288"/>
      <c r="G66" s="289"/>
      <c r="H66" s="290" t="s">
        <v>49</v>
      </c>
      <c r="I66" s="291"/>
      <c r="J66" s="287" t="str">
        <f>J34</f>
        <v>SUNNY</v>
      </c>
      <c r="K66" s="289"/>
      <c r="L66" s="291" t="s">
        <v>50</v>
      </c>
      <c r="M66" s="292"/>
      <c r="N66" s="290"/>
      <c r="O66" s="288" t="str">
        <f>O34</f>
        <v>JOHN</v>
      </c>
      <c r="P66" s="288"/>
      <c r="Q66" s="289"/>
      <c r="R66" s="291" t="s">
        <v>51</v>
      </c>
      <c r="S66" s="290"/>
      <c r="T66" s="293">
        <f>T34</f>
        <v>7</v>
      </c>
      <c r="U66" s="293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297" t="s">
        <v>8</v>
      </c>
      <c r="P68" s="297"/>
      <c r="Q68" s="29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4"/>
      <c r="P69" s="305"/>
      <c r="Q69" s="306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01"/>
      <c r="P70" s="302"/>
      <c r="Q70" s="303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4"/>
      <c r="P71" s="305"/>
      <c r="Q71" s="306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07"/>
      <c r="P72" s="308"/>
      <c r="Q72" s="309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07"/>
      <c r="P73" s="308"/>
      <c r="Q73" s="309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4"/>
      <c r="P74" s="295"/>
      <c r="Q74" s="296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4"/>
      <c r="P75" s="305"/>
      <c r="Q75" s="306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4"/>
      <c r="P76" s="305"/>
      <c r="Q76" s="306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4"/>
      <c r="P77" s="305"/>
      <c r="Q77" s="306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4"/>
      <c r="P78" s="305"/>
      <c r="Q78" s="306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4"/>
      <c r="P79" s="305"/>
      <c r="Q79" s="306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4"/>
      <c r="P80" s="305"/>
      <c r="Q80" s="306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4"/>
      <c r="P81" s="305"/>
      <c r="Q81" s="306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4"/>
      <c r="P82" s="305"/>
      <c r="Q82" s="306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4"/>
      <c r="P83" s="305"/>
      <c r="Q83" s="305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4"/>
      <c r="P84" s="305"/>
      <c r="Q84" s="305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5"/>
      <c r="P85" s="304"/>
      <c r="Q85" s="304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5"/>
      <c r="P86" s="304"/>
      <c r="Q86" s="304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5"/>
      <c r="P87" s="304"/>
      <c r="Q87" s="304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5"/>
      <c r="P88" s="305"/>
      <c r="Q88" s="305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4"/>
      <c r="P89" s="305"/>
      <c r="Q89" s="305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5"/>
      <c r="P90" s="305"/>
      <c r="Q90" s="305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5"/>
      <c r="P91" s="305"/>
      <c r="Q91" s="305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4"/>
      <c r="P92" s="305"/>
      <c r="Q92" s="306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46"/>
      <c r="P93" s="347"/>
      <c r="Q93" s="348"/>
      <c r="R93" s="81"/>
      <c r="S93" s="68"/>
      <c r="T93" s="68"/>
      <c r="U93" s="77"/>
    </row>
    <row r="94" spans="1:21" x14ac:dyDescent="0.4">
      <c r="A94" s="349" t="s">
        <v>48</v>
      </c>
      <c r="B94" s="350"/>
      <c r="C94" s="350"/>
      <c r="D94" s="350"/>
      <c r="E94" s="374"/>
      <c r="F94" s="350"/>
      <c r="G94" s="350"/>
      <c r="H94" s="350">
        <f t="shared" ref="H94:M94" si="12">SUM(H69:H93)</f>
        <v>0</v>
      </c>
      <c r="I94" s="355">
        <f t="shared" si="12"/>
        <v>0</v>
      </c>
      <c r="J94" s="355">
        <f>J93+J92+J91+J90+J89+J88+J87+J86+J85+J84+J83+J82+J81+J80+J79+J78+J77+J76+J75+J74+J73+J72+J71+J70+J69</f>
        <v>0</v>
      </c>
      <c r="K94" s="355">
        <f>K93+K92+K91+K90+K89+K88+K87+K86+K85+K84+K83+K82+K81+K80+K79+K78+K77+K76+K75+K74+K73+K72+K71+K70+K69</f>
        <v>0</v>
      </c>
      <c r="L94" s="358">
        <f t="shared" si="12"/>
        <v>0</v>
      </c>
      <c r="M94" s="361">
        <f t="shared" si="12"/>
        <v>0</v>
      </c>
      <c r="N94" s="364"/>
      <c r="O94" s="365"/>
      <c r="P94" s="365"/>
      <c r="Q94" s="366"/>
      <c r="R94" s="5"/>
      <c r="S94" s="6"/>
      <c r="T94" s="7"/>
      <c r="U94" s="8"/>
    </row>
    <row r="95" spans="1:21" ht="18" thickBot="1" x14ac:dyDescent="0.45">
      <c r="A95" s="351"/>
      <c r="B95" s="352"/>
      <c r="C95" s="352"/>
      <c r="D95" s="352"/>
      <c r="E95" s="352"/>
      <c r="F95" s="352"/>
      <c r="G95" s="352"/>
      <c r="H95" s="352"/>
      <c r="I95" s="356"/>
      <c r="J95" s="356"/>
      <c r="K95" s="356"/>
      <c r="L95" s="359"/>
      <c r="M95" s="362"/>
      <c r="N95" s="367"/>
      <c r="O95" s="368"/>
      <c r="P95" s="368"/>
      <c r="Q95" s="369"/>
      <c r="R95" s="1"/>
      <c r="S95" s="2"/>
      <c r="T95" s="3"/>
      <c r="U95" s="4"/>
    </row>
    <row r="96" spans="1:21" ht="18" thickBot="1" x14ac:dyDescent="0.45">
      <c r="A96" s="353"/>
      <c r="B96" s="354"/>
      <c r="C96" s="354"/>
      <c r="D96" s="354"/>
      <c r="E96" s="354"/>
      <c r="F96" s="354"/>
      <c r="G96" s="354"/>
      <c r="H96" s="354"/>
      <c r="I96" s="357"/>
      <c r="J96" s="357"/>
      <c r="K96" s="357"/>
      <c r="L96" s="360"/>
      <c r="M96" s="363"/>
      <c r="N96" s="326"/>
      <c r="O96" s="327"/>
      <c r="P96" s="327"/>
      <c r="Q96" s="370"/>
      <c r="R96" s="371" t="s">
        <v>52</v>
      </c>
      <c r="S96" s="372"/>
      <c r="T96" s="372"/>
      <c r="U96" s="373"/>
    </row>
  </sheetData>
  <mergeCells count="131"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</mergeCells>
  <phoneticPr fontId="3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topLeftCell="A4" zoomScale="80" zoomScaleNormal="80" zoomScaleSheetLayoutView="77" workbookViewId="0">
      <selection activeCell="L23" sqref="L23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287" t="s">
        <v>77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9"/>
    </row>
    <row r="2" spans="1:44" ht="18" thickBot="1" x14ac:dyDescent="0.45">
      <c r="A2" s="287" t="s">
        <v>375</v>
      </c>
      <c r="B2" s="288"/>
      <c r="C2" s="288"/>
      <c r="D2" s="288"/>
      <c r="E2" s="288"/>
      <c r="F2" s="288"/>
      <c r="G2" s="289"/>
      <c r="H2" s="290" t="s">
        <v>49</v>
      </c>
      <c r="I2" s="291"/>
      <c r="J2" s="287" t="s">
        <v>425</v>
      </c>
      <c r="K2" s="289"/>
      <c r="L2" s="291" t="s">
        <v>96</v>
      </c>
      <c r="M2" s="292"/>
      <c r="N2" s="290"/>
      <c r="O2" s="288" t="s">
        <v>99</v>
      </c>
      <c r="P2" s="288"/>
      <c r="Q2" s="289"/>
      <c r="R2" s="291" t="s">
        <v>51</v>
      </c>
      <c r="S2" s="290"/>
      <c r="T2" s="293">
        <v>7</v>
      </c>
      <c r="U2" s="29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297" t="s">
        <v>8</v>
      </c>
      <c r="P4" s="297"/>
      <c r="Q4" s="29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10358</v>
      </c>
      <c r="C5" s="68" t="s">
        <v>376</v>
      </c>
      <c r="D5" s="200" t="s">
        <v>377</v>
      </c>
      <c r="E5" s="181" t="s">
        <v>172</v>
      </c>
      <c r="F5" s="170">
        <v>905</v>
      </c>
      <c r="G5" s="118" t="s">
        <v>108</v>
      </c>
      <c r="H5" s="91"/>
      <c r="I5" s="124"/>
      <c r="J5" s="130" t="str">
        <f>IF(G5="RSL","55","0")</f>
        <v>0</v>
      </c>
      <c r="K5" s="130">
        <v>79.099999999999994</v>
      </c>
      <c r="L5" s="131"/>
      <c r="M5" s="131"/>
      <c r="N5" s="134" t="s">
        <v>99</v>
      </c>
      <c r="O5" s="375" t="s">
        <v>378</v>
      </c>
      <c r="P5" s="376"/>
      <c r="Q5" s="377"/>
      <c r="R5" s="33" t="s">
        <v>99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10359</v>
      </c>
      <c r="C6" s="67" t="s">
        <v>379</v>
      </c>
      <c r="D6" s="200" t="s">
        <v>380</v>
      </c>
      <c r="E6" s="181" t="s">
        <v>91</v>
      </c>
      <c r="F6" s="171">
        <v>100</v>
      </c>
      <c r="G6" s="118" t="s">
        <v>121</v>
      </c>
      <c r="H6" s="91">
        <v>150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01"/>
      <c r="P6" s="302"/>
      <c r="Q6" s="303"/>
      <c r="R6" s="132" t="s">
        <v>100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10360</v>
      </c>
      <c r="C7" s="67" t="s">
        <v>381</v>
      </c>
      <c r="D7" s="200" t="s">
        <v>382</v>
      </c>
      <c r="E7" s="181" t="s">
        <v>91</v>
      </c>
      <c r="F7" s="171">
        <v>1030</v>
      </c>
      <c r="G7" s="118" t="s">
        <v>117</v>
      </c>
      <c r="H7" s="91"/>
      <c r="I7" s="124">
        <v>95.95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04"/>
      <c r="P7" s="305"/>
      <c r="Q7" s="306"/>
      <c r="R7" s="134" t="s">
        <v>101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10361</v>
      </c>
      <c r="C8" s="27" t="s">
        <v>383</v>
      </c>
      <c r="D8" s="200" t="s">
        <v>384</v>
      </c>
      <c r="E8" s="181" t="s">
        <v>92</v>
      </c>
      <c r="F8" s="171">
        <v>1045</v>
      </c>
      <c r="G8" s="118" t="s">
        <v>137</v>
      </c>
      <c r="H8" s="91">
        <v>75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07"/>
      <c r="P8" s="308"/>
      <c r="Q8" s="309"/>
      <c r="R8" s="26" t="s">
        <v>103</v>
      </c>
      <c r="S8" s="31">
        <v>0.35416666666666669</v>
      </c>
      <c r="T8" s="32">
        <v>0.70833333333333337</v>
      </c>
      <c r="U8" s="92">
        <f t="shared" si="0"/>
        <v>8.5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10362</v>
      </c>
      <c r="C9" s="63" t="s">
        <v>385</v>
      </c>
      <c r="D9" s="201" t="s">
        <v>386</v>
      </c>
      <c r="E9" s="181" t="s">
        <v>92</v>
      </c>
      <c r="F9" s="172">
        <v>1050</v>
      </c>
      <c r="G9" s="119" t="s">
        <v>108</v>
      </c>
      <c r="H9" s="91"/>
      <c r="I9" s="91"/>
      <c r="J9" s="130" t="str">
        <f t="shared" si="1"/>
        <v>0</v>
      </c>
      <c r="K9" s="130">
        <v>79.099999999999994</v>
      </c>
      <c r="L9" s="131"/>
      <c r="M9" s="131"/>
      <c r="N9" s="134" t="s">
        <v>99</v>
      </c>
      <c r="O9" s="307" t="s">
        <v>387</v>
      </c>
      <c r="P9" s="308"/>
      <c r="Q9" s="309"/>
      <c r="R9" s="26" t="s">
        <v>304</v>
      </c>
      <c r="S9" s="31">
        <v>0.39583333333333331</v>
      </c>
      <c r="T9" s="32">
        <v>0.70833333333333337</v>
      </c>
      <c r="U9" s="92">
        <f t="shared" si="0"/>
        <v>7.5000000000000018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10363</v>
      </c>
      <c r="C10" s="28" t="s">
        <v>388</v>
      </c>
      <c r="D10" s="202" t="s">
        <v>389</v>
      </c>
      <c r="E10" s="181" t="s">
        <v>91</v>
      </c>
      <c r="F10" s="173">
        <v>1100</v>
      </c>
      <c r="G10" s="120" t="s">
        <v>44</v>
      </c>
      <c r="H10" s="123"/>
      <c r="I10" s="125"/>
      <c r="J10" s="130" t="str">
        <f t="shared" si="1"/>
        <v>55</v>
      </c>
      <c r="K10" s="130" t="str">
        <f t="shared" si="2"/>
        <v>0</v>
      </c>
      <c r="L10" s="131"/>
      <c r="M10" s="131"/>
      <c r="N10" s="134" t="s">
        <v>99</v>
      </c>
      <c r="O10" s="294" t="s">
        <v>390</v>
      </c>
      <c r="P10" s="295"/>
      <c r="Q10" s="296"/>
      <c r="R10" s="26" t="s">
        <v>305</v>
      </c>
      <c r="S10" s="31">
        <v>0.4375</v>
      </c>
      <c r="T10" s="32">
        <v>0.69791666666666663</v>
      </c>
      <c r="U10" s="92">
        <f t="shared" si="0"/>
        <v>6.2499999999999991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10364</v>
      </c>
      <c r="C11" s="18" t="s">
        <v>391</v>
      </c>
      <c r="D11" s="203" t="s">
        <v>392</v>
      </c>
      <c r="E11" s="181" t="s">
        <v>92</v>
      </c>
      <c r="F11" s="66">
        <v>1110</v>
      </c>
      <c r="G11" s="121" t="s">
        <v>393</v>
      </c>
      <c r="H11" s="123"/>
      <c r="I11" s="124"/>
      <c r="J11" s="130" t="str">
        <f t="shared" si="1"/>
        <v>0</v>
      </c>
      <c r="K11" s="130">
        <v>100</v>
      </c>
      <c r="L11" s="131"/>
      <c r="M11" s="131"/>
      <c r="N11" s="134" t="s">
        <v>99</v>
      </c>
      <c r="O11" s="304" t="s">
        <v>394</v>
      </c>
      <c r="P11" s="305"/>
      <c r="Q11" s="306"/>
      <c r="R11" s="26" t="s">
        <v>151</v>
      </c>
      <c r="S11" s="31">
        <v>0.41666666666666669</v>
      </c>
      <c r="T11" s="32">
        <v>0.69791666666666663</v>
      </c>
      <c r="U11" s="92">
        <f t="shared" si="0"/>
        <v>6.7499999999999982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10365</v>
      </c>
      <c r="C12" s="64" t="s">
        <v>395</v>
      </c>
      <c r="D12" s="204" t="s">
        <v>396</v>
      </c>
      <c r="E12" s="181" t="s">
        <v>91</v>
      </c>
      <c r="F12" s="173">
        <v>1110</v>
      </c>
      <c r="G12" s="119" t="s">
        <v>117</v>
      </c>
      <c r="H12" s="123"/>
      <c r="I12" s="125">
        <v>95.95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04"/>
      <c r="P12" s="305"/>
      <c r="Q12" s="306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10366</v>
      </c>
      <c r="C13" s="64" t="s">
        <v>397</v>
      </c>
      <c r="D13" s="204" t="s">
        <v>398</v>
      </c>
      <c r="E13" s="181" t="s">
        <v>92</v>
      </c>
      <c r="F13" s="173">
        <v>1130</v>
      </c>
      <c r="G13" s="119" t="s">
        <v>137</v>
      </c>
      <c r="H13" s="169">
        <v>55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04"/>
      <c r="P13" s="305"/>
      <c r="Q13" s="306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10367</v>
      </c>
      <c r="C14" s="65" t="s">
        <v>399</v>
      </c>
      <c r="D14" s="205" t="s">
        <v>400</v>
      </c>
      <c r="E14" s="181" t="s">
        <v>92</v>
      </c>
      <c r="F14" s="174">
        <v>1130</v>
      </c>
      <c r="G14" s="122" t="s">
        <v>137</v>
      </c>
      <c r="H14" s="123">
        <v>75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04"/>
      <c r="P14" s="305"/>
      <c r="Q14" s="306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10368</v>
      </c>
      <c r="C15" s="65" t="s">
        <v>401</v>
      </c>
      <c r="D15" s="205" t="s">
        <v>402</v>
      </c>
      <c r="E15" s="181" t="s">
        <v>91</v>
      </c>
      <c r="F15" s="174">
        <v>1205</v>
      </c>
      <c r="G15" s="122" t="s">
        <v>108</v>
      </c>
      <c r="H15" s="123"/>
      <c r="I15" s="124"/>
      <c r="J15" s="130" t="str">
        <f t="shared" si="1"/>
        <v>0</v>
      </c>
      <c r="K15" s="130">
        <v>79.099999999999994</v>
      </c>
      <c r="L15" s="131"/>
      <c r="M15" s="131"/>
      <c r="N15" s="134" t="s">
        <v>99</v>
      </c>
      <c r="O15" s="304" t="s">
        <v>403</v>
      </c>
      <c r="P15" s="305"/>
      <c r="Q15" s="306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10369</v>
      </c>
      <c r="C16" s="65" t="s">
        <v>404</v>
      </c>
      <c r="D16" s="205" t="s">
        <v>405</v>
      </c>
      <c r="E16" s="181" t="s">
        <v>91</v>
      </c>
      <c r="F16" s="174">
        <v>1210</v>
      </c>
      <c r="G16" s="122" t="s">
        <v>231</v>
      </c>
      <c r="H16" s="123">
        <v>80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04"/>
      <c r="P16" s="305"/>
      <c r="Q16" s="306"/>
      <c r="R16" s="82">
        <f>H32/U16</f>
        <v>0.39285714285714279</v>
      </c>
      <c r="S16" s="83">
        <f>H32/(U16-U5)</f>
        <v>0.46808510638297868</v>
      </c>
      <c r="T16" s="83">
        <f>C32/U16</f>
        <v>43.705357142857139</v>
      </c>
      <c r="U16" s="83">
        <f>SUM(U5:U15)</f>
        <v>56.000000000000007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10370</v>
      </c>
      <c r="C17" s="18" t="s">
        <v>406</v>
      </c>
      <c r="D17" s="203" t="s">
        <v>407</v>
      </c>
      <c r="E17" s="181" t="s">
        <v>91</v>
      </c>
      <c r="F17" s="66">
        <v>1210</v>
      </c>
      <c r="G17" s="121" t="s">
        <v>117</v>
      </c>
      <c r="H17" s="123">
        <v>95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04"/>
      <c r="P17" s="305"/>
      <c r="Q17" s="306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10371</v>
      </c>
      <c r="C18" s="18" t="s">
        <v>408</v>
      </c>
      <c r="D18" s="203" t="s">
        <v>409</v>
      </c>
      <c r="E18" s="181" t="s">
        <v>92</v>
      </c>
      <c r="F18" s="66">
        <v>1210</v>
      </c>
      <c r="G18" s="20" t="s">
        <v>121</v>
      </c>
      <c r="H18" s="123">
        <v>220</v>
      </c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99</v>
      </c>
      <c r="O18" s="304"/>
      <c r="P18" s="305"/>
      <c r="Q18" s="306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10372</v>
      </c>
      <c r="C19" s="18" t="s">
        <v>410</v>
      </c>
      <c r="D19" s="203" t="s">
        <v>411</v>
      </c>
      <c r="E19" s="181" t="s">
        <v>91</v>
      </c>
      <c r="F19" s="66">
        <v>1300</v>
      </c>
      <c r="G19" s="121" t="s">
        <v>234</v>
      </c>
      <c r="H19" s="123"/>
      <c r="I19" s="124"/>
      <c r="J19" s="130" t="str">
        <f t="shared" si="1"/>
        <v>0</v>
      </c>
      <c r="K19" s="130">
        <v>58.3</v>
      </c>
      <c r="L19" s="131"/>
      <c r="M19" s="131"/>
      <c r="N19" s="134" t="s">
        <v>99</v>
      </c>
      <c r="O19" s="304" t="s">
        <v>412</v>
      </c>
      <c r="P19" s="305"/>
      <c r="Q19" s="305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10373</v>
      </c>
      <c r="C20" s="18" t="s">
        <v>413</v>
      </c>
      <c r="D20" s="203" t="s">
        <v>414</v>
      </c>
      <c r="E20" s="181" t="s">
        <v>91</v>
      </c>
      <c r="F20" s="66">
        <v>1300</v>
      </c>
      <c r="G20" s="121" t="s">
        <v>117</v>
      </c>
      <c r="H20" s="123">
        <v>90</v>
      </c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99</v>
      </c>
      <c r="O20" s="312"/>
      <c r="P20" s="313"/>
      <c r="Q20" s="31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10374</v>
      </c>
      <c r="C21" s="18" t="s">
        <v>415</v>
      </c>
      <c r="D21" s="203" t="s">
        <v>416</v>
      </c>
      <c r="E21" s="181" t="s">
        <v>92</v>
      </c>
      <c r="F21" s="66">
        <v>1330</v>
      </c>
      <c r="G21" s="20" t="s">
        <v>137</v>
      </c>
      <c r="H21" s="123"/>
      <c r="I21" s="124">
        <v>75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99</v>
      </c>
      <c r="O21" s="304"/>
      <c r="P21" s="305"/>
      <c r="Q21" s="305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>
        <v>10375</v>
      </c>
      <c r="C22" s="127" t="s">
        <v>417</v>
      </c>
      <c r="D22" s="206" t="s">
        <v>418</v>
      </c>
      <c r="E22" s="181" t="s">
        <v>92</v>
      </c>
      <c r="F22" s="175">
        <v>1340</v>
      </c>
      <c r="G22" s="263" t="s">
        <v>204</v>
      </c>
      <c r="H22" s="89">
        <v>480</v>
      </c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99</v>
      </c>
      <c r="O22" s="304"/>
      <c r="P22" s="305"/>
      <c r="Q22" s="306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>
        <v>10376</v>
      </c>
      <c r="C23" s="136" t="s">
        <v>419</v>
      </c>
      <c r="D23" s="207" t="s">
        <v>420</v>
      </c>
      <c r="E23" s="181" t="s">
        <v>91</v>
      </c>
      <c r="F23" s="176">
        <v>1350</v>
      </c>
      <c r="G23" s="165" t="s">
        <v>121</v>
      </c>
      <c r="H23" s="89">
        <v>150</v>
      </c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99</v>
      </c>
      <c r="O23" s="163"/>
      <c r="P23" s="164"/>
      <c r="Q23" s="159"/>
      <c r="R23" s="113"/>
      <c r="S23" s="114"/>
      <c r="T23" s="114"/>
      <c r="U23" s="115"/>
      <c r="X23" s="310"/>
      <c r="Y23" s="311"/>
      <c r="Z23" s="311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>
        <v>10377</v>
      </c>
      <c r="C24" s="127" t="s">
        <v>423</v>
      </c>
      <c r="D24" s="206" t="s">
        <v>424</v>
      </c>
      <c r="E24" s="181" t="s">
        <v>91</v>
      </c>
      <c r="F24" s="175">
        <v>1410</v>
      </c>
      <c r="G24" s="263" t="s">
        <v>137</v>
      </c>
      <c r="H24" s="89">
        <v>55</v>
      </c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99</v>
      </c>
      <c r="O24" s="304"/>
      <c r="P24" s="305"/>
      <c r="Q24" s="306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>
        <v>10378</v>
      </c>
      <c r="C25" s="132" t="s">
        <v>421</v>
      </c>
      <c r="D25" s="208" t="s">
        <v>422</v>
      </c>
      <c r="E25" s="181" t="s">
        <v>91</v>
      </c>
      <c r="F25" s="175">
        <v>1440</v>
      </c>
      <c r="G25" s="263" t="s">
        <v>121</v>
      </c>
      <c r="H25" s="90">
        <v>150</v>
      </c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99</v>
      </c>
      <c r="O25" s="304"/>
      <c r="P25" s="305"/>
      <c r="Q25" s="306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14">
        <f>((C32+(R26+S26+T26)*0.5))</f>
        <v>2447.5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>
        <v>10379</v>
      </c>
      <c r="C26" s="27" t="s">
        <v>426</v>
      </c>
      <c r="D26" s="209" t="s">
        <v>427</v>
      </c>
      <c r="E26" s="181" t="s">
        <v>92</v>
      </c>
      <c r="F26" s="177">
        <v>1600</v>
      </c>
      <c r="G26" s="20" t="s">
        <v>137</v>
      </c>
      <c r="H26" s="89">
        <v>55</v>
      </c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99</v>
      </c>
      <c r="O26" s="304"/>
      <c r="P26" s="305"/>
      <c r="Q26" s="306"/>
      <c r="R26" s="112">
        <f>R25*37.5</f>
        <v>0</v>
      </c>
      <c r="S26" s="102">
        <f>S25*41.5</f>
        <v>0</v>
      </c>
      <c r="T26" s="102">
        <f>T25*50</f>
        <v>0</v>
      </c>
      <c r="U26" s="31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4"/>
      <c r="P27" s="305"/>
      <c r="Q27" s="306"/>
      <c r="R27" s="323" t="s">
        <v>56</v>
      </c>
      <c r="S27" s="324"/>
      <c r="T27" s="324"/>
      <c r="U27" s="32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4"/>
      <c r="P28" s="305"/>
      <c r="Q28" s="306"/>
      <c r="R28" s="316"/>
      <c r="S28" s="317"/>
      <c r="T28" s="31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32"/>
      <c r="P29" s="333"/>
      <c r="Q29" s="334"/>
      <c r="R29" s="335"/>
      <c r="S29" s="336"/>
      <c r="T29" s="33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38" t="s">
        <v>48</v>
      </c>
      <c r="B30" s="339"/>
      <c r="C30" s="339"/>
      <c r="D30" s="339"/>
      <c r="E30" s="340"/>
      <c r="F30" s="339"/>
      <c r="G30" s="339"/>
      <c r="H30" s="264">
        <f t="shared" ref="H30:M30" si="3">SUM(H5:H29)</f>
        <v>1730</v>
      </c>
      <c r="I30" s="105">
        <f>SUM(I5:I29)</f>
        <v>266.89999999999998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395.59999999999997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1"/>
      <c r="S30" s="341"/>
      <c r="T30" s="34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43" t="s">
        <v>16</v>
      </c>
      <c r="B31" s="344"/>
      <c r="C31" s="344"/>
      <c r="D31" s="344"/>
      <c r="E31" s="344"/>
      <c r="F31" s="344"/>
      <c r="G31" s="344"/>
      <c r="H31" s="265">
        <f t="shared" ref="H31:J31" si="4">H30+H62+H94</f>
        <v>1730</v>
      </c>
      <c r="I31" s="103">
        <f t="shared" si="4"/>
        <v>266.89999999999998</v>
      </c>
      <c r="J31" s="103">
        <f t="shared" si="4"/>
        <v>55</v>
      </c>
      <c r="K31" s="103">
        <f>K30+K62+K94</f>
        <v>395.59999999999997</v>
      </c>
      <c r="L31" s="97">
        <f>L30+L62+L94</f>
        <v>0</v>
      </c>
      <c r="M31" s="97">
        <f>M30+M62+M94</f>
        <v>0</v>
      </c>
      <c r="N31" s="262">
        <f>COUNT(H5:H29,H37:H61,H69:H93)</f>
        <v>13</v>
      </c>
      <c r="O31" s="104">
        <f>COUNT(I5:I29,I37:I61,I69:I93)</f>
        <v>3</v>
      </c>
      <c r="P31" s="104">
        <f>COUNTIF(G5:G29,"G*")+COUNTIF(G37:G61,"G*")+COUNTIF(G69:G93,"G*")+COUNTIF(G5:G29,"P*")+COUNTIF(G37:G61,"P*")+COUNTIF(G69:G93,"P*")</f>
        <v>5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1730</v>
      </c>
      <c r="T31" s="328">
        <f>H31+I31+L31+M31</f>
        <v>1996.9</v>
      </c>
      <c r="U31" s="32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19" t="s">
        <v>55</v>
      </c>
      <c r="B32" s="320"/>
      <c r="C32" s="107">
        <f>H31+I31+J31+K31</f>
        <v>2447.5</v>
      </c>
      <c r="D32" s="196"/>
      <c r="E32" s="107"/>
      <c r="F32" s="321" t="s">
        <v>53</v>
      </c>
      <c r="G32" s="321"/>
      <c r="H32" s="109">
        <f>COUNT(B5:B29,B37:B61,B69:B93)</f>
        <v>22</v>
      </c>
      <c r="I32" s="322" t="s">
        <v>54</v>
      </c>
      <c r="J32" s="322"/>
      <c r="K32" s="108">
        <f>C32/H32</f>
        <v>111.25</v>
      </c>
      <c r="L32" s="260"/>
      <c r="M32" s="260"/>
      <c r="N32" s="260">
        <f>H31/C32</f>
        <v>0.70684371807967317</v>
      </c>
      <c r="O32" s="260">
        <f>I31/C32</f>
        <v>0.10905005107252297</v>
      </c>
      <c r="P32" s="260">
        <f>K31/C32</f>
        <v>0.16163432073544431</v>
      </c>
      <c r="Q32" s="110">
        <f>J31/C32</f>
        <v>2.247191011235955E-2</v>
      </c>
      <c r="R32" s="99" t="s">
        <v>82</v>
      </c>
      <c r="S32" s="266">
        <f>I31+M31</f>
        <v>266.89999999999998</v>
      </c>
      <c r="T32" s="330"/>
      <c r="U32" s="331"/>
      <c r="V32" s="55"/>
      <c r="W32" s="55"/>
      <c r="X32" s="56" t="s">
        <v>27</v>
      </c>
      <c r="Y32" s="56"/>
      <c r="Z32" s="54">
        <f>I31</f>
        <v>266.89999999999998</v>
      </c>
      <c r="AE32" s="37"/>
      <c r="AF32" s="37"/>
      <c r="AG32" s="37"/>
      <c r="AH32" s="37"/>
    </row>
    <row r="33" spans="1:34" ht="18" thickBot="1" x14ac:dyDescent="0.45">
      <c r="A33" s="326" t="s">
        <v>24</v>
      </c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288"/>
      <c r="U33" s="289"/>
      <c r="X33" s="57" t="s">
        <v>29</v>
      </c>
      <c r="Y33" s="57"/>
      <c r="Z33" s="58">
        <f>SUM(Z31:Z32)</f>
        <v>-2478.1</v>
      </c>
      <c r="AE33" s="37"/>
      <c r="AF33" s="37"/>
      <c r="AG33" s="59"/>
      <c r="AH33" s="37"/>
    </row>
    <row r="34" spans="1:34" ht="18" thickBot="1" x14ac:dyDescent="0.45">
      <c r="A34" s="287" t="str">
        <f>A2</f>
        <v>31-02-2022</v>
      </c>
      <c r="B34" s="288"/>
      <c r="C34" s="288"/>
      <c r="D34" s="288"/>
      <c r="E34" s="288"/>
      <c r="F34" s="288"/>
      <c r="G34" s="289"/>
      <c r="H34" s="290" t="s">
        <v>49</v>
      </c>
      <c r="I34" s="291"/>
      <c r="J34" s="287" t="str">
        <f>J2</f>
        <v>CLOUDY</v>
      </c>
      <c r="K34" s="289"/>
      <c r="L34" s="291" t="s">
        <v>50</v>
      </c>
      <c r="M34" s="292"/>
      <c r="N34" s="290"/>
      <c r="O34" s="288" t="str">
        <f>O2</f>
        <v>JOHN</v>
      </c>
      <c r="P34" s="288"/>
      <c r="Q34" s="289"/>
      <c r="R34" s="291" t="s">
        <v>51</v>
      </c>
      <c r="S34" s="290"/>
      <c r="T34" s="293">
        <f>T2</f>
        <v>7</v>
      </c>
      <c r="U34" s="293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297" t="s">
        <v>8</v>
      </c>
      <c r="P36" s="297"/>
      <c r="Q36" s="29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4"/>
      <c r="P37" s="305"/>
      <c r="Q37" s="306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01"/>
      <c r="P38" s="302"/>
      <c r="Q38" s="303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4"/>
      <c r="P39" s="305"/>
      <c r="Q39" s="306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07"/>
      <c r="P40" s="308"/>
      <c r="Q40" s="309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07"/>
      <c r="P41" s="308"/>
      <c r="Q41" s="309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4"/>
      <c r="P42" s="295"/>
      <c r="Q42" s="296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4"/>
      <c r="P43" s="305"/>
      <c r="Q43" s="306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4"/>
      <c r="P44" s="305"/>
      <c r="Q44" s="306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4"/>
      <c r="P45" s="305"/>
      <c r="Q45" s="306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4"/>
      <c r="P46" s="305"/>
      <c r="Q46" s="306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4"/>
      <c r="P47" s="305"/>
      <c r="Q47" s="306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4"/>
      <c r="P48" s="305"/>
      <c r="Q48" s="306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4"/>
      <c r="P49" s="305"/>
      <c r="Q49" s="306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4"/>
      <c r="P50" s="305"/>
      <c r="Q50" s="306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4"/>
      <c r="P51" s="305"/>
      <c r="Q51" s="305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4"/>
      <c r="P52" s="305"/>
      <c r="Q52" s="305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5"/>
      <c r="P53" s="304"/>
      <c r="Q53" s="304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5"/>
      <c r="P54" s="304"/>
      <c r="Q54" s="304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5"/>
      <c r="P55" s="304"/>
      <c r="Q55" s="304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5"/>
      <c r="P56" s="305"/>
      <c r="Q56" s="305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4"/>
      <c r="P57" s="305"/>
      <c r="Q57" s="305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5"/>
      <c r="P58" s="305"/>
      <c r="Q58" s="305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5"/>
      <c r="P59" s="305"/>
      <c r="Q59" s="305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4"/>
      <c r="P60" s="305"/>
      <c r="Q60" s="306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46"/>
      <c r="P61" s="347"/>
      <c r="Q61" s="348"/>
      <c r="R61" s="81"/>
      <c r="S61" s="68"/>
      <c r="T61" s="68"/>
      <c r="U61" s="77"/>
    </row>
    <row r="62" spans="1:21" x14ac:dyDescent="0.4">
      <c r="A62" s="349" t="s">
        <v>48</v>
      </c>
      <c r="B62" s="350"/>
      <c r="C62" s="350"/>
      <c r="D62" s="350"/>
      <c r="E62" s="350"/>
      <c r="F62" s="350"/>
      <c r="G62" s="350"/>
      <c r="H62" s="350">
        <f t="shared" ref="H62:M62" si="8">SUM(H37:H61)</f>
        <v>0</v>
      </c>
      <c r="I62" s="355">
        <f t="shared" si="8"/>
        <v>0</v>
      </c>
      <c r="J62" s="355">
        <f>J61+J60+J59+J58+J57+J56+J55+J54+J53+J52+J51+J50+J49+J48+J47+J46+J45+J44+J43+J42+J41+J40+J39+J38+J37</f>
        <v>0</v>
      </c>
      <c r="K62" s="355">
        <f>K61+K60+K59+K58+K57+K56+K55+K54+K53+K52+K51+K50+K49+K48+K47+K46+K45+K44+K43+K42+K41+K40+K39+K38+K37</f>
        <v>0</v>
      </c>
      <c r="L62" s="358">
        <f t="shared" si="8"/>
        <v>0</v>
      </c>
      <c r="M62" s="361">
        <f t="shared" si="8"/>
        <v>0</v>
      </c>
      <c r="N62" s="364"/>
      <c r="O62" s="365"/>
      <c r="P62" s="365"/>
      <c r="Q62" s="366"/>
      <c r="R62" s="5"/>
      <c r="S62" s="6"/>
      <c r="T62" s="7"/>
      <c r="U62" s="8"/>
    </row>
    <row r="63" spans="1:21" ht="18" thickBot="1" x14ac:dyDescent="0.45">
      <c r="A63" s="351"/>
      <c r="B63" s="352"/>
      <c r="C63" s="352"/>
      <c r="D63" s="352"/>
      <c r="E63" s="352"/>
      <c r="F63" s="352"/>
      <c r="G63" s="352"/>
      <c r="H63" s="352"/>
      <c r="I63" s="356"/>
      <c r="J63" s="356"/>
      <c r="K63" s="356"/>
      <c r="L63" s="359"/>
      <c r="M63" s="362"/>
      <c r="N63" s="367"/>
      <c r="O63" s="368"/>
      <c r="P63" s="368"/>
      <c r="Q63" s="369"/>
      <c r="R63" s="1"/>
      <c r="S63" s="2"/>
      <c r="T63" s="3"/>
      <c r="U63" s="4"/>
    </row>
    <row r="64" spans="1:21" ht="18" thickBot="1" x14ac:dyDescent="0.45">
      <c r="A64" s="353"/>
      <c r="B64" s="354"/>
      <c r="C64" s="354"/>
      <c r="D64" s="354"/>
      <c r="E64" s="354"/>
      <c r="F64" s="354"/>
      <c r="G64" s="354"/>
      <c r="H64" s="354"/>
      <c r="I64" s="357"/>
      <c r="J64" s="357"/>
      <c r="K64" s="357"/>
      <c r="L64" s="360"/>
      <c r="M64" s="363"/>
      <c r="N64" s="326"/>
      <c r="O64" s="327"/>
      <c r="P64" s="327"/>
      <c r="Q64" s="370"/>
      <c r="R64" s="371" t="s">
        <v>17</v>
      </c>
      <c r="S64" s="372"/>
      <c r="T64" s="372"/>
      <c r="U64" s="373"/>
    </row>
    <row r="65" spans="1:21" ht="18" thickBot="1" x14ac:dyDescent="0.45">
      <c r="A65" s="287" t="s">
        <v>24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8"/>
      <c r="Q65" s="288"/>
      <c r="R65" s="288"/>
      <c r="S65" s="288"/>
      <c r="T65" s="288"/>
      <c r="U65" s="289"/>
    </row>
    <row r="66" spans="1:21" ht="18" thickBot="1" x14ac:dyDescent="0.45">
      <c r="A66" s="287" t="str">
        <f>A34</f>
        <v>31-02-2022</v>
      </c>
      <c r="B66" s="288"/>
      <c r="C66" s="288"/>
      <c r="D66" s="288"/>
      <c r="E66" s="288"/>
      <c r="F66" s="288"/>
      <c r="G66" s="289"/>
      <c r="H66" s="290" t="s">
        <v>49</v>
      </c>
      <c r="I66" s="291"/>
      <c r="J66" s="287" t="str">
        <f>J34</f>
        <v>CLOUDY</v>
      </c>
      <c r="K66" s="289"/>
      <c r="L66" s="291" t="s">
        <v>50</v>
      </c>
      <c r="M66" s="292"/>
      <c r="N66" s="290"/>
      <c r="O66" s="288" t="str">
        <f>O34</f>
        <v>JOHN</v>
      </c>
      <c r="P66" s="288"/>
      <c r="Q66" s="289"/>
      <c r="R66" s="291" t="s">
        <v>51</v>
      </c>
      <c r="S66" s="290"/>
      <c r="T66" s="293">
        <f>T34</f>
        <v>7</v>
      </c>
      <c r="U66" s="293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297" t="s">
        <v>8</v>
      </c>
      <c r="P68" s="297"/>
      <c r="Q68" s="29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4"/>
      <c r="P69" s="305"/>
      <c r="Q69" s="306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01"/>
      <c r="P70" s="302"/>
      <c r="Q70" s="303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4"/>
      <c r="P71" s="305"/>
      <c r="Q71" s="306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07"/>
      <c r="P72" s="308"/>
      <c r="Q72" s="309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07"/>
      <c r="P73" s="308"/>
      <c r="Q73" s="309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4"/>
      <c r="P74" s="295"/>
      <c r="Q74" s="296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4"/>
      <c r="P75" s="305"/>
      <c r="Q75" s="306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4"/>
      <c r="P76" s="305"/>
      <c r="Q76" s="306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4"/>
      <c r="P77" s="305"/>
      <c r="Q77" s="306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4"/>
      <c r="P78" s="305"/>
      <c r="Q78" s="306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4"/>
      <c r="P79" s="305"/>
      <c r="Q79" s="306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4"/>
      <c r="P80" s="305"/>
      <c r="Q80" s="306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4"/>
      <c r="P81" s="305"/>
      <c r="Q81" s="306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4"/>
      <c r="P82" s="305"/>
      <c r="Q82" s="306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4"/>
      <c r="P83" s="305"/>
      <c r="Q83" s="305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4"/>
      <c r="P84" s="305"/>
      <c r="Q84" s="305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5"/>
      <c r="P85" s="304"/>
      <c r="Q85" s="304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5"/>
      <c r="P86" s="304"/>
      <c r="Q86" s="304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5"/>
      <c r="P87" s="304"/>
      <c r="Q87" s="304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5"/>
      <c r="P88" s="305"/>
      <c r="Q88" s="305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4"/>
      <c r="P89" s="305"/>
      <c r="Q89" s="305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5"/>
      <c r="P90" s="305"/>
      <c r="Q90" s="305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5"/>
      <c r="P91" s="305"/>
      <c r="Q91" s="305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4"/>
      <c r="P92" s="305"/>
      <c r="Q92" s="306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46"/>
      <c r="P93" s="347"/>
      <c r="Q93" s="348"/>
      <c r="R93" s="81"/>
      <c r="S93" s="68"/>
      <c r="T93" s="68"/>
      <c r="U93" s="77"/>
    </row>
    <row r="94" spans="1:21" x14ac:dyDescent="0.4">
      <c r="A94" s="349" t="s">
        <v>48</v>
      </c>
      <c r="B94" s="350"/>
      <c r="C94" s="350"/>
      <c r="D94" s="350"/>
      <c r="E94" s="374"/>
      <c r="F94" s="350"/>
      <c r="G94" s="350"/>
      <c r="H94" s="350">
        <f t="shared" ref="H94:M94" si="12">SUM(H69:H93)</f>
        <v>0</v>
      </c>
      <c r="I94" s="355">
        <f t="shared" si="12"/>
        <v>0</v>
      </c>
      <c r="J94" s="355">
        <f>J93+J92+J91+J90+J89+J88+J87+J86+J85+J84+J83+J82+J81+J80+J79+J78+J77+J76+J75+J74+J73+J72+J71+J70+J69</f>
        <v>0</v>
      </c>
      <c r="K94" s="355">
        <f>K93+K92+K91+K90+K89+K88+K87+K86+K85+K84+K83+K82+K81+K80+K79+K78+K77+K76+K75+K74+K73+K72+K71+K70+K69</f>
        <v>0</v>
      </c>
      <c r="L94" s="358">
        <f t="shared" si="12"/>
        <v>0</v>
      </c>
      <c r="M94" s="361">
        <f t="shared" si="12"/>
        <v>0</v>
      </c>
      <c r="N94" s="364"/>
      <c r="O94" s="365"/>
      <c r="P94" s="365"/>
      <c r="Q94" s="366"/>
      <c r="R94" s="5"/>
      <c r="S94" s="6"/>
      <c r="T94" s="7"/>
      <c r="U94" s="8"/>
    </row>
    <row r="95" spans="1:21" ht="18" thickBot="1" x14ac:dyDescent="0.45">
      <c r="A95" s="351"/>
      <c r="B95" s="352"/>
      <c r="C95" s="352"/>
      <c r="D95" s="352"/>
      <c r="E95" s="352"/>
      <c r="F95" s="352"/>
      <c r="G95" s="352"/>
      <c r="H95" s="352"/>
      <c r="I95" s="356"/>
      <c r="J95" s="356"/>
      <c r="K95" s="356"/>
      <c r="L95" s="359"/>
      <c r="M95" s="362"/>
      <c r="N95" s="367"/>
      <c r="O95" s="368"/>
      <c r="P95" s="368"/>
      <c r="Q95" s="369"/>
      <c r="R95" s="1"/>
      <c r="S95" s="2"/>
      <c r="T95" s="3"/>
      <c r="U95" s="4"/>
    </row>
    <row r="96" spans="1:21" ht="18" thickBot="1" x14ac:dyDescent="0.45">
      <c r="A96" s="353"/>
      <c r="B96" s="354"/>
      <c r="C96" s="354"/>
      <c r="D96" s="354"/>
      <c r="E96" s="354"/>
      <c r="F96" s="354"/>
      <c r="G96" s="354"/>
      <c r="H96" s="354"/>
      <c r="I96" s="357"/>
      <c r="J96" s="357"/>
      <c r="K96" s="357"/>
      <c r="L96" s="360"/>
      <c r="M96" s="363"/>
      <c r="N96" s="326"/>
      <c r="O96" s="327"/>
      <c r="P96" s="327"/>
      <c r="Q96" s="370"/>
      <c r="R96" s="371" t="s">
        <v>52</v>
      </c>
      <c r="S96" s="372"/>
      <c r="T96" s="372"/>
      <c r="U96" s="373"/>
    </row>
  </sheetData>
  <mergeCells count="131"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</mergeCells>
  <phoneticPr fontId="3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10" zoomScale="80" zoomScaleNormal="80" workbookViewId="0">
      <selection activeCell="H23" sqref="H23:K23"/>
    </sheetView>
  </sheetViews>
  <sheetFormatPr defaultColWidth="9" defaultRowHeight="17.399999999999999" x14ac:dyDescent="0.4"/>
  <cols>
    <col min="1" max="477" width="2.59765625" style="35" customWidth="1"/>
    <col min="478" max="16384" width="9" style="35"/>
  </cols>
  <sheetData>
    <row r="1" spans="1:30" ht="32.25" customHeight="1" x14ac:dyDescent="0.4">
      <c r="A1" s="531"/>
      <c r="B1" s="531"/>
      <c r="C1" s="531"/>
      <c r="D1" s="531"/>
      <c r="E1" s="529" t="s">
        <v>59</v>
      </c>
      <c r="F1" s="529"/>
      <c r="G1" s="529"/>
      <c r="H1" s="529" t="s">
        <v>60</v>
      </c>
      <c r="I1" s="529"/>
      <c r="J1" s="529"/>
      <c r="K1" s="529"/>
      <c r="L1" s="529" t="s">
        <v>61</v>
      </c>
      <c r="M1" s="529"/>
      <c r="N1" s="529"/>
      <c r="O1" s="529"/>
      <c r="P1" s="529"/>
      <c r="Q1" s="529" t="s">
        <v>62</v>
      </c>
      <c r="R1" s="529"/>
      <c r="S1" s="529"/>
      <c r="T1" s="529"/>
      <c r="U1" s="529"/>
      <c r="V1" s="529" t="s">
        <v>63</v>
      </c>
      <c r="W1" s="529"/>
      <c r="X1" s="529"/>
      <c r="Y1" s="529"/>
      <c r="Z1" s="529"/>
      <c r="AA1" s="529" t="s">
        <v>64</v>
      </c>
      <c r="AB1" s="529"/>
      <c r="AC1" s="529"/>
      <c r="AD1" s="529"/>
    </row>
    <row r="2" spans="1:30" ht="20.100000000000001" customHeight="1" x14ac:dyDescent="0.4">
      <c r="A2" s="448" t="s">
        <v>66</v>
      </c>
      <c r="B2" s="471" t="s">
        <v>57</v>
      </c>
      <c r="C2" s="471"/>
      <c r="D2" s="530"/>
      <c r="E2" s="530">
        <f>MON!N31</f>
        <v>7</v>
      </c>
      <c r="F2" s="530"/>
      <c r="G2" s="530"/>
      <c r="H2" s="532">
        <f>MON!S31</f>
        <v>1740</v>
      </c>
      <c r="I2" s="532"/>
      <c r="J2" s="532"/>
      <c r="K2" s="532"/>
      <c r="L2" s="533">
        <f>MON!N32</f>
        <v>0.50261683535840262</v>
      </c>
      <c r="M2" s="533"/>
      <c r="N2" s="533"/>
      <c r="O2" s="533"/>
      <c r="P2" s="533"/>
      <c r="Q2" s="601">
        <f>SUM(E2:G5)</f>
        <v>16</v>
      </c>
      <c r="R2" s="602"/>
      <c r="S2" s="602"/>
      <c r="T2" s="602"/>
      <c r="U2" s="603"/>
      <c r="V2" s="543">
        <f>SUM(H2,H3,H5)</f>
        <v>2364.5500000000002</v>
      </c>
      <c r="W2" s="544"/>
      <c r="X2" s="544"/>
      <c r="Y2" s="544"/>
      <c r="Z2" s="545"/>
      <c r="AA2" s="552">
        <f>V2/Q2</f>
        <v>147.78437500000001</v>
      </c>
      <c r="AB2" s="553"/>
      <c r="AC2" s="553"/>
      <c r="AD2" s="554"/>
    </row>
    <row r="3" spans="1:30" ht="20.100000000000001" customHeight="1" x14ac:dyDescent="0.4">
      <c r="A3" s="449"/>
      <c r="B3" s="471" t="s">
        <v>58</v>
      </c>
      <c r="C3" s="471"/>
      <c r="D3" s="530"/>
      <c r="E3" s="530">
        <f>MON!O31</f>
        <v>2</v>
      </c>
      <c r="F3" s="530"/>
      <c r="G3" s="530"/>
      <c r="H3" s="532">
        <f>MON!S32</f>
        <v>459.55</v>
      </c>
      <c r="I3" s="532"/>
      <c r="J3" s="532"/>
      <c r="K3" s="532"/>
      <c r="L3" s="533">
        <f>MON!O32</f>
        <v>0.21190602448527884</v>
      </c>
      <c r="M3" s="533"/>
      <c r="N3" s="533"/>
      <c r="O3" s="533"/>
      <c r="P3" s="533"/>
      <c r="Q3" s="604"/>
      <c r="R3" s="605"/>
      <c r="S3" s="605"/>
      <c r="T3" s="605"/>
      <c r="U3" s="606"/>
      <c r="V3" s="546"/>
      <c r="W3" s="547"/>
      <c r="X3" s="547"/>
      <c r="Y3" s="547"/>
      <c r="Z3" s="548"/>
      <c r="AA3" s="555"/>
      <c r="AB3" s="556"/>
      <c r="AC3" s="556"/>
      <c r="AD3" s="557"/>
    </row>
    <row r="4" spans="1:30" ht="20.100000000000001" customHeight="1" x14ac:dyDescent="0.4">
      <c r="A4" s="449"/>
      <c r="B4" s="471" t="s">
        <v>45</v>
      </c>
      <c r="C4" s="471"/>
      <c r="D4" s="530"/>
      <c r="E4" s="530">
        <f>MON!P31</f>
        <v>5</v>
      </c>
      <c r="F4" s="530"/>
      <c r="G4" s="530"/>
      <c r="H4" s="532">
        <f>MON!K31</f>
        <v>454.1</v>
      </c>
      <c r="I4" s="532"/>
      <c r="J4" s="532"/>
      <c r="K4" s="532"/>
      <c r="L4" s="533">
        <f>MON!P32</f>
        <v>0.20939294030848685</v>
      </c>
      <c r="M4" s="533"/>
      <c r="N4" s="533"/>
      <c r="O4" s="533"/>
      <c r="P4" s="533"/>
      <c r="Q4" s="604"/>
      <c r="R4" s="605"/>
      <c r="S4" s="605"/>
      <c r="T4" s="605"/>
      <c r="U4" s="606"/>
      <c r="V4" s="546"/>
      <c r="W4" s="547"/>
      <c r="X4" s="547"/>
      <c r="Y4" s="547"/>
      <c r="Z4" s="548"/>
      <c r="AA4" s="555"/>
      <c r="AB4" s="556"/>
      <c r="AC4" s="556"/>
      <c r="AD4" s="557"/>
    </row>
    <row r="5" spans="1:30" ht="20.100000000000001" customHeight="1" x14ac:dyDescent="0.4">
      <c r="A5" s="449"/>
      <c r="B5" s="469" t="s">
        <v>65</v>
      </c>
      <c r="C5" s="470"/>
      <c r="D5" s="471"/>
      <c r="E5" s="469">
        <f>MON!Q31</f>
        <v>2</v>
      </c>
      <c r="F5" s="470"/>
      <c r="G5" s="471"/>
      <c r="H5" s="589">
        <f>MON!J31</f>
        <v>165</v>
      </c>
      <c r="I5" s="590"/>
      <c r="J5" s="590"/>
      <c r="K5" s="591"/>
      <c r="L5" s="592">
        <f>MON!Q32</f>
        <v>7.6084199847831602E-2</v>
      </c>
      <c r="M5" s="593"/>
      <c r="N5" s="593"/>
      <c r="O5" s="593"/>
      <c r="P5" s="594"/>
      <c r="Q5" s="607"/>
      <c r="R5" s="608"/>
      <c r="S5" s="608"/>
      <c r="T5" s="608"/>
      <c r="U5" s="609"/>
      <c r="V5" s="549"/>
      <c r="W5" s="550"/>
      <c r="X5" s="550"/>
      <c r="Y5" s="550"/>
      <c r="Z5" s="551"/>
      <c r="AA5" s="558"/>
      <c r="AB5" s="559"/>
      <c r="AC5" s="559"/>
      <c r="AD5" s="560"/>
    </row>
    <row r="6" spans="1:30" ht="20.100000000000001" customHeight="1" x14ac:dyDescent="0.4">
      <c r="A6" s="450"/>
      <c r="B6" s="469" t="s">
        <v>94</v>
      </c>
      <c r="C6" s="470"/>
      <c r="D6" s="471"/>
      <c r="E6" s="469">
        <f>MON!U16</f>
        <v>46.75</v>
      </c>
      <c r="F6" s="470"/>
      <c r="G6" s="471"/>
      <c r="H6" s="589" t="s">
        <v>95</v>
      </c>
      <c r="I6" s="590"/>
      <c r="J6" s="590"/>
      <c r="K6" s="591"/>
      <c r="L6" s="649">
        <f>MON!T2</f>
        <v>6</v>
      </c>
      <c r="M6" s="650"/>
      <c r="N6" s="650"/>
      <c r="O6" s="650"/>
      <c r="P6" s="651"/>
      <c r="Q6" s="652"/>
      <c r="R6" s="653"/>
      <c r="S6" s="653"/>
      <c r="T6" s="653"/>
      <c r="U6" s="654"/>
      <c r="V6" s="419"/>
      <c r="W6" s="420"/>
      <c r="X6" s="420"/>
      <c r="Y6" s="420"/>
      <c r="Z6" s="421"/>
      <c r="AA6" s="422"/>
      <c r="AB6" s="423"/>
      <c r="AC6" s="423"/>
      <c r="AD6" s="424"/>
    </row>
    <row r="7" spans="1:30" ht="20.100000000000001" customHeight="1" x14ac:dyDescent="0.4">
      <c r="A7" s="451" t="s">
        <v>67</v>
      </c>
      <c r="B7" s="427" t="s">
        <v>57</v>
      </c>
      <c r="C7" s="427"/>
      <c r="D7" s="443"/>
      <c r="E7" s="443">
        <f>TUE!N31</f>
        <v>7</v>
      </c>
      <c r="F7" s="443"/>
      <c r="G7" s="443"/>
      <c r="H7" s="444">
        <f>TUE!S31</f>
        <v>590</v>
      </c>
      <c r="I7" s="444"/>
      <c r="J7" s="444"/>
      <c r="K7" s="444"/>
      <c r="L7" s="445">
        <f>TUE!N32</f>
        <v>0.84285714285714286</v>
      </c>
      <c r="M7" s="446"/>
      <c r="N7" s="446"/>
      <c r="O7" s="446"/>
      <c r="P7" s="447"/>
      <c r="Q7" s="631">
        <f>SUM(E7:G10)</f>
        <v>9</v>
      </c>
      <c r="R7" s="632"/>
      <c r="S7" s="632"/>
      <c r="T7" s="632"/>
      <c r="U7" s="633"/>
      <c r="V7" s="534">
        <f>SUM(H7,H8,H10)</f>
        <v>700</v>
      </c>
      <c r="W7" s="535"/>
      <c r="X7" s="535"/>
      <c r="Y7" s="535"/>
      <c r="Z7" s="536"/>
      <c r="AA7" s="561">
        <f>V7/Q7</f>
        <v>77.777777777777771</v>
      </c>
      <c r="AB7" s="562"/>
      <c r="AC7" s="562"/>
      <c r="AD7" s="563"/>
    </row>
    <row r="8" spans="1:30" ht="20.100000000000001" customHeight="1" x14ac:dyDescent="0.4">
      <c r="A8" s="452"/>
      <c r="B8" s="427" t="s">
        <v>58</v>
      </c>
      <c r="C8" s="427"/>
      <c r="D8" s="443"/>
      <c r="E8" s="443">
        <f>TUE!O31</f>
        <v>0</v>
      </c>
      <c r="F8" s="443"/>
      <c r="G8" s="443"/>
      <c r="H8" s="444">
        <f>TUE!S32</f>
        <v>0</v>
      </c>
      <c r="I8" s="444"/>
      <c r="J8" s="444"/>
      <c r="K8" s="444"/>
      <c r="L8" s="445">
        <f>TUE!O32</f>
        <v>0</v>
      </c>
      <c r="M8" s="446"/>
      <c r="N8" s="446"/>
      <c r="O8" s="446"/>
      <c r="P8" s="447"/>
      <c r="Q8" s="634"/>
      <c r="R8" s="635"/>
      <c r="S8" s="635"/>
      <c r="T8" s="635"/>
      <c r="U8" s="636"/>
      <c r="V8" s="537"/>
      <c r="W8" s="538"/>
      <c r="X8" s="538"/>
      <c r="Y8" s="538"/>
      <c r="Z8" s="539"/>
      <c r="AA8" s="564"/>
      <c r="AB8" s="565"/>
      <c r="AC8" s="565"/>
      <c r="AD8" s="566"/>
    </row>
    <row r="9" spans="1:30" ht="20.100000000000001" customHeight="1" x14ac:dyDescent="0.4">
      <c r="A9" s="452"/>
      <c r="B9" s="427" t="s">
        <v>45</v>
      </c>
      <c r="C9" s="427"/>
      <c r="D9" s="443"/>
      <c r="E9" s="443">
        <f>TUE!P31</f>
        <v>0</v>
      </c>
      <c r="F9" s="443"/>
      <c r="G9" s="443"/>
      <c r="H9" s="444">
        <f>TUE!K31</f>
        <v>0</v>
      </c>
      <c r="I9" s="444"/>
      <c r="J9" s="444"/>
      <c r="K9" s="444"/>
      <c r="L9" s="445">
        <f>TUE!P32</f>
        <v>0</v>
      </c>
      <c r="M9" s="446"/>
      <c r="N9" s="446"/>
      <c r="O9" s="446"/>
      <c r="P9" s="447"/>
      <c r="Q9" s="634"/>
      <c r="R9" s="635"/>
      <c r="S9" s="635"/>
      <c r="T9" s="635"/>
      <c r="U9" s="636"/>
      <c r="V9" s="537"/>
      <c r="W9" s="538"/>
      <c r="X9" s="538"/>
      <c r="Y9" s="538"/>
      <c r="Z9" s="539"/>
      <c r="AA9" s="564"/>
      <c r="AB9" s="565"/>
      <c r="AC9" s="565"/>
      <c r="AD9" s="566"/>
    </row>
    <row r="10" spans="1:30" ht="20.100000000000001" customHeight="1" x14ac:dyDescent="0.4">
      <c r="A10" s="452"/>
      <c r="B10" s="425" t="s">
        <v>65</v>
      </c>
      <c r="C10" s="426"/>
      <c r="D10" s="427"/>
      <c r="E10" s="425">
        <f>TUE!Q31</f>
        <v>2</v>
      </c>
      <c r="F10" s="426"/>
      <c r="G10" s="427"/>
      <c r="H10" s="428">
        <f>TUE!J31</f>
        <v>110</v>
      </c>
      <c r="I10" s="429"/>
      <c r="J10" s="429"/>
      <c r="K10" s="430"/>
      <c r="L10" s="445">
        <f>TUE!Q32</f>
        <v>0.15714285714285714</v>
      </c>
      <c r="M10" s="446"/>
      <c r="N10" s="446"/>
      <c r="O10" s="446"/>
      <c r="P10" s="447"/>
      <c r="Q10" s="637"/>
      <c r="R10" s="638"/>
      <c r="S10" s="638"/>
      <c r="T10" s="638"/>
      <c r="U10" s="639"/>
      <c r="V10" s="540"/>
      <c r="W10" s="541"/>
      <c r="X10" s="541"/>
      <c r="Y10" s="541"/>
      <c r="Z10" s="542"/>
      <c r="AA10" s="567"/>
      <c r="AB10" s="568"/>
      <c r="AC10" s="568"/>
      <c r="AD10" s="569"/>
    </row>
    <row r="11" spans="1:30" ht="20.100000000000001" customHeight="1" x14ac:dyDescent="0.4">
      <c r="A11" s="453"/>
      <c r="B11" s="425" t="s">
        <v>94</v>
      </c>
      <c r="C11" s="426"/>
      <c r="D11" s="427"/>
      <c r="E11" s="425">
        <f>TUE!U16</f>
        <v>26.75</v>
      </c>
      <c r="F11" s="426"/>
      <c r="G11" s="427"/>
      <c r="H11" s="428" t="s">
        <v>95</v>
      </c>
      <c r="I11" s="429"/>
      <c r="J11" s="429"/>
      <c r="K11" s="430"/>
      <c r="L11" s="431">
        <f>TUE!T2</f>
        <v>5</v>
      </c>
      <c r="M11" s="432"/>
      <c r="N11" s="432"/>
      <c r="O11" s="432"/>
      <c r="P11" s="433"/>
      <c r="Q11" s="434"/>
      <c r="R11" s="435"/>
      <c r="S11" s="435"/>
      <c r="T11" s="435"/>
      <c r="U11" s="436"/>
      <c r="V11" s="437"/>
      <c r="W11" s="438"/>
      <c r="X11" s="438"/>
      <c r="Y11" s="438"/>
      <c r="Z11" s="439"/>
      <c r="AA11" s="440"/>
      <c r="AB11" s="441"/>
      <c r="AC11" s="441"/>
      <c r="AD11" s="442"/>
    </row>
    <row r="12" spans="1:30" ht="20.100000000000001" customHeight="1" x14ac:dyDescent="0.4">
      <c r="A12" s="454" t="s">
        <v>68</v>
      </c>
      <c r="B12" s="474" t="s">
        <v>57</v>
      </c>
      <c r="C12" s="474"/>
      <c r="D12" s="352"/>
      <c r="E12" s="352">
        <f>WED!N31</f>
        <v>5</v>
      </c>
      <c r="F12" s="352"/>
      <c r="G12" s="352"/>
      <c r="H12" s="595">
        <f>WED!S31</f>
        <v>1090</v>
      </c>
      <c r="I12" s="596"/>
      <c r="J12" s="596"/>
      <c r="K12" s="597"/>
      <c r="L12" s="598">
        <f>WED!N32</f>
        <v>0.43239383541265836</v>
      </c>
      <c r="M12" s="599"/>
      <c r="N12" s="599"/>
      <c r="O12" s="599"/>
      <c r="P12" s="600"/>
      <c r="Q12" s="610">
        <f>SUM(E12:G15)</f>
        <v>16</v>
      </c>
      <c r="R12" s="611"/>
      <c r="S12" s="611"/>
      <c r="T12" s="611"/>
      <c r="U12" s="612"/>
      <c r="V12" s="391">
        <f>SUM(H12,H13,H15)</f>
        <v>2283.5500000000002</v>
      </c>
      <c r="W12" s="392"/>
      <c r="X12" s="392"/>
      <c r="Y12" s="392"/>
      <c r="Z12" s="393"/>
      <c r="AA12" s="382">
        <f>V12/Q12</f>
        <v>142.72187500000001</v>
      </c>
      <c r="AB12" s="383"/>
      <c r="AC12" s="383"/>
      <c r="AD12" s="384"/>
    </row>
    <row r="13" spans="1:30" ht="20.100000000000001" customHeight="1" x14ac:dyDescent="0.4">
      <c r="A13" s="455"/>
      <c r="B13" s="474" t="s">
        <v>58</v>
      </c>
      <c r="C13" s="474"/>
      <c r="D13" s="352"/>
      <c r="E13" s="352">
        <f>WED!O31</f>
        <v>8</v>
      </c>
      <c r="F13" s="352"/>
      <c r="G13" s="352"/>
      <c r="H13" s="595">
        <f>WED!S32</f>
        <v>1193.55</v>
      </c>
      <c r="I13" s="596"/>
      <c r="J13" s="596"/>
      <c r="K13" s="597"/>
      <c r="L13" s="598">
        <f>WED!O32</f>
        <v>0.47347124977686089</v>
      </c>
      <c r="M13" s="599"/>
      <c r="N13" s="599"/>
      <c r="O13" s="599"/>
      <c r="P13" s="600"/>
      <c r="Q13" s="613"/>
      <c r="R13" s="614"/>
      <c r="S13" s="614"/>
      <c r="T13" s="614"/>
      <c r="U13" s="615"/>
      <c r="V13" s="394"/>
      <c r="W13" s="395"/>
      <c r="X13" s="395"/>
      <c r="Y13" s="395"/>
      <c r="Z13" s="396"/>
      <c r="AA13" s="385"/>
      <c r="AB13" s="386"/>
      <c r="AC13" s="386"/>
      <c r="AD13" s="387"/>
    </row>
    <row r="14" spans="1:30" ht="20.100000000000001" customHeight="1" x14ac:dyDescent="0.4">
      <c r="A14" s="455"/>
      <c r="B14" s="474" t="s">
        <v>45</v>
      </c>
      <c r="C14" s="474"/>
      <c r="D14" s="352"/>
      <c r="E14" s="352">
        <f>WED!P31</f>
        <v>3</v>
      </c>
      <c r="F14" s="352"/>
      <c r="G14" s="352"/>
      <c r="H14" s="595">
        <f>WED!K31</f>
        <v>237.29999999999998</v>
      </c>
      <c r="I14" s="596"/>
      <c r="J14" s="596"/>
      <c r="K14" s="597"/>
      <c r="L14" s="598">
        <f>WED!P32</f>
        <v>9.4134914810480572E-2</v>
      </c>
      <c r="M14" s="599"/>
      <c r="N14" s="599"/>
      <c r="O14" s="599"/>
      <c r="P14" s="600"/>
      <c r="Q14" s="613"/>
      <c r="R14" s="614"/>
      <c r="S14" s="614"/>
      <c r="T14" s="614"/>
      <c r="U14" s="615"/>
      <c r="V14" s="394"/>
      <c r="W14" s="395"/>
      <c r="X14" s="395"/>
      <c r="Y14" s="395"/>
      <c r="Z14" s="396"/>
      <c r="AA14" s="385"/>
      <c r="AB14" s="386"/>
      <c r="AC14" s="386"/>
      <c r="AD14" s="387"/>
    </row>
    <row r="15" spans="1:30" ht="20.100000000000001" customHeight="1" x14ac:dyDescent="0.4">
      <c r="A15" s="455"/>
      <c r="B15" s="472" t="s">
        <v>65</v>
      </c>
      <c r="C15" s="473"/>
      <c r="D15" s="474"/>
      <c r="E15" s="472">
        <f>WED!Q31</f>
        <v>0</v>
      </c>
      <c r="F15" s="473"/>
      <c r="G15" s="474"/>
      <c r="H15" s="595">
        <f>WED!J31</f>
        <v>0</v>
      </c>
      <c r="I15" s="596"/>
      <c r="J15" s="596"/>
      <c r="K15" s="597"/>
      <c r="L15" s="598">
        <f>WED!Q32</f>
        <v>0</v>
      </c>
      <c r="M15" s="599"/>
      <c r="N15" s="599"/>
      <c r="O15" s="599"/>
      <c r="P15" s="600"/>
      <c r="Q15" s="616"/>
      <c r="R15" s="617"/>
      <c r="S15" s="617"/>
      <c r="T15" s="617"/>
      <c r="U15" s="618"/>
      <c r="V15" s="397"/>
      <c r="W15" s="398"/>
      <c r="X15" s="398"/>
      <c r="Y15" s="398"/>
      <c r="Z15" s="399"/>
      <c r="AA15" s="388"/>
      <c r="AB15" s="389"/>
      <c r="AC15" s="389"/>
      <c r="AD15" s="390"/>
    </row>
    <row r="16" spans="1:30" ht="20.100000000000001" customHeight="1" x14ac:dyDescent="0.4">
      <c r="A16" s="456"/>
      <c r="B16" s="472" t="s">
        <v>94</v>
      </c>
      <c r="C16" s="473"/>
      <c r="D16" s="474"/>
      <c r="E16" s="472">
        <f>WED!U16</f>
        <v>39.25</v>
      </c>
      <c r="F16" s="473"/>
      <c r="G16" s="474"/>
      <c r="H16" s="595" t="s">
        <v>95</v>
      </c>
      <c r="I16" s="596"/>
      <c r="J16" s="596"/>
      <c r="K16" s="597"/>
      <c r="L16" s="655">
        <f>WED!T2</f>
        <v>5</v>
      </c>
      <c r="M16" s="656"/>
      <c r="N16" s="656"/>
      <c r="O16" s="656"/>
      <c r="P16" s="657"/>
      <c r="Q16" s="234"/>
      <c r="R16" s="235"/>
      <c r="S16" s="235"/>
      <c r="T16" s="235"/>
      <c r="U16" s="236"/>
      <c r="V16" s="225"/>
      <c r="W16" s="226"/>
      <c r="X16" s="226"/>
      <c r="Y16" s="226"/>
      <c r="Z16" s="227"/>
      <c r="AA16" s="222"/>
      <c r="AB16" s="223"/>
      <c r="AC16" s="223"/>
      <c r="AD16" s="224"/>
    </row>
    <row r="17" spans="1:30" ht="20.100000000000001" customHeight="1" x14ac:dyDescent="0.4">
      <c r="A17" s="457" t="s">
        <v>69</v>
      </c>
      <c r="B17" s="477" t="s">
        <v>57</v>
      </c>
      <c r="C17" s="477"/>
      <c r="D17" s="404"/>
      <c r="E17" s="404">
        <f>THU!N31</f>
        <v>4</v>
      </c>
      <c r="F17" s="404"/>
      <c r="G17" s="404"/>
      <c r="H17" s="403">
        <f>THU!S31</f>
        <v>415</v>
      </c>
      <c r="I17" s="403"/>
      <c r="J17" s="403"/>
      <c r="K17" s="403"/>
      <c r="L17" s="413">
        <f>THU!N32</f>
        <v>0.16315458405409655</v>
      </c>
      <c r="M17" s="413"/>
      <c r="N17" s="413"/>
      <c r="O17" s="413"/>
      <c r="P17" s="413"/>
      <c r="Q17" s="640">
        <f>SUM(E17:G20)</f>
        <v>27</v>
      </c>
      <c r="R17" s="641"/>
      <c r="S17" s="641"/>
      <c r="T17" s="641"/>
      <c r="U17" s="642"/>
      <c r="V17" s="580">
        <f>SUM(H17,H18,H20)</f>
        <v>2827.3</v>
      </c>
      <c r="W17" s="581"/>
      <c r="X17" s="581"/>
      <c r="Y17" s="581"/>
      <c r="Z17" s="582"/>
      <c r="AA17" s="571">
        <f>V17/Q17</f>
        <v>104.71481481481482</v>
      </c>
      <c r="AB17" s="572"/>
      <c r="AC17" s="572"/>
      <c r="AD17" s="573"/>
    </row>
    <row r="18" spans="1:30" ht="20.100000000000001" customHeight="1" x14ac:dyDescent="0.4">
      <c r="A18" s="458"/>
      <c r="B18" s="477" t="s">
        <v>58</v>
      </c>
      <c r="C18" s="477"/>
      <c r="D18" s="404"/>
      <c r="E18" s="404">
        <f>THU!O31</f>
        <v>13</v>
      </c>
      <c r="F18" s="404"/>
      <c r="G18" s="404"/>
      <c r="H18" s="403">
        <f>THU!S32</f>
        <v>2137.3000000000002</v>
      </c>
      <c r="I18" s="403"/>
      <c r="J18" s="403"/>
      <c r="K18" s="403"/>
      <c r="L18" s="413">
        <f>THU!O32</f>
        <v>0.52575090423022486</v>
      </c>
      <c r="M18" s="413"/>
      <c r="N18" s="413"/>
      <c r="O18" s="413"/>
      <c r="P18" s="413"/>
      <c r="Q18" s="643"/>
      <c r="R18" s="644"/>
      <c r="S18" s="644"/>
      <c r="T18" s="644"/>
      <c r="U18" s="645"/>
      <c r="V18" s="583"/>
      <c r="W18" s="584"/>
      <c r="X18" s="584"/>
      <c r="Y18" s="584"/>
      <c r="Z18" s="585"/>
      <c r="AA18" s="574"/>
      <c r="AB18" s="575"/>
      <c r="AC18" s="575"/>
      <c r="AD18" s="576"/>
    </row>
    <row r="19" spans="1:30" ht="20.100000000000001" customHeight="1" x14ac:dyDescent="0.4">
      <c r="A19" s="458"/>
      <c r="B19" s="477" t="s">
        <v>45</v>
      </c>
      <c r="C19" s="477"/>
      <c r="D19" s="404"/>
      <c r="E19" s="404">
        <f>THU!P31</f>
        <v>7</v>
      </c>
      <c r="F19" s="404"/>
      <c r="G19" s="404"/>
      <c r="H19" s="403">
        <f>THU!K31</f>
        <v>516.30000000000007</v>
      </c>
      <c r="I19" s="403"/>
      <c r="J19" s="403"/>
      <c r="K19" s="403"/>
      <c r="L19" s="413">
        <f>THU!P32</f>
        <v>0.20298002830633752</v>
      </c>
      <c r="M19" s="413"/>
      <c r="N19" s="413"/>
      <c r="O19" s="413"/>
      <c r="P19" s="413"/>
      <c r="Q19" s="643"/>
      <c r="R19" s="644"/>
      <c r="S19" s="644"/>
      <c r="T19" s="644"/>
      <c r="U19" s="645"/>
      <c r="V19" s="583"/>
      <c r="W19" s="584"/>
      <c r="X19" s="584"/>
      <c r="Y19" s="584"/>
      <c r="Z19" s="585"/>
      <c r="AA19" s="574"/>
      <c r="AB19" s="575"/>
      <c r="AC19" s="575"/>
      <c r="AD19" s="576"/>
    </row>
    <row r="20" spans="1:30" ht="20.100000000000001" customHeight="1" x14ac:dyDescent="0.4">
      <c r="A20" s="458"/>
      <c r="B20" s="475" t="s">
        <v>65</v>
      </c>
      <c r="C20" s="476"/>
      <c r="D20" s="477"/>
      <c r="E20" s="475">
        <f>THU!Q31</f>
        <v>3</v>
      </c>
      <c r="F20" s="476"/>
      <c r="G20" s="477"/>
      <c r="H20" s="658">
        <f>THU!J31</f>
        <v>275</v>
      </c>
      <c r="I20" s="659"/>
      <c r="J20" s="659"/>
      <c r="K20" s="660"/>
      <c r="L20" s="670">
        <f>THU!Q32</f>
        <v>0.1081144834093411</v>
      </c>
      <c r="M20" s="671"/>
      <c r="N20" s="671"/>
      <c r="O20" s="671"/>
      <c r="P20" s="672"/>
      <c r="Q20" s="646"/>
      <c r="R20" s="647"/>
      <c r="S20" s="647"/>
      <c r="T20" s="647"/>
      <c r="U20" s="648"/>
      <c r="V20" s="586"/>
      <c r="W20" s="587"/>
      <c r="X20" s="587"/>
      <c r="Y20" s="587"/>
      <c r="Z20" s="588"/>
      <c r="AA20" s="577"/>
      <c r="AB20" s="578"/>
      <c r="AC20" s="578"/>
      <c r="AD20" s="579"/>
    </row>
    <row r="21" spans="1:30" ht="20.100000000000001" customHeight="1" x14ac:dyDescent="0.4">
      <c r="A21" s="459"/>
      <c r="B21" s="475" t="s">
        <v>94</v>
      </c>
      <c r="C21" s="476"/>
      <c r="D21" s="477"/>
      <c r="E21" s="475">
        <f>THU!U16</f>
        <v>44.5</v>
      </c>
      <c r="F21" s="476"/>
      <c r="G21" s="477"/>
      <c r="H21" s="658" t="s">
        <v>95</v>
      </c>
      <c r="I21" s="659"/>
      <c r="J21" s="659"/>
      <c r="K21" s="660"/>
      <c r="L21" s="677">
        <f>THU!T2</f>
        <v>5</v>
      </c>
      <c r="M21" s="678"/>
      <c r="N21" s="678"/>
      <c r="O21" s="678"/>
      <c r="P21" s="679"/>
      <c r="Q21" s="240"/>
      <c r="R21" s="241"/>
      <c r="S21" s="241"/>
      <c r="T21" s="241"/>
      <c r="U21" s="242"/>
      <c r="V21" s="231"/>
      <c r="W21" s="232"/>
      <c r="X21" s="232"/>
      <c r="Y21" s="232"/>
      <c r="Z21" s="233"/>
      <c r="AA21" s="228"/>
      <c r="AB21" s="229"/>
      <c r="AC21" s="229"/>
      <c r="AD21" s="230"/>
    </row>
    <row r="22" spans="1:30" ht="20.100000000000001" customHeight="1" x14ac:dyDescent="0.4">
      <c r="A22" s="460" t="s">
        <v>93</v>
      </c>
      <c r="B22" s="480" t="s">
        <v>57</v>
      </c>
      <c r="C22" s="480"/>
      <c r="D22" s="485"/>
      <c r="E22" s="485">
        <f>FRI!N31</f>
        <v>8</v>
      </c>
      <c r="F22" s="485"/>
      <c r="G22" s="485"/>
      <c r="H22" s="408">
        <f>FRI!S31</f>
        <v>880</v>
      </c>
      <c r="I22" s="408"/>
      <c r="J22" s="408"/>
      <c r="K22" s="408"/>
      <c r="L22" s="409">
        <f>FRI!N32</f>
        <v>0.55698317657632568</v>
      </c>
      <c r="M22" s="409"/>
      <c r="N22" s="409"/>
      <c r="O22" s="409"/>
      <c r="P22" s="409"/>
      <c r="Q22" s="716">
        <f>SUM(E22:G25)</f>
        <v>13</v>
      </c>
      <c r="R22" s="717"/>
      <c r="S22" s="717"/>
      <c r="T22" s="717"/>
      <c r="U22" s="718"/>
      <c r="V22" s="661">
        <f>SUM(H22,H23,H25)</f>
        <v>1338.45</v>
      </c>
      <c r="W22" s="662"/>
      <c r="X22" s="662"/>
      <c r="Y22" s="662"/>
      <c r="Z22" s="663"/>
      <c r="AA22" s="683">
        <f>V22/Q22</f>
        <v>102.95769230769231</v>
      </c>
      <c r="AB22" s="684"/>
      <c r="AC22" s="684"/>
      <c r="AD22" s="685"/>
    </row>
    <row r="23" spans="1:30" ht="20.100000000000001" customHeight="1" x14ac:dyDescent="0.4">
      <c r="A23" s="461"/>
      <c r="B23" s="480" t="s">
        <v>58</v>
      </c>
      <c r="C23" s="480"/>
      <c r="D23" s="485"/>
      <c r="E23" s="485">
        <f>FRI!O31</f>
        <v>2</v>
      </c>
      <c r="F23" s="485"/>
      <c r="G23" s="485"/>
      <c r="H23" s="408">
        <f>FRI!S32</f>
        <v>348.45</v>
      </c>
      <c r="I23" s="408"/>
      <c r="J23" s="408"/>
      <c r="K23" s="408"/>
      <c r="L23" s="409">
        <f>FRI!O32</f>
        <v>0.22054634986138713</v>
      </c>
      <c r="M23" s="409"/>
      <c r="N23" s="409"/>
      <c r="O23" s="409"/>
      <c r="P23" s="409"/>
      <c r="Q23" s="719"/>
      <c r="R23" s="720"/>
      <c r="S23" s="720"/>
      <c r="T23" s="720"/>
      <c r="U23" s="721"/>
      <c r="V23" s="664"/>
      <c r="W23" s="665"/>
      <c r="X23" s="665"/>
      <c r="Y23" s="665"/>
      <c r="Z23" s="666"/>
      <c r="AA23" s="686"/>
      <c r="AB23" s="687"/>
      <c r="AC23" s="687"/>
      <c r="AD23" s="688"/>
    </row>
    <row r="24" spans="1:30" ht="20.100000000000001" customHeight="1" x14ac:dyDescent="0.4">
      <c r="A24" s="461"/>
      <c r="B24" s="480" t="s">
        <v>45</v>
      </c>
      <c r="C24" s="480"/>
      <c r="D24" s="485"/>
      <c r="E24" s="485">
        <f>FRI!P31</f>
        <v>2</v>
      </c>
      <c r="F24" s="485"/>
      <c r="G24" s="485"/>
      <c r="H24" s="408">
        <f>FRI!K31</f>
        <v>241.49</v>
      </c>
      <c r="I24" s="408"/>
      <c r="J24" s="408"/>
      <c r="K24" s="408"/>
      <c r="L24" s="409">
        <f>FRI!P32</f>
        <v>0.15284757649024647</v>
      </c>
      <c r="M24" s="409"/>
      <c r="N24" s="409"/>
      <c r="O24" s="409"/>
      <c r="P24" s="409"/>
      <c r="Q24" s="719"/>
      <c r="R24" s="720"/>
      <c r="S24" s="720"/>
      <c r="T24" s="720"/>
      <c r="U24" s="721"/>
      <c r="V24" s="664"/>
      <c r="W24" s="665"/>
      <c r="X24" s="665"/>
      <c r="Y24" s="665"/>
      <c r="Z24" s="666"/>
      <c r="AA24" s="686"/>
      <c r="AB24" s="687"/>
      <c r="AC24" s="687"/>
      <c r="AD24" s="688"/>
    </row>
    <row r="25" spans="1:30" ht="20.100000000000001" customHeight="1" x14ac:dyDescent="0.4">
      <c r="A25" s="461"/>
      <c r="B25" s="478" t="s">
        <v>65</v>
      </c>
      <c r="C25" s="479"/>
      <c r="D25" s="480"/>
      <c r="E25" s="478">
        <f>FRI!Q31</f>
        <v>1</v>
      </c>
      <c r="F25" s="479"/>
      <c r="G25" s="480"/>
      <c r="H25" s="710">
        <f>FRI!J31</f>
        <v>110</v>
      </c>
      <c r="I25" s="711"/>
      <c r="J25" s="711"/>
      <c r="K25" s="712"/>
      <c r="L25" s="713">
        <f>FRI!Q32</f>
        <v>6.962289707204071E-2</v>
      </c>
      <c r="M25" s="714"/>
      <c r="N25" s="714"/>
      <c r="O25" s="714"/>
      <c r="P25" s="715"/>
      <c r="Q25" s="722"/>
      <c r="R25" s="723"/>
      <c r="S25" s="723"/>
      <c r="T25" s="723"/>
      <c r="U25" s="724"/>
      <c r="V25" s="667"/>
      <c r="W25" s="668"/>
      <c r="X25" s="668"/>
      <c r="Y25" s="668"/>
      <c r="Z25" s="669"/>
      <c r="AA25" s="689"/>
      <c r="AB25" s="690"/>
      <c r="AC25" s="690"/>
      <c r="AD25" s="691"/>
    </row>
    <row r="26" spans="1:30" ht="20.100000000000001" customHeight="1" x14ac:dyDescent="0.4">
      <c r="A26" s="462"/>
      <c r="B26" s="478" t="s">
        <v>94</v>
      </c>
      <c r="C26" s="479"/>
      <c r="D26" s="480"/>
      <c r="E26" s="478">
        <f>FRI!U16</f>
        <v>37</v>
      </c>
      <c r="F26" s="479"/>
      <c r="G26" s="480"/>
      <c r="H26" s="710" t="s">
        <v>95</v>
      </c>
      <c r="I26" s="711"/>
      <c r="J26" s="711"/>
      <c r="K26" s="712"/>
      <c r="L26" s="680">
        <f>FRI!T2</f>
        <v>5</v>
      </c>
      <c r="M26" s="681"/>
      <c r="N26" s="681"/>
      <c r="O26" s="681"/>
      <c r="P26" s="682"/>
      <c r="Q26" s="243"/>
      <c r="R26" s="244"/>
      <c r="S26" s="244"/>
      <c r="T26" s="244"/>
      <c r="U26" s="245"/>
      <c r="V26" s="246"/>
      <c r="W26" s="247"/>
      <c r="X26" s="247"/>
      <c r="Y26" s="247"/>
      <c r="Z26" s="248"/>
      <c r="AA26" s="249"/>
      <c r="AB26" s="250"/>
      <c r="AC26" s="250"/>
      <c r="AD26" s="251"/>
    </row>
    <row r="27" spans="1:30" ht="20.100000000000001" customHeight="1" x14ac:dyDescent="0.4">
      <c r="A27" s="463" t="s">
        <v>70</v>
      </c>
      <c r="B27" s="418" t="s">
        <v>57</v>
      </c>
      <c r="C27" s="418"/>
      <c r="D27" s="415"/>
      <c r="E27" s="415">
        <f>SAT!N31</f>
        <v>17</v>
      </c>
      <c r="F27" s="415"/>
      <c r="G27" s="415"/>
      <c r="H27" s="570">
        <f>SAT!S31</f>
        <v>2300</v>
      </c>
      <c r="I27" s="570"/>
      <c r="J27" s="570"/>
      <c r="K27" s="570"/>
      <c r="L27" s="414">
        <f>SAT!N32</f>
        <v>0.50198839559293307</v>
      </c>
      <c r="M27" s="414"/>
      <c r="N27" s="414"/>
      <c r="O27" s="414"/>
      <c r="P27" s="414"/>
      <c r="Q27" s="619">
        <f>SUM(E27:G30)</f>
        <v>34</v>
      </c>
      <c r="R27" s="620"/>
      <c r="S27" s="620"/>
      <c r="T27" s="620"/>
      <c r="U27" s="621"/>
      <c r="V27" s="701">
        <f>SUM(H27,H28,H30)</f>
        <v>4088.95</v>
      </c>
      <c r="W27" s="702"/>
      <c r="X27" s="702"/>
      <c r="Y27" s="702"/>
      <c r="Z27" s="703"/>
      <c r="AA27" s="692">
        <f>V27/Q27</f>
        <v>120.26323529411764</v>
      </c>
      <c r="AB27" s="693"/>
      <c r="AC27" s="693"/>
      <c r="AD27" s="694"/>
    </row>
    <row r="28" spans="1:30" ht="20.100000000000001" customHeight="1" x14ac:dyDescent="0.4">
      <c r="A28" s="464"/>
      <c r="B28" s="418" t="s">
        <v>58</v>
      </c>
      <c r="C28" s="418"/>
      <c r="D28" s="415"/>
      <c r="E28" s="415">
        <f>SAT!O31</f>
        <v>14</v>
      </c>
      <c r="F28" s="415"/>
      <c r="G28" s="415"/>
      <c r="H28" s="570">
        <f>SAT!S32</f>
        <v>1733.95</v>
      </c>
      <c r="I28" s="570"/>
      <c r="J28" s="570"/>
      <c r="K28" s="570"/>
      <c r="L28" s="414">
        <f>SAT!O32</f>
        <v>0.45216767716278766</v>
      </c>
      <c r="M28" s="414"/>
      <c r="N28" s="414"/>
      <c r="O28" s="414"/>
      <c r="P28" s="414"/>
      <c r="Q28" s="622"/>
      <c r="R28" s="623"/>
      <c r="S28" s="623"/>
      <c r="T28" s="623"/>
      <c r="U28" s="624"/>
      <c r="V28" s="704"/>
      <c r="W28" s="705"/>
      <c r="X28" s="705"/>
      <c r="Y28" s="705"/>
      <c r="Z28" s="706"/>
      <c r="AA28" s="695"/>
      <c r="AB28" s="696"/>
      <c r="AC28" s="696"/>
      <c r="AD28" s="697"/>
    </row>
    <row r="29" spans="1:30" ht="20.100000000000001" customHeight="1" x14ac:dyDescent="0.4">
      <c r="A29" s="464"/>
      <c r="B29" s="418" t="s">
        <v>45</v>
      </c>
      <c r="C29" s="418"/>
      <c r="D29" s="415"/>
      <c r="E29" s="415">
        <f>SAT!P31</f>
        <v>2</v>
      </c>
      <c r="F29" s="415"/>
      <c r="G29" s="415"/>
      <c r="H29" s="570">
        <f>SAT!K31</f>
        <v>120.8</v>
      </c>
      <c r="I29" s="570"/>
      <c r="J29" s="570"/>
      <c r="K29" s="570"/>
      <c r="L29" s="414">
        <f>SAT!P32</f>
        <v>3.1501401655909769E-2</v>
      </c>
      <c r="M29" s="414"/>
      <c r="N29" s="414"/>
      <c r="O29" s="414"/>
      <c r="P29" s="414"/>
      <c r="Q29" s="622"/>
      <c r="R29" s="623"/>
      <c r="S29" s="623"/>
      <c r="T29" s="623"/>
      <c r="U29" s="624"/>
      <c r="V29" s="704"/>
      <c r="W29" s="705"/>
      <c r="X29" s="705"/>
      <c r="Y29" s="705"/>
      <c r="Z29" s="706"/>
      <c r="AA29" s="695"/>
      <c r="AB29" s="696"/>
      <c r="AC29" s="696"/>
      <c r="AD29" s="697"/>
    </row>
    <row r="30" spans="1:30" ht="20.100000000000001" customHeight="1" x14ac:dyDescent="0.4">
      <c r="A30" s="464"/>
      <c r="B30" s="416" t="s">
        <v>65</v>
      </c>
      <c r="C30" s="417"/>
      <c r="D30" s="418"/>
      <c r="E30" s="416">
        <f>SAT!Q31</f>
        <v>1</v>
      </c>
      <c r="F30" s="417"/>
      <c r="G30" s="418"/>
      <c r="H30" s="410">
        <f>SAT!J31</f>
        <v>55</v>
      </c>
      <c r="I30" s="411"/>
      <c r="J30" s="411"/>
      <c r="K30" s="412"/>
      <c r="L30" s="628">
        <f>SAT!Q32</f>
        <v>1.4342525588369516E-2</v>
      </c>
      <c r="M30" s="629"/>
      <c r="N30" s="629"/>
      <c r="O30" s="629"/>
      <c r="P30" s="630"/>
      <c r="Q30" s="625"/>
      <c r="R30" s="626"/>
      <c r="S30" s="626"/>
      <c r="T30" s="626"/>
      <c r="U30" s="627"/>
      <c r="V30" s="707"/>
      <c r="W30" s="708"/>
      <c r="X30" s="708"/>
      <c r="Y30" s="708"/>
      <c r="Z30" s="709"/>
      <c r="AA30" s="698"/>
      <c r="AB30" s="699"/>
      <c r="AC30" s="699"/>
      <c r="AD30" s="700"/>
    </row>
    <row r="31" spans="1:30" ht="20.100000000000001" customHeight="1" x14ac:dyDescent="0.4">
      <c r="A31" s="465"/>
      <c r="B31" s="416" t="s">
        <v>94</v>
      </c>
      <c r="C31" s="417"/>
      <c r="D31" s="418"/>
      <c r="E31" s="416">
        <f>SAT!U16</f>
        <v>60.5</v>
      </c>
      <c r="F31" s="417"/>
      <c r="G31" s="418"/>
      <c r="H31" s="410" t="s">
        <v>95</v>
      </c>
      <c r="I31" s="411"/>
      <c r="J31" s="411"/>
      <c r="K31" s="412"/>
      <c r="L31" s="400">
        <f>SAT!T2</f>
        <v>7</v>
      </c>
      <c r="M31" s="401"/>
      <c r="N31" s="401"/>
      <c r="O31" s="401"/>
      <c r="P31" s="402"/>
      <c r="Q31" s="237"/>
      <c r="R31" s="238"/>
      <c r="S31" s="238"/>
      <c r="T31" s="238"/>
      <c r="U31" s="239"/>
      <c r="V31" s="255"/>
      <c r="W31" s="256"/>
      <c r="X31" s="256"/>
      <c r="Y31" s="256"/>
      <c r="Z31" s="257"/>
      <c r="AA31" s="252"/>
      <c r="AB31" s="253"/>
      <c r="AC31" s="253"/>
      <c r="AD31" s="254"/>
    </row>
    <row r="32" spans="1:30" ht="20.100000000000001" customHeight="1" x14ac:dyDescent="0.4">
      <c r="A32" s="466" t="s">
        <v>71</v>
      </c>
      <c r="B32" s="484" t="s">
        <v>57</v>
      </c>
      <c r="C32" s="405"/>
      <c r="D32" s="405"/>
      <c r="E32" s="405">
        <f>SUN!N31</f>
        <v>13</v>
      </c>
      <c r="F32" s="405"/>
      <c r="G32" s="405"/>
      <c r="H32" s="406">
        <f>SUN!S31</f>
        <v>1730</v>
      </c>
      <c r="I32" s="406"/>
      <c r="J32" s="406"/>
      <c r="K32" s="406"/>
      <c r="L32" s="407">
        <f>SUN!N32</f>
        <v>0.70684371807967317</v>
      </c>
      <c r="M32" s="407"/>
      <c r="N32" s="407"/>
      <c r="O32" s="407"/>
      <c r="P32" s="407"/>
      <c r="Q32" s="676">
        <f>SUM(E32:G35)</f>
        <v>22</v>
      </c>
      <c r="R32" s="676"/>
      <c r="S32" s="676"/>
      <c r="T32" s="676"/>
      <c r="U32" s="676"/>
      <c r="V32" s="734">
        <f>SUM(H32,H33,H35)</f>
        <v>2051.9</v>
      </c>
      <c r="W32" s="734"/>
      <c r="X32" s="734"/>
      <c r="Y32" s="734"/>
      <c r="Z32" s="734"/>
      <c r="AA32" s="748">
        <f>V32/Q32</f>
        <v>93.268181818181816</v>
      </c>
      <c r="AB32" s="749"/>
      <c r="AC32" s="749"/>
      <c r="AD32" s="749"/>
    </row>
    <row r="33" spans="1:30" ht="20.100000000000001" customHeight="1" x14ac:dyDescent="0.4">
      <c r="A33" s="467"/>
      <c r="B33" s="484" t="s">
        <v>58</v>
      </c>
      <c r="C33" s="405"/>
      <c r="D33" s="405"/>
      <c r="E33" s="405">
        <f>SUN!O31</f>
        <v>3</v>
      </c>
      <c r="F33" s="405"/>
      <c r="G33" s="405"/>
      <c r="H33" s="406">
        <f>SUN!S32</f>
        <v>266.89999999999998</v>
      </c>
      <c r="I33" s="406"/>
      <c r="J33" s="406"/>
      <c r="K33" s="406"/>
      <c r="L33" s="407">
        <f>SUN!O32</f>
        <v>0.10905005107252297</v>
      </c>
      <c r="M33" s="407"/>
      <c r="N33" s="407"/>
      <c r="O33" s="407"/>
      <c r="P33" s="407"/>
      <c r="Q33" s="676"/>
      <c r="R33" s="676"/>
      <c r="S33" s="676"/>
      <c r="T33" s="676"/>
      <c r="U33" s="676"/>
      <c r="V33" s="734"/>
      <c r="W33" s="734"/>
      <c r="X33" s="734"/>
      <c r="Y33" s="734"/>
      <c r="Z33" s="734"/>
      <c r="AA33" s="749"/>
      <c r="AB33" s="749"/>
      <c r="AC33" s="749"/>
      <c r="AD33" s="749"/>
    </row>
    <row r="34" spans="1:30" ht="20.100000000000001" customHeight="1" x14ac:dyDescent="0.4">
      <c r="A34" s="467"/>
      <c r="B34" s="484" t="s">
        <v>45</v>
      </c>
      <c r="C34" s="405"/>
      <c r="D34" s="405"/>
      <c r="E34" s="405">
        <f>SUN!P31</f>
        <v>5</v>
      </c>
      <c r="F34" s="405"/>
      <c r="G34" s="405"/>
      <c r="H34" s="406">
        <f>SUN!K31</f>
        <v>395.59999999999997</v>
      </c>
      <c r="I34" s="406"/>
      <c r="J34" s="406"/>
      <c r="K34" s="406"/>
      <c r="L34" s="407">
        <f>SUN!P32</f>
        <v>0.16163432073544431</v>
      </c>
      <c r="M34" s="407"/>
      <c r="N34" s="407"/>
      <c r="O34" s="407"/>
      <c r="P34" s="407"/>
      <c r="Q34" s="676"/>
      <c r="R34" s="676"/>
      <c r="S34" s="676"/>
      <c r="T34" s="676"/>
      <c r="U34" s="676"/>
      <c r="V34" s="734"/>
      <c r="W34" s="734"/>
      <c r="X34" s="734"/>
      <c r="Y34" s="734"/>
      <c r="Z34" s="734"/>
      <c r="AA34" s="749"/>
      <c r="AB34" s="749"/>
      <c r="AC34" s="749"/>
      <c r="AD34" s="749"/>
    </row>
    <row r="35" spans="1:30" ht="20.100000000000001" customHeight="1" x14ac:dyDescent="0.4">
      <c r="A35" s="467"/>
      <c r="B35" s="484" t="s">
        <v>65</v>
      </c>
      <c r="C35" s="405"/>
      <c r="D35" s="405"/>
      <c r="E35" s="405">
        <f>SUN!Q31</f>
        <v>1</v>
      </c>
      <c r="F35" s="405"/>
      <c r="G35" s="405"/>
      <c r="H35" s="406">
        <f>SUN!J31</f>
        <v>55</v>
      </c>
      <c r="I35" s="406"/>
      <c r="J35" s="406"/>
      <c r="K35" s="406"/>
      <c r="L35" s="407">
        <f>SUN!Q32</f>
        <v>2.247191011235955E-2</v>
      </c>
      <c r="M35" s="407"/>
      <c r="N35" s="407"/>
      <c r="O35" s="407"/>
      <c r="P35" s="407"/>
      <c r="Q35" s="676"/>
      <c r="R35" s="676"/>
      <c r="S35" s="676"/>
      <c r="T35" s="676"/>
      <c r="U35" s="676"/>
      <c r="V35" s="734"/>
      <c r="W35" s="734"/>
      <c r="X35" s="734"/>
      <c r="Y35" s="734"/>
      <c r="Z35" s="734"/>
      <c r="AA35" s="749"/>
      <c r="AB35" s="749"/>
      <c r="AC35" s="749"/>
      <c r="AD35" s="749"/>
    </row>
    <row r="36" spans="1:30" ht="20.100000000000001" customHeight="1" thickBot="1" x14ac:dyDescent="0.45">
      <c r="A36" s="468"/>
      <c r="B36" s="481" t="s">
        <v>94</v>
      </c>
      <c r="C36" s="482"/>
      <c r="D36" s="483"/>
      <c r="E36" s="481">
        <f>SUN!U16</f>
        <v>56.000000000000007</v>
      </c>
      <c r="F36" s="482"/>
      <c r="G36" s="483"/>
      <c r="H36" s="481" t="s">
        <v>95</v>
      </c>
      <c r="I36" s="482"/>
      <c r="J36" s="482"/>
      <c r="K36" s="483"/>
      <c r="L36" s="750">
        <f>SUN!T2</f>
        <v>7</v>
      </c>
      <c r="M36" s="751"/>
      <c r="N36" s="751"/>
      <c r="O36" s="751"/>
      <c r="P36" s="752"/>
      <c r="Q36" s="673"/>
      <c r="R36" s="674"/>
      <c r="S36" s="674"/>
      <c r="T36" s="674"/>
      <c r="U36" s="675"/>
      <c r="V36" s="737"/>
      <c r="W36" s="738"/>
      <c r="X36" s="738"/>
      <c r="Y36" s="738"/>
      <c r="Z36" s="739"/>
      <c r="AA36" s="740"/>
      <c r="AB36" s="741"/>
      <c r="AC36" s="741"/>
      <c r="AD36" s="742"/>
    </row>
    <row r="37" spans="1:30" ht="16.5" customHeight="1" x14ac:dyDescent="0.4">
      <c r="A37" s="725" t="s">
        <v>72</v>
      </c>
      <c r="B37" s="726"/>
      <c r="C37" s="726"/>
      <c r="D37" s="726"/>
      <c r="E37" s="726" t="s">
        <v>73</v>
      </c>
      <c r="F37" s="726"/>
      <c r="G37" s="726"/>
      <c r="H37" s="726"/>
      <c r="I37" s="726"/>
      <c r="J37" s="726"/>
      <c r="K37" s="726" t="s">
        <v>74</v>
      </c>
      <c r="L37" s="726"/>
      <c r="M37" s="726"/>
      <c r="N37" s="726"/>
      <c r="O37" s="726" t="s">
        <v>65</v>
      </c>
      <c r="P37" s="726"/>
      <c r="Q37" s="726"/>
      <c r="R37" s="726"/>
      <c r="S37" s="726"/>
      <c r="T37" s="726" t="s">
        <v>75</v>
      </c>
      <c r="U37" s="726"/>
      <c r="V37" s="726"/>
      <c r="W37" s="726"/>
      <c r="X37" s="726"/>
      <c r="Y37" s="726" t="s">
        <v>76</v>
      </c>
      <c r="Z37" s="726"/>
      <c r="AA37" s="726"/>
      <c r="AB37" s="726"/>
      <c r="AC37" s="726"/>
      <c r="AD37" s="735"/>
    </row>
    <row r="38" spans="1:30" ht="16.5" customHeight="1" x14ac:dyDescent="0.4">
      <c r="A38" s="727"/>
      <c r="B38" s="728"/>
      <c r="C38" s="728"/>
      <c r="D38" s="728"/>
      <c r="E38" s="728"/>
      <c r="F38" s="728"/>
      <c r="G38" s="728"/>
      <c r="H38" s="728"/>
      <c r="I38" s="728"/>
      <c r="J38" s="728"/>
      <c r="K38" s="728"/>
      <c r="L38" s="728"/>
      <c r="M38" s="728"/>
      <c r="N38" s="728"/>
      <c r="O38" s="728"/>
      <c r="P38" s="728"/>
      <c r="Q38" s="728"/>
      <c r="R38" s="728"/>
      <c r="S38" s="728"/>
      <c r="T38" s="728"/>
      <c r="U38" s="728"/>
      <c r="V38" s="728"/>
      <c r="W38" s="728"/>
      <c r="X38" s="728"/>
      <c r="Y38" s="728"/>
      <c r="Z38" s="728"/>
      <c r="AA38" s="728"/>
      <c r="AB38" s="728"/>
      <c r="AC38" s="728"/>
      <c r="AD38" s="736"/>
    </row>
    <row r="39" spans="1:30" ht="16.5" customHeight="1" x14ac:dyDescent="0.4">
      <c r="A39" s="729">
        <f>SUM(Q2:U35)</f>
        <v>137</v>
      </c>
      <c r="B39" s="730"/>
      <c r="C39" s="730"/>
      <c r="D39" s="730"/>
      <c r="E39" s="733">
        <f>SUM(V2:Z35)</f>
        <v>15654.699999999999</v>
      </c>
      <c r="F39" s="730"/>
      <c r="G39" s="730"/>
      <c r="H39" s="730"/>
      <c r="I39" s="730"/>
      <c r="J39" s="730"/>
      <c r="K39" s="733">
        <f>E39/A39</f>
        <v>114.26788321167882</v>
      </c>
      <c r="L39" s="730"/>
      <c r="M39" s="730"/>
      <c r="N39" s="730"/>
      <c r="O39" s="730">
        <f>SUM(MON:SUN!Q31)</f>
        <v>10</v>
      </c>
      <c r="P39" s="730"/>
      <c r="Q39" s="730"/>
      <c r="R39" s="730"/>
      <c r="S39" s="730"/>
      <c r="T39" s="730">
        <f>SUM(MON:SUN!P31)</f>
        <v>24</v>
      </c>
      <c r="U39" s="730"/>
      <c r="V39" s="730"/>
      <c r="W39" s="730"/>
      <c r="X39" s="730"/>
      <c r="Y39" s="730">
        <f>SUM(MON:SUN!S19)</f>
        <v>3</v>
      </c>
      <c r="Z39" s="730"/>
      <c r="AA39" s="730"/>
      <c r="AB39" s="730"/>
      <c r="AC39" s="730"/>
      <c r="AD39" s="745"/>
    </row>
    <row r="40" spans="1:30" ht="16.5" customHeight="1" x14ac:dyDescent="0.4">
      <c r="A40" s="729"/>
      <c r="B40" s="730"/>
      <c r="C40" s="730"/>
      <c r="D40" s="730"/>
      <c r="E40" s="730"/>
      <c r="F40" s="730"/>
      <c r="G40" s="730"/>
      <c r="H40" s="730"/>
      <c r="I40" s="730"/>
      <c r="J40" s="730"/>
      <c r="K40" s="730"/>
      <c r="L40" s="730"/>
      <c r="M40" s="730"/>
      <c r="N40" s="730"/>
      <c r="O40" s="730"/>
      <c r="P40" s="730"/>
      <c r="Q40" s="730"/>
      <c r="R40" s="730"/>
      <c r="S40" s="730"/>
      <c r="T40" s="730"/>
      <c r="U40" s="730"/>
      <c r="V40" s="730"/>
      <c r="W40" s="730"/>
      <c r="X40" s="730"/>
      <c r="Y40" s="730"/>
      <c r="Z40" s="730"/>
      <c r="AA40" s="730"/>
      <c r="AB40" s="730"/>
      <c r="AC40" s="730"/>
      <c r="AD40" s="745"/>
    </row>
    <row r="41" spans="1:30" ht="16.5" customHeight="1" x14ac:dyDescent="0.4">
      <c r="A41" s="729"/>
      <c r="B41" s="730"/>
      <c r="C41" s="730"/>
      <c r="D41" s="730"/>
      <c r="E41" s="730"/>
      <c r="F41" s="730"/>
      <c r="G41" s="730"/>
      <c r="H41" s="730"/>
      <c r="I41" s="730"/>
      <c r="J41" s="730"/>
      <c r="K41" s="730"/>
      <c r="L41" s="730"/>
      <c r="M41" s="730"/>
      <c r="N41" s="730"/>
      <c r="O41" s="743">
        <f>SUM(MON:SUN!J31)</f>
        <v>770</v>
      </c>
      <c r="P41" s="743"/>
      <c r="Q41" s="743"/>
      <c r="R41" s="743"/>
      <c r="S41" s="743"/>
      <c r="T41" s="743">
        <f>SUM(MON:SUN!K31)</f>
        <v>1965.59</v>
      </c>
      <c r="U41" s="743"/>
      <c r="V41" s="743"/>
      <c r="W41" s="743"/>
      <c r="X41" s="743"/>
      <c r="Y41" s="743">
        <f>SUM(MON:SUN!T19)</f>
        <v>1825</v>
      </c>
      <c r="Z41" s="743"/>
      <c r="AA41" s="743"/>
      <c r="AB41" s="743"/>
      <c r="AC41" s="743"/>
      <c r="AD41" s="746"/>
    </row>
    <row r="42" spans="1:30" ht="16.5" customHeight="1" thickBot="1" x14ac:dyDescent="0.45">
      <c r="A42" s="731"/>
      <c r="B42" s="732"/>
      <c r="C42" s="732"/>
      <c r="D42" s="732"/>
      <c r="E42" s="732"/>
      <c r="F42" s="732"/>
      <c r="G42" s="732"/>
      <c r="H42" s="732"/>
      <c r="I42" s="732"/>
      <c r="J42" s="732"/>
      <c r="K42" s="732"/>
      <c r="L42" s="732"/>
      <c r="M42" s="732"/>
      <c r="N42" s="732"/>
      <c r="O42" s="744"/>
      <c r="P42" s="744"/>
      <c r="Q42" s="744"/>
      <c r="R42" s="744"/>
      <c r="S42" s="744"/>
      <c r="T42" s="744"/>
      <c r="U42" s="744"/>
      <c r="V42" s="744"/>
      <c r="W42" s="744"/>
      <c r="X42" s="744"/>
      <c r="Y42" s="744"/>
      <c r="Z42" s="744"/>
      <c r="AA42" s="744"/>
      <c r="AB42" s="744"/>
      <c r="AC42" s="744"/>
      <c r="AD42" s="747"/>
    </row>
    <row r="43" spans="1:30" ht="17.399999999999999" customHeight="1" x14ac:dyDescent="0.4">
      <c r="A43" s="504" t="s">
        <v>84</v>
      </c>
      <c r="B43" s="505"/>
      <c r="C43" s="505"/>
      <c r="D43" s="505"/>
      <c r="E43" s="506"/>
      <c r="F43" s="504" t="s">
        <v>85</v>
      </c>
      <c r="G43" s="505"/>
      <c r="H43" s="505"/>
      <c r="I43" s="505"/>
      <c r="J43" s="506"/>
      <c r="K43" s="504" t="s">
        <v>86</v>
      </c>
      <c r="L43" s="505"/>
      <c r="M43" s="505"/>
      <c r="N43" s="505"/>
      <c r="O43" s="506"/>
      <c r="P43" s="504" t="s">
        <v>87</v>
      </c>
      <c r="Q43" s="505"/>
      <c r="R43" s="505"/>
      <c r="S43" s="505"/>
      <c r="T43" s="506"/>
      <c r="U43" s="504" t="s">
        <v>90</v>
      </c>
      <c r="V43" s="505"/>
      <c r="W43" s="505"/>
      <c r="X43" s="505"/>
      <c r="Y43" s="506"/>
      <c r="Z43" s="510" t="s">
        <v>95</v>
      </c>
      <c r="AA43" s="511"/>
      <c r="AB43" s="511"/>
      <c r="AC43" s="511"/>
      <c r="AD43" s="512"/>
    </row>
    <row r="44" spans="1:30" ht="17.399999999999999" customHeight="1" x14ac:dyDescent="0.4">
      <c r="A44" s="507"/>
      <c r="B44" s="508"/>
      <c r="C44" s="508"/>
      <c r="D44" s="508"/>
      <c r="E44" s="509"/>
      <c r="F44" s="507"/>
      <c r="G44" s="508"/>
      <c r="H44" s="508"/>
      <c r="I44" s="508"/>
      <c r="J44" s="509"/>
      <c r="K44" s="507"/>
      <c r="L44" s="508"/>
      <c r="M44" s="508"/>
      <c r="N44" s="508"/>
      <c r="O44" s="509"/>
      <c r="P44" s="507"/>
      <c r="Q44" s="508"/>
      <c r="R44" s="508"/>
      <c r="S44" s="508"/>
      <c r="T44" s="509"/>
      <c r="U44" s="507"/>
      <c r="V44" s="508"/>
      <c r="W44" s="508"/>
      <c r="X44" s="508"/>
      <c r="Y44" s="509"/>
      <c r="Z44" s="513"/>
      <c r="AA44" s="514"/>
      <c r="AB44" s="514"/>
      <c r="AC44" s="514"/>
      <c r="AD44" s="515"/>
    </row>
    <row r="45" spans="1:30" x14ac:dyDescent="0.4">
      <c r="A45" s="516">
        <f>SUM(H2,H7,H12,H17,H22,H27,H32)</f>
        <v>8745</v>
      </c>
      <c r="B45" s="517"/>
      <c r="C45" s="517"/>
      <c r="D45" s="517"/>
      <c r="E45" s="518"/>
      <c r="F45" s="516">
        <f>SUM(,H3,H8,H13,H18,H23,H28,H33)</f>
        <v>6139.7</v>
      </c>
      <c r="G45" s="517"/>
      <c r="H45" s="517"/>
      <c r="I45" s="517"/>
      <c r="J45" s="518"/>
      <c r="K45" s="516">
        <f>SUM(H5,H10,H15,H20,H25,H30,H35)</f>
        <v>770</v>
      </c>
      <c r="L45" s="517"/>
      <c r="M45" s="517"/>
      <c r="N45" s="517"/>
      <c r="O45" s="518"/>
      <c r="P45" s="516">
        <f>SUM(H4,H9,H14,H19,H24,H29,H34)</f>
        <v>1965.59</v>
      </c>
      <c r="Q45" s="517"/>
      <c r="R45" s="517"/>
      <c r="S45" s="517"/>
      <c r="T45" s="518"/>
      <c r="U45" s="525">
        <f>SUM(E6,E11,E16,E21,E26,E31,E36)</f>
        <v>310.75</v>
      </c>
      <c r="V45" s="517"/>
      <c r="W45" s="517"/>
      <c r="X45" s="517"/>
      <c r="Y45" s="518"/>
      <c r="Z45" s="525">
        <f>SUM(L6,L11,L16,L21,L26,L31,L36)</f>
        <v>40</v>
      </c>
      <c r="AA45" s="517"/>
      <c r="AB45" s="517"/>
      <c r="AC45" s="517"/>
      <c r="AD45" s="526"/>
    </row>
    <row r="46" spans="1:30" x14ac:dyDescent="0.4">
      <c r="A46" s="519"/>
      <c r="B46" s="520"/>
      <c r="C46" s="520"/>
      <c r="D46" s="520"/>
      <c r="E46" s="521"/>
      <c r="F46" s="519"/>
      <c r="G46" s="520"/>
      <c r="H46" s="520"/>
      <c r="I46" s="520"/>
      <c r="J46" s="521"/>
      <c r="K46" s="519"/>
      <c r="L46" s="520"/>
      <c r="M46" s="520"/>
      <c r="N46" s="520"/>
      <c r="O46" s="521"/>
      <c r="P46" s="519"/>
      <c r="Q46" s="520"/>
      <c r="R46" s="520"/>
      <c r="S46" s="520"/>
      <c r="T46" s="521"/>
      <c r="U46" s="519"/>
      <c r="V46" s="520"/>
      <c r="W46" s="520"/>
      <c r="X46" s="520"/>
      <c r="Y46" s="521"/>
      <c r="Z46" s="519"/>
      <c r="AA46" s="520"/>
      <c r="AB46" s="520"/>
      <c r="AC46" s="520"/>
      <c r="AD46" s="527"/>
    </row>
    <row r="47" spans="1:30" x14ac:dyDescent="0.4">
      <c r="A47" s="519"/>
      <c r="B47" s="520"/>
      <c r="C47" s="520"/>
      <c r="D47" s="520"/>
      <c r="E47" s="521"/>
      <c r="F47" s="519"/>
      <c r="G47" s="520"/>
      <c r="H47" s="520"/>
      <c r="I47" s="520"/>
      <c r="J47" s="521"/>
      <c r="K47" s="519"/>
      <c r="L47" s="520"/>
      <c r="M47" s="520"/>
      <c r="N47" s="520"/>
      <c r="O47" s="521"/>
      <c r="P47" s="519"/>
      <c r="Q47" s="520"/>
      <c r="R47" s="520"/>
      <c r="S47" s="520"/>
      <c r="T47" s="521"/>
      <c r="U47" s="519"/>
      <c r="V47" s="520"/>
      <c r="W47" s="520"/>
      <c r="X47" s="520"/>
      <c r="Y47" s="521"/>
      <c r="Z47" s="519"/>
      <c r="AA47" s="520"/>
      <c r="AB47" s="520"/>
      <c r="AC47" s="520"/>
      <c r="AD47" s="527"/>
    </row>
    <row r="48" spans="1:30" ht="18" thickBot="1" x14ac:dyDescent="0.45">
      <c r="A48" s="522"/>
      <c r="B48" s="523"/>
      <c r="C48" s="523"/>
      <c r="D48" s="523"/>
      <c r="E48" s="524"/>
      <c r="F48" s="522"/>
      <c r="G48" s="523"/>
      <c r="H48" s="523"/>
      <c r="I48" s="523"/>
      <c r="J48" s="524"/>
      <c r="K48" s="522"/>
      <c r="L48" s="523"/>
      <c r="M48" s="523"/>
      <c r="N48" s="523"/>
      <c r="O48" s="524"/>
      <c r="P48" s="522"/>
      <c r="Q48" s="523"/>
      <c r="R48" s="523"/>
      <c r="S48" s="523"/>
      <c r="T48" s="524"/>
      <c r="U48" s="522"/>
      <c r="V48" s="523"/>
      <c r="W48" s="523"/>
      <c r="X48" s="523"/>
      <c r="Y48" s="524"/>
      <c r="Z48" s="522"/>
      <c r="AA48" s="523"/>
      <c r="AB48" s="523"/>
      <c r="AC48" s="523"/>
      <c r="AD48" s="528"/>
    </row>
    <row r="49" spans="1:30" ht="17.399999999999999" customHeight="1" x14ac:dyDescent="0.4">
      <c r="A49" s="486">
        <f>A45/E39</f>
        <v>0.55861817856618146</v>
      </c>
      <c r="B49" s="487"/>
      <c r="C49" s="487"/>
      <c r="D49" s="487"/>
      <c r="E49" s="488"/>
      <c r="F49" s="486">
        <f>F45/E39</f>
        <v>0.39219531514497247</v>
      </c>
      <c r="G49" s="487"/>
      <c r="H49" s="487"/>
      <c r="I49" s="487"/>
      <c r="J49" s="488"/>
      <c r="K49" s="486">
        <f>K45/E39</f>
        <v>4.9186506288846167E-2</v>
      </c>
      <c r="L49" s="487"/>
      <c r="M49" s="487"/>
      <c r="N49" s="487"/>
      <c r="O49" s="488"/>
      <c r="P49" s="486">
        <f>P45/E39</f>
        <v>0.12555909726791314</v>
      </c>
      <c r="Q49" s="487"/>
      <c r="R49" s="487"/>
      <c r="S49" s="487"/>
      <c r="T49" s="488"/>
      <c r="U49" s="495">
        <f>U45/7</f>
        <v>44.392857142857146</v>
      </c>
      <c r="V49" s="496"/>
      <c r="W49" s="496"/>
      <c r="X49" s="496"/>
      <c r="Y49" s="497"/>
      <c r="Z49" s="495">
        <f>U45/Z45</f>
        <v>7.7687499999999998</v>
      </c>
      <c r="AA49" s="496"/>
      <c r="AB49" s="496"/>
      <c r="AC49" s="496"/>
      <c r="AD49" s="497"/>
    </row>
    <row r="50" spans="1:30" ht="17.399999999999999" customHeight="1" x14ac:dyDescent="0.4">
      <c r="A50" s="489"/>
      <c r="B50" s="490"/>
      <c r="C50" s="490"/>
      <c r="D50" s="490"/>
      <c r="E50" s="491"/>
      <c r="F50" s="489"/>
      <c r="G50" s="490"/>
      <c r="H50" s="490"/>
      <c r="I50" s="490"/>
      <c r="J50" s="491"/>
      <c r="K50" s="489"/>
      <c r="L50" s="490"/>
      <c r="M50" s="490"/>
      <c r="N50" s="490"/>
      <c r="O50" s="491"/>
      <c r="P50" s="489"/>
      <c r="Q50" s="490"/>
      <c r="R50" s="490"/>
      <c r="S50" s="490"/>
      <c r="T50" s="491"/>
      <c r="U50" s="498"/>
      <c r="V50" s="499"/>
      <c r="W50" s="499"/>
      <c r="X50" s="499"/>
      <c r="Y50" s="500"/>
      <c r="Z50" s="498"/>
      <c r="AA50" s="499"/>
      <c r="AB50" s="499"/>
      <c r="AC50" s="499"/>
      <c r="AD50" s="500"/>
    </row>
    <row r="51" spans="1:30" ht="17.399999999999999" customHeight="1" x14ac:dyDescent="0.4">
      <c r="A51" s="489"/>
      <c r="B51" s="490"/>
      <c r="C51" s="490"/>
      <c r="D51" s="490"/>
      <c r="E51" s="491"/>
      <c r="F51" s="489"/>
      <c r="G51" s="490"/>
      <c r="H51" s="490"/>
      <c r="I51" s="490"/>
      <c r="J51" s="491"/>
      <c r="K51" s="489"/>
      <c r="L51" s="490"/>
      <c r="M51" s="490"/>
      <c r="N51" s="490"/>
      <c r="O51" s="491"/>
      <c r="P51" s="489"/>
      <c r="Q51" s="490"/>
      <c r="R51" s="490"/>
      <c r="S51" s="490"/>
      <c r="T51" s="491"/>
      <c r="U51" s="498"/>
      <c r="V51" s="499"/>
      <c r="W51" s="499"/>
      <c r="X51" s="499"/>
      <c r="Y51" s="500"/>
      <c r="Z51" s="498"/>
      <c r="AA51" s="499"/>
      <c r="AB51" s="499"/>
      <c r="AC51" s="499"/>
      <c r="AD51" s="500"/>
    </row>
    <row r="52" spans="1:30" ht="18" customHeight="1" thickBot="1" x14ac:dyDescent="0.45">
      <c r="A52" s="492"/>
      <c r="B52" s="493"/>
      <c r="C52" s="493"/>
      <c r="D52" s="493"/>
      <c r="E52" s="494"/>
      <c r="F52" s="492"/>
      <c r="G52" s="493"/>
      <c r="H52" s="493"/>
      <c r="I52" s="493"/>
      <c r="J52" s="494"/>
      <c r="K52" s="492"/>
      <c r="L52" s="493"/>
      <c r="M52" s="493"/>
      <c r="N52" s="493"/>
      <c r="O52" s="494"/>
      <c r="P52" s="492"/>
      <c r="Q52" s="493"/>
      <c r="R52" s="493"/>
      <c r="S52" s="493"/>
      <c r="T52" s="494"/>
      <c r="U52" s="501"/>
      <c r="V52" s="502"/>
      <c r="W52" s="502"/>
      <c r="X52" s="502"/>
      <c r="Y52" s="503"/>
      <c r="Z52" s="501"/>
      <c r="AA52" s="502"/>
      <c r="AB52" s="502"/>
      <c r="AC52" s="502"/>
      <c r="AD52" s="503"/>
    </row>
  </sheetData>
  <mergeCells count="217"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A65DAAF9-9CBB-4F7A-8DB3-829883D4101A}"/>
</file>

<file path=customXml/itemProps2.xml><?xml version="1.0" encoding="utf-8"?>
<ds:datastoreItem xmlns:ds="http://schemas.openxmlformats.org/officeDocument/2006/customXml" ds:itemID="{B8C916CE-31AE-4CFF-A365-FFCBF3E5CFE1}"/>
</file>

<file path=customXml/itemProps3.xml><?xml version="1.0" encoding="utf-8"?>
<ds:datastoreItem xmlns:ds="http://schemas.openxmlformats.org/officeDocument/2006/customXml" ds:itemID="{12AD9759-96A2-4270-B36A-3C5221819A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cp:lastPrinted>2021-12-02T06:53:47Z</cp:lastPrinted>
  <dcterms:created xsi:type="dcterms:W3CDTF">2011-11-24T03:16:40Z</dcterms:created>
  <dcterms:modified xsi:type="dcterms:W3CDTF">2022-08-01T01:35:58Z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