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home\2022\"/>
    </mc:Choice>
  </mc:AlternateContent>
  <xr:revisionPtr revIDLastSave="0" documentId="13_ncr:1_{B6EAC213-07E7-4518-959C-79E8CA537377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4" l="1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T66" i="4"/>
  <c r="A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O34" i="4"/>
  <c r="O66" i="4" s="1"/>
  <c r="J34" i="4"/>
  <c r="J66" i="4" s="1"/>
  <c r="A34" i="4"/>
  <c r="H32" i="4"/>
  <c r="Z31" i="4"/>
  <c r="Q31" i="4"/>
  <c r="P31" i="4"/>
  <c r="O31" i="4"/>
  <c r="N31" i="4"/>
  <c r="M31" i="4"/>
  <c r="L31" i="4"/>
  <c r="I31" i="4"/>
  <c r="S32" i="4" s="1"/>
  <c r="H18" i="8" s="1"/>
  <c r="H31" i="4"/>
  <c r="M30" i="4"/>
  <c r="L30" i="4"/>
  <c r="I30" i="4"/>
  <c r="H30" i="4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K30" i="4" s="1"/>
  <c r="K31" i="4" s="1"/>
  <c r="J10" i="4"/>
  <c r="U9" i="4"/>
  <c r="K9" i="4"/>
  <c r="U8" i="4"/>
  <c r="J8" i="4"/>
  <c r="U7" i="4"/>
  <c r="K7" i="4"/>
  <c r="J7" i="4"/>
  <c r="U6" i="4"/>
  <c r="K6" i="4"/>
  <c r="J6" i="4"/>
  <c r="U5" i="4"/>
  <c r="U16" i="4" s="1"/>
  <c r="J5" i="4"/>
  <c r="J30" i="4" s="1"/>
  <c r="J31" i="4" s="1"/>
  <c r="H32" i="5"/>
  <c r="H32" i="7"/>
  <c r="H32" i="6"/>
  <c r="J16" i="6"/>
  <c r="K16" i="6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L31" i="2"/>
  <c r="M30" i="2"/>
  <c r="M31" i="2" s="1"/>
  <c r="L30" i="2"/>
  <c r="I30" i="2"/>
  <c r="I31" i="2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L31" i="1"/>
  <c r="M30" i="1"/>
  <c r="M31" i="1" s="1"/>
  <c r="L30" i="1"/>
  <c r="I30" i="1"/>
  <c r="I31" i="1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U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U8" i="3"/>
  <c r="K8" i="3"/>
  <c r="J8" i="3"/>
  <c r="U7" i="3"/>
  <c r="K7" i="3"/>
  <c r="J7" i="3"/>
  <c r="U6" i="3"/>
  <c r="K6" i="3"/>
  <c r="J6" i="3"/>
  <c r="U5" i="3"/>
  <c r="K5" i="3"/>
  <c r="J5" i="3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J66" i="6"/>
  <c r="A66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A34" i="6"/>
  <c r="Z31" i="6"/>
  <c r="Q31" i="6"/>
  <c r="P31" i="6"/>
  <c r="O31" i="6"/>
  <c r="N31" i="6"/>
  <c r="L31" i="6"/>
  <c r="M30" i="6"/>
  <c r="M31" i="6" s="1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H23" i="8"/>
  <c r="K30" i="2" l="1"/>
  <c r="K31" i="2" s="1"/>
  <c r="H34" i="8" s="1"/>
  <c r="J30" i="2"/>
  <c r="J31" i="2" s="1"/>
  <c r="S32" i="2"/>
  <c r="H33" i="8" s="1"/>
  <c r="U16" i="2"/>
  <c r="E36" i="8" s="1"/>
  <c r="S32" i="1"/>
  <c r="H28" i="8" s="1"/>
  <c r="K30" i="1"/>
  <c r="K31" i="1" s="1"/>
  <c r="J30" i="1"/>
  <c r="J31" i="1" s="1"/>
  <c r="U16" i="1"/>
  <c r="S16" i="1" s="1"/>
  <c r="K30" i="3"/>
  <c r="K31" i="3" s="1"/>
  <c r="U16" i="3"/>
  <c r="S16" i="3" s="1"/>
  <c r="J30" i="3"/>
  <c r="J31" i="3" s="1"/>
  <c r="S16" i="4"/>
  <c r="R16" i="4"/>
  <c r="P32" i="4"/>
  <c r="AI25" i="4"/>
  <c r="AD25" i="4"/>
  <c r="Z33" i="4"/>
  <c r="C32" i="4"/>
  <c r="N32" i="4" s="1"/>
  <c r="O32" i="4"/>
  <c r="Z32" i="4"/>
  <c r="S31" i="4"/>
  <c r="H17" i="8" s="1"/>
  <c r="T31" i="4"/>
  <c r="K30" i="5"/>
  <c r="K31" i="5" s="1"/>
  <c r="J30" i="5"/>
  <c r="J31" i="5" s="1"/>
  <c r="C32" i="5" s="1"/>
  <c r="P32" i="5" s="1"/>
  <c r="U16" i="5"/>
  <c r="R16" i="5" s="1"/>
  <c r="S32" i="6"/>
  <c r="H8" i="8" s="1"/>
  <c r="K30" i="6"/>
  <c r="K31" i="6" s="1"/>
  <c r="J30" i="6"/>
  <c r="J31" i="6" s="1"/>
  <c r="U16" i="6"/>
  <c r="E11" i="8" s="1"/>
  <c r="AD25" i="2"/>
  <c r="AI25" i="2"/>
  <c r="S16" i="2"/>
  <c r="Z32" i="2"/>
  <c r="Z33" i="2" s="1"/>
  <c r="S31" i="2"/>
  <c r="H32" i="8" s="1"/>
  <c r="T31" i="2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T31" i="3"/>
  <c r="Y39" i="8"/>
  <c r="AI25" i="5"/>
  <c r="AD25" i="5"/>
  <c r="S31" i="5"/>
  <c r="Z32" i="5"/>
  <c r="Z33" i="5" s="1"/>
  <c r="T31" i="5"/>
  <c r="AD25" i="6"/>
  <c r="AI25" i="6"/>
  <c r="S31" i="6"/>
  <c r="H7" i="8" s="1"/>
  <c r="Z32" i="6"/>
  <c r="Z33" i="6" s="1"/>
  <c r="T31" i="6"/>
  <c r="H22" i="8"/>
  <c r="H13" i="8"/>
  <c r="H12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H35" i="8"/>
  <c r="V32" i="8" s="1"/>
  <c r="R16" i="2"/>
  <c r="C32" i="1"/>
  <c r="P32" i="1" s="1"/>
  <c r="E31" i="8"/>
  <c r="R16" i="1"/>
  <c r="C32" i="3"/>
  <c r="O32" i="3" s="1"/>
  <c r="R16" i="3"/>
  <c r="E26" i="8"/>
  <c r="U25" i="4"/>
  <c r="K32" i="4"/>
  <c r="T16" i="4"/>
  <c r="Q32" i="4"/>
  <c r="S16" i="5"/>
  <c r="O32" i="5"/>
  <c r="R16" i="6"/>
  <c r="S16" i="6"/>
  <c r="U25" i="2"/>
  <c r="U25" i="5"/>
  <c r="K32" i="5"/>
  <c r="T16" i="5"/>
  <c r="N32" i="5"/>
  <c r="Q32" i="5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N32" i="2" l="1"/>
  <c r="L32" i="8" s="1"/>
  <c r="Q32" i="2"/>
  <c r="L35" i="8" s="1"/>
  <c r="T16" i="2"/>
  <c r="P32" i="2"/>
  <c r="L34" i="8" s="1"/>
  <c r="K32" i="2"/>
  <c r="T16" i="1"/>
  <c r="K32" i="1"/>
  <c r="Q32" i="1"/>
  <c r="U25" i="1"/>
  <c r="O32" i="1"/>
  <c r="N32" i="1"/>
  <c r="P32" i="3"/>
  <c r="L24" i="8" s="1"/>
  <c r="K32" i="3"/>
  <c r="N32" i="3"/>
  <c r="L22" i="8" s="1"/>
  <c r="T16" i="3"/>
  <c r="Q32" i="3"/>
  <c r="L25" i="8" s="1"/>
  <c r="U25" i="3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<sst xmlns="http://schemas.openxmlformats.org/spreadsheetml/2006/main" count="1615" uniqueCount="360">
  <si>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</si>
  <si>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</si>
  <si>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</si>
  <si>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</si>
  <si>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</si>
  <si>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</si>
  <si>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</si>
  <si>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</si>
  <si>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</si>
  <si>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</si>
  <si>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</si>
  <si>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</si>
  <si>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</si>
  <si>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</si>
  <si>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</si>
  <si>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</si>
  <si>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</si>
  <si>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</si>
  <si>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</si>
  <si>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</si>
  <si>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</si>
  <si>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</si>
  <si>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</si>
  <si>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</si>
  <si>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</si>
  <si>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</si>
  <si>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</si>
  <si>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</si>
  <si>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</si>
  <si>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</si>
  <si>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</si>
  <si>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</si>
  <si>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</si>
  <si>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</si>
  <si>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</si>
  <si>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</si>
  <si>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</si>
  <si>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</si>
  <si>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</si>
  <si>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</si>
  <si>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</si>
  <si>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</si>
  <si>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</si>
  <si>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</si>
  <si>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</si>
  <si>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</si>
  <si>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</si>
  <si>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</si>
  <si>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</si>
  <si>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</si>
  <si>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</si>
  <si>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</si>
  <si>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</si>
  <si>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</si>
  <si>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</si>
  <si>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</si>
  <si>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</si>
  <si>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</si>
  <si>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</si>
  <si>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</si>
  <si>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</si>
  <si>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</si>
  <si>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</si>
  <si>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</si>
  <si>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</si>
  <si>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</si>
  <si>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</si>
  <si>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</si>
  <si>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</si>
  <si>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</si>
  <si>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</si>
  <si>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</si>
  <si>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</si>
  <si>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</si>
  <si>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</si>
  <si>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</si>
  <si>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</si>
  <si>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</si>
  <si>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</si>
  <si>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</si>
  <si>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</si>
  <si>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</si>
  <si>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</si>
  <si>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</si>
  <si>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</si>
  <si>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</si>
  <si>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</si>
  <si>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</si>
  <si>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</si>
  <si>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</si>
  <si>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</si>
  <si>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</si>
  <si>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</si>
  <si>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</si>
  <si>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</si>
  <si>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</si>
  <si>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</si>
  <si>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26-09-2022</t>
    <phoneticPr fontId="4" type="noConversion"/>
  </si>
  <si>
    <t>ETO68M</t>
    <phoneticPr fontId="4" type="noConversion"/>
  </si>
  <si>
    <t>0431133102</t>
    <phoneticPr fontId="4" type="noConversion"/>
  </si>
  <si>
    <t>CKC333</t>
    <phoneticPr fontId="4" type="noConversion"/>
  </si>
  <si>
    <t>0411889693</t>
    <phoneticPr fontId="4" type="noConversion"/>
  </si>
  <si>
    <t>X</t>
    <phoneticPr fontId="4" type="noConversion"/>
  </si>
  <si>
    <t>202208028(D)</t>
    <phoneticPr fontId="4" type="noConversion"/>
  </si>
  <si>
    <t>EQE97F</t>
    <phoneticPr fontId="4" type="noConversion"/>
  </si>
  <si>
    <t>0455222481</t>
    <phoneticPr fontId="4" type="noConversion"/>
  </si>
  <si>
    <t>NJC126</t>
    <phoneticPr fontId="4" type="noConversion"/>
  </si>
  <si>
    <t>0413570413</t>
    <phoneticPr fontId="4" type="noConversion"/>
  </si>
  <si>
    <t>X/ST</t>
    <phoneticPr fontId="4" type="noConversion"/>
  </si>
  <si>
    <t>EDW62A</t>
    <phoneticPr fontId="4" type="noConversion"/>
  </si>
  <si>
    <t>0412928722</t>
    <phoneticPr fontId="4" type="noConversion"/>
  </si>
  <si>
    <t>EJD71Q</t>
    <phoneticPr fontId="4" type="noConversion"/>
  </si>
  <si>
    <t>0402545603</t>
    <phoneticPr fontId="4" type="noConversion"/>
  </si>
  <si>
    <t>H</t>
    <phoneticPr fontId="4" type="noConversion"/>
  </si>
  <si>
    <t>EQI04P</t>
    <phoneticPr fontId="4" type="noConversion"/>
  </si>
  <si>
    <t>0432839662</t>
    <phoneticPr fontId="4" type="noConversion"/>
  </si>
  <si>
    <t>EPN52F</t>
    <phoneticPr fontId="4" type="noConversion"/>
  </si>
  <si>
    <t>0419716479</t>
    <phoneticPr fontId="4" type="noConversion"/>
  </si>
  <si>
    <t>X/LEATHER</t>
    <phoneticPr fontId="4" type="noConversion"/>
  </si>
  <si>
    <t>ETJ04Y</t>
    <phoneticPr fontId="4" type="noConversion"/>
  </si>
  <si>
    <t>0450603985</t>
    <phoneticPr fontId="4" type="noConversion"/>
  </si>
  <si>
    <t>202207033(D)</t>
    <phoneticPr fontId="4" type="noConversion"/>
  </si>
  <si>
    <t>EOW31B</t>
    <phoneticPr fontId="4" type="noConversion"/>
  </si>
  <si>
    <t>0400902477</t>
    <phoneticPr fontId="4" type="noConversion"/>
  </si>
  <si>
    <t>B289XR</t>
    <phoneticPr fontId="4" type="noConversion"/>
  </si>
  <si>
    <t>0425290116</t>
    <phoneticPr fontId="4" type="noConversion"/>
  </si>
  <si>
    <t>D</t>
    <phoneticPr fontId="4" type="noConversion"/>
  </si>
  <si>
    <t>NRF289</t>
    <phoneticPr fontId="4" type="noConversion"/>
  </si>
  <si>
    <t>0416490500</t>
    <phoneticPr fontId="4" type="noConversion"/>
  </si>
  <si>
    <t>DGH46A</t>
    <phoneticPr fontId="4" type="noConversion"/>
  </si>
  <si>
    <t>04306868</t>
    <phoneticPr fontId="4" type="noConversion"/>
  </si>
  <si>
    <t>WBB</t>
    <phoneticPr fontId="4" type="noConversion"/>
  </si>
  <si>
    <t>0456043888</t>
    <phoneticPr fontId="4" type="noConversion"/>
  </si>
  <si>
    <t>CWB80V</t>
    <phoneticPr fontId="4" type="noConversion"/>
  </si>
  <si>
    <t>0416163888</t>
    <phoneticPr fontId="4" type="noConversion"/>
  </si>
  <si>
    <t>202208009(D)</t>
    <phoneticPr fontId="4" type="noConversion"/>
  </si>
  <si>
    <t>202208109(D)</t>
    <phoneticPr fontId="4" type="noConversion"/>
  </si>
  <si>
    <t>HH030</t>
    <phoneticPr fontId="4" type="noConversion"/>
  </si>
  <si>
    <t>0421332492</t>
    <phoneticPr fontId="4" type="noConversion"/>
  </si>
  <si>
    <t>PCL</t>
    <phoneticPr fontId="4" type="noConversion"/>
  </si>
  <si>
    <t>22066(2/6) (X)</t>
    <phoneticPr fontId="4" type="noConversion"/>
  </si>
  <si>
    <t>LAU777</t>
    <phoneticPr fontId="4" type="noConversion"/>
  </si>
  <si>
    <t>0416462000</t>
    <phoneticPr fontId="4" type="noConversion"/>
  </si>
  <si>
    <t>PCS</t>
    <phoneticPr fontId="4" type="noConversion"/>
  </si>
  <si>
    <t>22037(3/6) (H)</t>
    <phoneticPr fontId="4" type="noConversion"/>
  </si>
  <si>
    <t>JOHN</t>
    <phoneticPr fontId="4" type="noConversion"/>
  </si>
  <si>
    <t>JUNIOR</t>
    <phoneticPr fontId="4" type="noConversion"/>
  </si>
  <si>
    <t>KUROSH</t>
    <phoneticPr fontId="4" type="noConversion"/>
  </si>
  <si>
    <t>VINNY</t>
    <phoneticPr fontId="4" type="noConversion"/>
  </si>
  <si>
    <t>ANDREW OCTEC</t>
    <phoneticPr fontId="4" type="noConversion"/>
  </si>
  <si>
    <t>F/D</t>
    <phoneticPr fontId="4" type="noConversion"/>
  </si>
  <si>
    <t>SUNG</t>
    <phoneticPr fontId="4" type="noConversion"/>
  </si>
  <si>
    <t>0428881889</t>
    <phoneticPr fontId="4" type="noConversion"/>
  </si>
  <si>
    <t>CLOUDY</t>
    <phoneticPr fontId="4" type="noConversion"/>
  </si>
  <si>
    <t>HEATHER</t>
    <phoneticPr fontId="4" type="noConversion"/>
  </si>
  <si>
    <t>JAIKE</t>
    <phoneticPr fontId="4" type="noConversion"/>
  </si>
  <si>
    <t>KAMAL</t>
    <phoneticPr fontId="4" type="noConversion"/>
  </si>
  <si>
    <t>BACK SEAT LEATHER CLEAN</t>
    <phoneticPr fontId="4" type="noConversion"/>
  </si>
  <si>
    <t>27 - 9 - 2022</t>
    <phoneticPr fontId="4" type="noConversion"/>
  </si>
  <si>
    <t>MIX</t>
    <phoneticPr fontId="4" type="noConversion"/>
  </si>
  <si>
    <t>HENDRA</t>
    <phoneticPr fontId="4" type="noConversion"/>
  </si>
  <si>
    <t>ARIANTO</t>
    <phoneticPr fontId="4" type="noConversion"/>
  </si>
  <si>
    <t>JAMES</t>
    <phoneticPr fontId="4" type="noConversion"/>
  </si>
  <si>
    <t>DGM062</t>
    <phoneticPr fontId="4" type="noConversion"/>
  </si>
  <si>
    <t>0411853091</t>
    <phoneticPr fontId="4" type="noConversion"/>
  </si>
  <si>
    <t>DXN78G</t>
    <phoneticPr fontId="4" type="noConversion"/>
  </si>
  <si>
    <t>0412688684</t>
    <phoneticPr fontId="4" type="noConversion"/>
  </si>
  <si>
    <t>202207059(D)</t>
    <phoneticPr fontId="4" type="noConversion"/>
  </si>
  <si>
    <t>CXY11Y</t>
    <phoneticPr fontId="4" type="noConversion"/>
  </si>
  <si>
    <t>0412411002</t>
    <phoneticPr fontId="4" type="noConversion"/>
  </si>
  <si>
    <t>CRF59D</t>
    <phoneticPr fontId="4" type="noConversion"/>
  </si>
  <si>
    <t>0415917725</t>
    <phoneticPr fontId="4" type="noConversion"/>
  </si>
  <si>
    <t>CV28KS</t>
    <phoneticPr fontId="4" type="noConversion"/>
  </si>
  <si>
    <t>0404718880</t>
    <phoneticPr fontId="4" type="noConversion"/>
  </si>
  <si>
    <t>ST BABY SEAT</t>
    <phoneticPr fontId="4" type="noConversion"/>
  </si>
  <si>
    <t>CW2222</t>
    <phoneticPr fontId="4" type="noConversion"/>
  </si>
  <si>
    <t>0414681613</t>
    <phoneticPr fontId="4" type="noConversion"/>
  </si>
  <si>
    <t>DQC84Z</t>
    <phoneticPr fontId="4" type="noConversion"/>
  </si>
  <si>
    <t>0414311698</t>
    <phoneticPr fontId="4" type="noConversion"/>
  </si>
  <si>
    <t>DMW001</t>
    <phoneticPr fontId="4" type="noConversion"/>
  </si>
  <si>
    <t>0402488963</t>
    <phoneticPr fontId="4" type="noConversion"/>
  </si>
  <si>
    <t>DYX73X</t>
    <phoneticPr fontId="4" type="noConversion"/>
  </si>
  <si>
    <t>0403108842</t>
    <phoneticPr fontId="4" type="noConversion"/>
  </si>
  <si>
    <t>W/O</t>
    <phoneticPr fontId="4" type="noConversion"/>
  </si>
  <si>
    <t>EHZ68U</t>
    <phoneticPr fontId="4" type="noConversion"/>
  </si>
  <si>
    <t>0425310389</t>
    <phoneticPr fontId="4" type="noConversion"/>
  </si>
  <si>
    <t>BZD29T</t>
    <phoneticPr fontId="4" type="noConversion"/>
  </si>
  <si>
    <t>0412373911</t>
    <phoneticPr fontId="4" type="noConversion"/>
  </si>
  <si>
    <t>ETR15L</t>
    <phoneticPr fontId="4" type="noConversion"/>
  </si>
  <si>
    <t>0412258130</t>
    <phoneticPr fontId="4" type="noConversion"/>
  </si>
  <si>
    <t>DARRYLAND OCTEC</t>
    <phoneticPr fontId="4" type="noConversion"/>
  </si>
  <si>
    <t>DHH46E</t>
    <phoneticPr fontId="4" type="noConversion"/>
  </si>
  <si>
    <t>0448090824</t>
    <phoneticPr fontId="4" type="noConversion"/>
  </si>
  <si>
    <t>EKB89T</t>
    <phoneticPr fontId="4" type="noConversion"/>
  </si>
  <si>
    <t>0409705030</t>
    <phoneticPr fontId="4" type="noConversion"/>
  </si>
  <si>
    <t>HSING</t>
    <phoneticPr fontId="4" type="noConversion"/>
  </si>
  <si>
    <t>FD</t>
    <phoneticPr fontId="4" type="noConversion"/>
  </si>
  <si>
    <t>JUN</t>
    <phoneticPr fontId="4" type="noConversion"/>
  </si>
  <si>
    <t>28 - 9 - 2022</t>
    <phoneticPr fontId="4" type="noConversion"/>
  </si>
  <si>
    <t>SUNNY</t>
    <phoneticPr fontId="4" type="noConversion"/>
  </si>
  <si>
    <t>SHIVAM</t>
    <phoneticPr fontId="4" type="noConversion"/>
  </si>
  <si>
    <t>DND96D</t>
    <phoneticPr fontId="4" type="noConversion"/>
  </si>
  <si>
    <t>0402833499</t>
    <phoneticPr fontId="4" type="noConversion"/>
  </si>
  <si>
    <t>DKI60J</t>
    <phoneticPr fontId="4" type="noConversion"/>
  </si>
  <si>
    <t>0412062961</t>
    <phoneticPr fontId="4" type="noConversion"/>
  </si>
  <si>
    <t>ETA54L</t>
    <phoneticPr fontId="4" type="noConversion"/>
  </si>
  <si>
    <t>0438844667</t>
    <phoneticPr fontId="4" type="noConversion"/>
  </si>
  <si>
    <t>NCC58P</t>
    <phoneticPr fontId="4" type="noConversion"/>
  </si>
  <si>
    <t>0418688707</t>
    <phoneticPr fontId="4" type="noConversion"/>
  </si>
  <si>
    <t>TAX</t>
    <phoneticPr fontId="4" type="noConversion"/>
  </si>
  <si>
    <t>GBI</t>
    <phoneticPr fontId="4" type="noConversion"/>
  </si>
  <si>
    <t>0415888891</t>
    <phoneticPr fontId="4" type="noConversion"/>
  </si>
  <si>
    <t>CLV99</t>
    <phoneticPr fontId="4" type="noConversion"/>
  </si>
  <si>
    <t>0400778444</t>
    <phoneticPr fontId="4" type="noConversion"/>
  </si>
  <si>
    <t>BWL72K</t>
    <phoneticPr fontId="4" type="noConversion"/>
  </si>
  <si>
    <t>0400129911</t>
    <phoneticPr fontId="4" type="noConversion"/>
  </si>
  <si>
    <t>NBC88W</t>
    <phoneticPr fontId="4" type="noConversion"/>
  </si>
  <si>
    <t>0416200300</t>
    <phoneticPr fontId="4" type="noConversion"/>
  </si>
  <si>
    <t>CMH45S</t>
    <phoneticPr fontId="4" type="noConversion"/>
  </si>
  <si>
    <t>0415363387</t>
    <phoneticPr fontId="4" type="noConversion"/>
  </si>
  <si>
    <t>CDK18</t>
    <phoneticPr fontId="4" type="noConversion"/>
  </si>
  <si>
    <t>0415999716</t>
    <phoneticPr fontId="4" type="noConversion"/>
  </si>
  <si>
    <t>DVO83D</t>
    <phoneticPr fontId="4" type="noConversion"/>
  </si>
  <si>
    <t>0412483824</t>
    <phoneticPr fontId="4" type="noConversion"/>
  </si>
  <si>
    <t>W/H</t>
    <phoneticPr fontId="4" type="noConversion"/>
  </si>
  <si>
    <t>29-09-2022</t>
    <phoneticPr fontId="4" type="noConversion"/>
  </si>
  <si>
    <t>X566</t>
    <phoneticPr fontId="4" type="noConversion"/>
  </si>
  <si>
    <t>0431875858</t>
    <phoneticPr fontId="4" type="noConversion"/>
  </si>
  <si>
    <t>22013(5/6)</t>
    <phoneticPr fontId="4" type="noConversion"/>
  </si>
  <si>
    <t>EIA86L</t>
    <phoneticPr fontId="4" type="noConversion"/>
  </si>
  <si>
    <t>0477204199</t>
    <phoneticPr fontId="4" type="noConversion"/>
  </si>
  <si>
    <t>MSV333</t>
    <phoneticPr fontId="4" type="noConversion"/>
  </si>
  <si>
    <t>0447239698</t>
    <phoneticPr fontId="4" type="noConversion"/>
  </si>
  <si>
    <t>DVW72Q</t>
    <phoneticPr fontId="4" type="noConversion"/>
  </si>
  <si>
    <t>0418881485</t>
    <phoneticPr fontId="4" type="noConversion"/>
  </si>
  <si>
    <t>22065(1/6)</t>
    <phoneticPr fontId="4" type="noConversion"/>
  </si>
  <si>
    <t>SKU881</t>
    <phoneticPr fontId="4" type="noConversion"/>
  </si>
  <si>
    <t>0404318904</t>
    <phoneticPr fontId="4" type="noConversion"/>
  </si>
  <si>
    <t>202208034,202207024(X)</t>
    <phoneticPr fontId="4" type="noConversion"/>
  </si>
  <si>
    <t>CALAN OCTEC</t>
    <phoneticPr fontId="4" type="noConversion"/>
  </si>
  <si>
    <t>ECG68Q</t>
    <phoneticPr fontId="4" type="noConversion"/>
  </si>
  <si>
    <t>0417230580</t>
    <phoneticPr fontId="4" type="noConversion"/>
  </si>
  <si>
    <t>DSJ13E</t>
    <phoneticPr fontId="4" type="noConversion"/>
  </si>
  <si>
    <t>0408518552</t>
    <phoneticPr fontId="4" type="noConversion"/>
  </si>
  <si>
    <t>EPC29X</t>
    <phoneticPr fontId="4" type="noConversion"/>
  </si>
  <si>
    <t>0403082345</t>
    <phoneticPr fontId="4" type="noConversion"/>
  </si>
  <si>
    <t>0412413140</t>
    <phoneticPr fontId="4" type="noConversion"/>
  </si>
  <si>
    <t>DXK85G</t>
    <phoneticPr fontId="4" type="noConversion"/>
  </si>
  <si>
    <t>ESN71P</t>
    <phoneticPr fontId="4" type="noConversion"/>
  </si>
  <si>
    <t>0421630631</t>
    <phoneticPr fontId="4" type="noConversion"/>
  </si>
  <si>
    <t>DLLOX</t>
    <phoneticPr fontId="4" type="noConversion"/>
  </si>
  <si>
    <t>0433017205</t>
    <phoneticPr fontId="4" type="noConversion"/>
  </si>
  <si>
    <t>22077(2/6)</t>
    <phoneticPr fontId="4" type="noConversion"/>
  </si>
  <si>
    <t>EIM54Y</t>
    <phoneticPr fontId="4" type="noConversion"/>
  </si>
  <si>
    <t>0409921951</t>
    <phoneticPr fontId="4" type="noConversion"/>
  </si>
  <si>
    <t>SHOWER</t>
    <phoneticPr fontId="4" type="noConversion"/>
  </si>
  <si>
    <t>30 - 9 - 2022</t>
    <phoneticPr fontId="4" type="noConversion"/>
  </si>
  <si>
    <t>ENZ25L</t>
    <phoneticPr fontId="4" type="noConversion"/>
  </si>
  <si>
    <t>0408244442</t>
    <phoneticPr fontId="4" type="noConversion"/>
  </si>
  <si>
    <t>JC5151</t>
    <phoneticPr fontId="4" type="noConversion"/>
  </si>
  <si>
    <t>0403102277</t>
    <phoneticPr fontId="4" type="noConversion"/>
  </si>
  <si>
    <t>EIZ58C</t>
    <phoneticPr fontId="4" type="noConversion"/>
  </si>
  <si>
    <t>0401423486</t>
    <phoneticPr fontId="4" type="noConversion"/>
  </si>
  <si>
    <t>DC66</t>
    <phoneticPr fontId="4" type="noConversion"/>
  </si>
  <si>
    <t>0431339618</t>
    <phoneticPr fontId="4" type="noConversion"/>
  </si>
  <si>
    <t>202208116, 202207037(H)</t>
    <phoneticPr fontId="4" type="noConversion"/>
  </si>
  <si>
    <t>EDC28W</t>
    <phoneticPr fontId="4" type="noConversion"/>
  </si>
  <si>
    <t>0411082981</t>
    <phoneticPr fontId="4" type="noConversion"/>
  </si>
  <si>
    <t>NCF01C</t>
    <phoneticPr fontId="4" type="noConversion"/>
  </si>
  <si>
    <t>0437494667</t>
    <phoneticPr fontId="4" type="noConversion"/>
  </si>
  <si>
    <t>CPX73F</t>
    <phoneticPr fontId="4" type="noConversion"/>
  </si>
  <si>
    <t>0404007918</t>
    <phoneticPr fontId="4" type="noConversion"/>
  </si>
  <si>
    <t>BJF34A</t>
    <phoneticPr fontId="4" type="noConversion"/>
  </si>
  <si>
    <t>0412255775</t>
    <phoneticPr fontId="4" type="noConversion"/>
  </si>
  <si>
    <t>NCC89N</t>
    <phoneticPr fontId="4" type="noConversion"/>
  </si>
  <si>
    <t>0405660278</t>
    <phoneticPr fontId="4" type="noConversion"/>
  </si>
  <si>
    <t>ESI54S</t>
    <phoneticPr fontId="4" type="noConversion"/>
  </si>
  <si>
    <t>0414890999</t>
    <phoneticPr fontId="4" type="noConversion"/>
  </si>
  <si>
    <t>202207049, 202207050(X)</t>
    <phoneticPr fontId="4" type="noConversion"/>
  </si>
  <si>
    <t>DWX12D</t>
    <phoneticPr fontId="4" type="noConversion"/>
  </si>
  <si>
    <t>0438723655</t>
    <phoneticPr fontId="4" type="noConversion"/>
  </si>
  <si>
    <t>PCM</t>
    <phoneticPr fontId="4" type="noConversion"/>
  </si>
  <si>
    <t>22008(2/6) (H)</t>
    <phoneticPr fontId="4" type="noConversion"/>
  </si>
  <si>
    <t>1 - 10 - 2022</t>
    <phoneticPr fontId="4" type="noConversion"/>
  </si>
  <si>
    <t>KADAM</t>
    <phoneticPr fontId="4" type="noConversion"/>
  </si>
  <si>
    <t>ETD70P</t>
    <phoneticPr fontId="4" type="noConversion"/>
  </si>
  <si>
    <t>0438432621</t>
    <phoneticPr fontId="4" type="noConversion"/>
  </si>
  <si>
    <t>M</t>
  </si>
  <si>
    <t>KDO100</t>
    <phoneticPr fontId="4" type="noConversion"/>
  </si>
  <si>
    <t>0478127117</t>
    <phoneticPr fontId="4" type="noConversion"/>
  </si>
  <si>
    <t>AQA74J</t>
    <phoneticPr fontId="4" type="noConversion"/>
  </si>
  <si>
    <t>0407424895</t>
    <phoneticPr fontId="4" type="noConversion"/>
  </si>
  <si>
    <t>EKT07G</t>
    <phoneticPr fontId="4" type="noConversion"/>
  </si>
  <si>
    <t>0419615338</t>
    <phoneticPr fontId="4" type="noConversion"/>
  </si>
  <si>
    <t>YDF82L</t>
    <phoneticPr fontId="4" type="noConversion"/>
  </si>
  <si>
    <t>0420909905</t>
    <phoneticPr fontId="4" type="noConversion"/>
  </si>
  <si>
    <t>CTU62T</t>
    <phoneticPr fontId="4" type="noConversion"/>
  </si>
  <si>
    <t>0400351671</t>
    <phoneticPr fontId="4" type="noConversion"/>
  </si>
  <si>
    <t>CAJ28X</t>
    <phoneticPr fontId="4" type="noConversion"/>
  </si>
  <si>
    <t>0413721179</t>
    <phoneticPr fontId="4" type="noConversion"/>
  </si>
  <si>
    <t>ID</t>
    <phoneticPr fontId="4" type="noConversion"/>
  </si>
  <si>
    <t>DCH66L</t>
    <phoneticPr fontId="4" type="noConversion"/>
  </si>
  <si>
    <t>0449583573</t>
    <phoneticPr fontId="4" type="noConversion"/>
  </si>
  <si>
    <t>YIR28P</t>
    <phoneticPr fontId="4" type="noConversion"/>
  </si>
  <si>
    <t>0431742688</t>
    <phoneticPr fontId="4" type="noConversion"/>
  </si>
  <si>
    <t>21122818(6/6),22085(NEW)</t>
    <phoneticPr fontId="4" type="noConversion"/>
  </si>
  <si>
    <t>ESZ09V</t>
    <phoneticPr fontId="4" type="noConversion"/>
  </si>
  <si>
    <t>0432273096</t>
    <phoneticPr fontId="4" type="noConversion"/>
  </si>
  <si>
    <t>ERB22T</t>
    <phoneticPr fontId="4" type="noConversion"/>
  </si>
  <si>
    <t>0419809433</t>
    <phoneticPr fontId="4" type="noConversion"/>
  </si>
  <si>
    <t>EQC08K</t>
    <phoneticPr fontId="4" type="noConversion"/>
  </si>
  <si>
    <t>0408017899</t>
    <phoneticPr fontId="4" type="noConversion"/>
  </si>
  <si>
    <t>DGIO00G</t>
    <phoneticPr fontId="4" type="noConversion"/>
  </si>
  <si>
    <t>0404010880</t>
    <phoneticPr fontId="4" type="noConversion"/>
  </si>
  <si>
    <t>ESD87G</t>
    <phoneticPr fontId="4" type="noConversion"/>
  </si>
  <si>
    <t>0428887158</t>
    <phoneticPr fontId="4" type="noConversion"/>
  </si>
  <si>
    <t>EF076</t>
    <phoneticPr fontId="4" type="noConversion"/>
  </si>
  <si>
    <t>0418913425</t>
    <phoneticPr fontId="4" type="noConversion"/>
  </si>
  <si>
    <t>NBW72B</t>
    <phoneticPr fontId="4" type="noConversion"/>
  </si>
  <si>
    <t>0438002693</t>
    <phoneticPr fontId="4" type="noConversion"/>
  </si>
  <si>
    <t>MG2077</t>
    <phoneticPr fontId="4" type="noConversion"/>
  </si>
  <si>
    <t>0416000655</t>
    <phoneticPr fontId="4" type="noConversion"/>
  </si>
  <si>
    <t>NCB62D</t>
    <phoneticPr fontId="4" type="noConversion"/>
  </si>
  <si>
    <t>0452451336</t>
    <phoneticPr fontId="4" type="noConversion"/>
  </si>
  <si>
    <t>DYZ80J</t>
    <phoneticPr fontId="4" type="noConversion"/>
  </si>
  <si>
    <t>0481215048</t>
    <phoneticPr fontId="4" type="noConversion"/>
  </si>
  <si>
    <t>22056(NEW)</t>
    <phoneticPr fontId="4" type="noConversion"/>
  </si>
  <si>
    <t>2-10-2022</t>
    <phoneticPr fontId="4" type="noConversion"/>
  </si>
  <si>
    <t>BP/ID</t>
    <phoneticPr fontId="4" type="noConversion"/>
  </si>
  <si>
    <t>DWH66Y</t>
    <phoneticPr fontId="4" type="noConversion"/>
  </si>
  <si>
    <t>0418288233</t>
    <phoneticPr fontId="4" type="noConversion"/>
  </si>
  <si>
    <t>GV1</t>
    <phoneticPr fontId="4" type="noConversion"/>
  </si>
  <si>
    <t>EGX77A</t>
    <phoneticPr fontId="4" type="noConversion"/>
  </si>
  <si>
    <t>DFW71R</t>
    <phoneticPr fontId="4" type="noConversion"/>
  </si>
  <si>
    <t>0411443549</t>
    <phoneticPr fontId="4" type="noConversion"/>
  </si>
  <si>
    <t>0428116471</t>
    <phoneticPr fontId="4" type="noConversion"/>
  </si>
  <si>
    <t>YDE08X</t>
    <phoneticPr fontId="4" type="noConversion"/>
  </si>
  <si>
    <t>0403255310</t>
    <phoneticPr fontId="4" type="noConversion"/>
  </si>
  <si>
    <t>0450277473</t>
    <phoneticPr fontId="4" type="noConversion"/>
  </si>
  <si>
    <t>DVW77C</t>
    <phoneticPr fontId="4" type="noConversion"/>
  </si>
  <si>
    <t>0412621409</t>
    <phoneticPr fontId="4" type="noConversion"/>
  </si>
  <si>
    <t>CWB93E</t>
    <phoneticPr fontId="4" type="noConversion"/>
  </si>
  <si>
    <t>0479167486</t>
    <phoneticPr fontId="4" type="noConversion"/>
  </si>
  <si>
    <t>DPE65K</t>
    <phoneticPr fontId="4" type="noConversion"/>
  </si>
  <si>
    <t>0451990170</t>
    <phoneticPr fontId="4" type="noConversion"/>
  </si>
  <si>
    <t>NSZ899</t>
    <phoneticPr fontId="4" type="noConversion"/>
  </si>
  <si>
    <t>0422028291</t>
    <phoneticPr fontId="4" type="noConversion"/>
  </si>
  <si>
    <t>DAU95Y</t>
    <phoneticPr fontId="4" type="noConversion"/>
  </si>
  <si>
    <t>EKD76Y</t>
    <phoneticPr fontId="4" type="noConversion"/>
  </si>
  <si>
    <t>0481370966</t>
    <phoneticPr fontId="4" type="noConversion"/>
  </si>
  <si>
    <t>DTM78K</t>
    <phoneticPr fontId="4" type="noConversion"/>
  </si>
  <si>
    <t>0468814911</t>
    <phoneticPr fontId="4" type="noConversion"/>
  </si>
  <si>
    <t xml:space="preserve">192415(6/6), 22057(NEW)) </t>
    <phoneticPr fontId="4" type="noConversion"/>
  </si>
  <si>
    <t>21048(6/6), 22087(NEW)</t>
    <phoneticPr fontId="4" type="noConversion"/>
  </si>
  <si>
    <t>EMB75G</t>
    <phoneticPr fontId="4" type="noConversion"/>
  </si>
  <si>
    <t>0414973686</t>
    <phoneticPr fontId="4" type="noConversion"/>
  </si>
  <si>
    <t>88BMWM</t>
    <phoneticPr fontId="4" type="noConversion"/>
  </si>
  <si>
    <t>0479077545</t>
  </si>
  <si>
    <t>DMS63Z</t>
    <phoneticPr fontId="4" type="noConversion"/>
  </si>
  <si>
    <t>0434666669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</si>
</sst>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745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82" fontId="0" fillId="0" borderId="0" xfId="0" applyNumberFormat="1" applyAlignment="1">
      <alignment shrinkToFit="1"/>
    </xf>
    <xf numFmtId="178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76" fontId="0" fillId="0" borderId="0" xfId="0" applyNumberFormat="1" applyAlignment="1">
      <alignment shrinkToFit="1"/>
    </xf>
    <xf numFmtId="2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30" fillId="2" borderId="9" xfId="0" applyFont="1" applyFill="1" applyBorder="1" applyAlignment="1">
      <alignment shrinkToFit="1"/>
    </xf>
    <xf numFmtId="0" fontId="31" fillId="2" borderId="9" xfId="0" applyFont="1" applyFill="1" applyBorder="1" applyAlignment="1">
      <alignment shrinkToFit="1"/>
    </xf>
    <xf numFmtId="0" fontId="32" fillId="2" borderId="9" xfId="0" applyFont="1" applyFill="1" applyBorder="1" applyAlignment="1">
      <alignment shrinkToFit="1"/>
    </xf>
    <xf numFmtId="177" fontId="32" fillId="2" borderId="4" xfId="0" applyNumberFormat="1" applyFont="1" applyFill="1" applyBorder="1" applyAlignment="1">
      <alignment horizontal="center" shrinkToFit="1"/>
    </xf>
    <xf numFmtId="177" fontId="32" fillId="2" borderId="6" xfId="0" applyNumberFormat="1" applyFont="1" applyFill="1" applyBorder="1" applyAlignment="1">
      <alignment horizontal="center" shrinkToFit="1"/>
    </xf>
    <xf numFmtId="0" fontId="17" fillId="13" borderId="8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24" fillId="14" borderId="1" xfId="4" applyBorder="1" applyAlignment="1">
      <alignment horizontal="center" vertical="center"/>
    </xf>
    <xf numFmtId="0" fontId="24" fillId="14" borderId="1" xfId="4" applyBorder="1" applyAlignment="1">
      <alignment shrinkToFit="1"/>
    </xf>
    <xf numFmtId="49" fontId="24" fillId="14" borderId="2" xfId="4" applyNumberFormat="1" applyBorder="1" applyAlignment="1">
      <alignment shrinkToFit="1"/>
    </xf>
    <xf numFmtId="0" fontId="24" fillId="14" borderId="62" xfId="4" applyBorder="1" applyAlignment="1">
      <alignment horizontal="center" shrinkToFit="1"/>
    </xf>
    <xf numFmtId="0" fontId="24" fillId="14" borderId="26" xfId="4" applyBorder="1" applyAlignment="1">
      <alignment horizontal="left" shrinkToFit="1"/>
    </xf>
    <xf numFmtId="0" fontId="24" fillId="14" borderId="1" xfId="4" applyBorder="1" applyAlignment="1">
      <alignment horizontal="center" shrinkToFit="1"/>
    </xf>
    <xf numFmtId="178" fontId="24" fillId="14" borderId="61" xfId="4" applyNumberFormat="1" applyBorder="1" applyAlignment="1">
      <alignment horizontal="center" shrinkToFit="1"/>
    </xf>
    <xf numFmtId="178" fontId="24" fillId="14" borderId="26" xfId="4" applyNumberFormat="1" applyBorder="1" applyAlignment="1">
      <alignment horizontal="center" shrinkToFit="1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178" fontId="24" fillId="14" borderId="1" xfId="4" applyNumberFormat="1" applyBorder="1" applyAlignment="1">
      <alignment horizontal="center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176" fontId="14" fillId="0" borderId="0" xfId="0" applyNumberFormat="1" applyFont="1" applyAlignment="1">
      <alignment horizontal="center" shrinkToFit="1"/>
    </xf>
    <xf numFmtId="26" fontId="14" fillId="0" borderId="0" xfId="0" applyNumberFormat="1" applyFont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  <xf numFmtId="0" fontId="24" fillId="14" borderId="19" xfId="4" applyBorder="1" applyAlignment="1">
      <alignment horizontal="center" shrinkToFit="1"/>
    </xf>
    <xf numFmtId="0" fontId="24" fillId="14" borderId="4" xfId="4" applyBorder="1" applyAlignment="1">
      <alignment horizontal="center" shrinkToFit="1"/>
    </xf>
    <xf numFmtId="0" fontId="24" fillId="14" borderId="1" xfId="4" applyBorder="1" applyAlignment="1"/>
    <xf numFmtId="49" fontId="24" fillId="14" borderId="2" xfId="4" applyNumberFormat="1" applyBorder="1" applyAlignment="1">
      <alignment horizontal="left"/>
    </xf>
    <xf numFmtId="179" fontId="24" fillId="14" borderId="39" xfId="4" applyNumberFormat="1" applyBorder="1" applyAlignment="1">
      <alignment horizontal="left"/>
    </xf>
    <xf numFmtId="0" fontId="24" fillId="14" borderId="6" xfId="4" applyBorder="1" applyAlignment="1">
      <alignment horizontal="center" shrinkToFit="1"/>
    </xf>
    <xf numFmtId="0" fontId="24" fillId="14" borderId="37" xfId="4" applyBorder="1" applyAlignment="1">
      <alignment horizontal="center" shrinkToFit="1"/>
    </xf>
    <xf numFmtId="0" fontId="24" fillId="14" borderId="47" xfId="4" applyBorder="1" applyAlignment="1">
      <alignment horizontal="center" shrinkToFit="1"/>
    </xf>
    <xf numFmtId="0" fontId="24" fillId="14" borderId="9" xfId="4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90" zoomScaleNormal="90" zoomScaleSheetLayoutView="100" workbookViewId="0">
      <selection activeCell="S15" sqref="S15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19" t="s">
        <v>77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1"/>
    </row>
    <row r="2" spans="1:44" ht="17.25" thickBot="1" x14ac:dyDescent="0.35">
      <c r="A2" s="319" t="s">
        <v>97</v>
      </c>
      <c r="B2" s="320"/>
      <c r="C2" s="320"/>
      <c r="D2" s="320"/>
      <c r="E2" s="320"/>
      <c r="F2" s="320"/>
      <c r="G2" s="321"/>
      <c r="H2" s="322" t="s">
        <v>49</v>
      </c>
      <c r="I2" s="323"/>
      <c r="J2" s="319" t="s">
        <v>153</v>
      </c>
      <c r="K2" s="321"/>
      <c r="L2" s="323" t="s">
        <v>96</v>
      </c>
      <c r="M2" s="324"/>
      <c r="N2" s="322"/>
      <c r="O2" s="320" t="s">
        <v>145</v>
      </c>
      <c r="P2" s="320"/>
      <c r="Q2" s="321"/>
      <c r="R2" s="323" t="s">
        <v>51</v>
      </c>
      <c r="S2" s="322"/>
      <c r="T2" s="311">
        <v>4</v>
      </c>
      <c r="U2" s="31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2" t="s">
        <v>8</v>
      </c>
      <c r="P4" s="312"/>
      <c r="Q4" s="31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11340</v>
      </c>
      <c r="C5" s="59" t="s">
        <v>98</v>
      </c>
      <c r="D5" s="190" t="s">
        <v>99</v>
      </c>
      <c r="E5" s="171" t="s">
        <v>91</v>
      </c>
      <c r="F5" s="160">
        <v>930</v>
      </c>
      <c r="G5" s="109" t="s">
        <v>102</v>
      </c>
      <c r="H5" s="82"/>
      <c r="I5" s="115">
        <v>95.95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145</v>
      </c>
      <c r="O5" s="358"/>
      <c r="P5" s="359"/>
      <c r="Q5" s="360"/>
      <c r="R5" s="32" t="s">
        <v>145</v>
      </c>
      <c r="S5" s="30">
        <v>0.35416666666666669</v>
      </c>
      <c r="T5" s="31">
        <v>0.75</v>
      </c>
      <c r="U5" s="83">
        <f t="shared" ref="U5:U15" si="0">(T5-S5)*24</f>
        <v>9.5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11341</v>
      </c>
      <c r="C6" s="58" t="s">
        <v>100</v>
      </c>
      <c r="D6" s="190" t="s">
        <v>101</v>
      </c>
      <c r="E6" s="171" t="s">
        <v>91</v>
      </c>
      <c r="F6" s="161">
        <v>925</v>
      </c>
      <c r="G6" s="109" t="s">
        <v>44</v>
      </c>
      <c r="H6" s="82"/>
      <c r="I6" s="115"/>
      <c r="J6" s="120" t="str">
        <f t="shared" ref="J6:J29" si="1">IF(G6="RSL","55","0")</f>
        <v>55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145</v>
      </c>
      <c r="O6" s="313" t="s">
        <v>103</v>
      </c>
      <c r="P6" s="314"/>
      <c r="Q6" s="315"/>
      <c r="R6" s="122" t="s">
        <v>146</v>
      </c>
      <c r="S6" s="30">
        <v>0.33333333333333331</v>
      </c>
      <c r="T6" s="31">
        <v>0.625</v>
      </c>
      <c r="U6" s="83">
        <f t="shared" si="0"/>
        <v>7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11342</v>
      </c>
      <c r="C7" s="58" t="s">
        <v>104</v>
      </c>
      <c r="D7" s="190" t="s">
        <v>105</v>
      </c>
      <c r="E7" s="171" t="s">
        <v>91</v>
      </c>
      <c r="F7" s="161">
        <v>950</v>
      </c>
      <c r="G7" s="109" t="s">
        <v>102</v>
      </c>
      <c r="H7" s="82"/>
      <c r="I7" s="115">
        <v>95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145</v>
      </c>
      <c r="O7" s="286"/>
      <c r="P7" s="285"/>
      <c r="Q7" s="287"/>
      <c r="R7" s="124" t="s">
        <v>147</v>
      </c>
      <c r="S7" s="30">
        <v>0.41666666666666669</v>
      </c>
      <c r="T7" s="31">
        <v>0.75</v>
      </c>
      <c r="U7" s="83">
        <f t="shared" si="0"/>
        <v>8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11343</v>
      </c>
      <c r="C8" s="26" t="s">
        <v>106</v>
      </c>
      <c r="D8" s="190" t="s">
        <v>107</v>
      </c>
      <c r="E8" s="171" t="s">
        <v>92</v>
      </c>
      <c r="F8" s="161">
        <v>1005</v>
      </c>
      <c r="G8" s="109" t="s">
        <v>108</v>
      </c>
      <c r="H8" s="82">
        <v>180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145</v>
      </c>
      <c r="O8" s="316"/>
      <c r="P8" s="317"/>
      <c r="Q8" s="318"/>
      <c r="R8" s="25" t="s">
        <v>148</v>
      </c>
      <c r="S8" s="30">
        <v>0.45833333333333331</v>
      </c>
      <c r="T8" s="31">
        <v>0.71875</v>
      </c>
      <c r="U8" s="83">
        <f t="shared" si="0"/>
        <v>6.25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11344</v>
      </c>
      <c r="C9" s="54" t="s">
        <v>119</v>
      </c>
      <c r="D9" s="191" t="s">
        <v>120</v>
      </c>
      <c r="E9" s="171" t="s">
        <v>91</v>
      </c>
      <c r="F9" s="162">
        <v>1030</v>
      </c>
      <c r="G9" s="110" t="s">
        <v>44</v>
      </c>
      <c r="H9" s="82">
        <v>20</v>
      </c>
      <c r="I9" s="82"/>
      <c r="J9" s="120" t="str">
        <f t="shared" si="1"/>
        <v>55</v>
      </c>
      <c r="K9" s="120" t="str">
        <f t="shared" si="2"/>
        <v>0</v>
      </c>
      <c r="L9" s="121"/>
      <c r="M9" s="121"/>
      <c r="N9" s="124" t="s">
        <v>145</v>
      </c>
      <c r="O9" s="316" t="s">
        <v>121</v>
      </c>
      <c r="P9" s="317"/>
      <c r="Q9" s="318"/>
      <c r="R9" s="249" t="s">
        <v>149</v>
      </c>
      <c r="S9" s="30">
        <v>0.58333333333333337</v>
      </c>
      <c r="T9" s="31">
        <v>0.70833333333333337</v>
      </c>
      <c r="U9" s="83">
        <f t="shared" si="0"/>
        <v>3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11345</v>
      </c>
      <c r="C10" s="54" t="s">
        <v>109</v>
      </c>
      <c r="D10" s="191" t="s">
        <v>110</v>
      </c>
      <c r="E10" s="171" t="s">
        <v>92</v>
      </c>
      <c r="F10" s="162">
        <v>1045</v>
      </c>
      <c r="G10" s="110" t="s">
        <v>102</v>
      </c>
      <c r="H10" s="82">
        <v>75</v>
      </c>
      <c r="I10" s="82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145</v>
      </c>
      <c r="O10" s="308"/>
      <c r="P10" s="309"/>
      <c r="Q10" s="310"/>
      <c r="R10" s="25" t="s">
        <v>154</v>
      </c>
      <c r="S10" s="30">
        <v>0.70833333333333337</v>
      </c>
      <c r="T10" s="31">
        <v>0.72916666666666663</v>
      </c>
      <c r="U10" s="83">
        <f t="shared" si="0"/>
        <v>0.49999999999999822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11346</v>
      </c>
      <c r="C11" s="27" t="s">
        <v>111</v>
      </c>
      <c r="D11" s="192" t="s">
        <v>112</v>
      </c>
      <c r="E11" s="171" t="s">
        <v>91</v>
      </c>
      <c r="F11" s="163">
        <v>1050</v>
      </c>
      <c r="G11" s="111" t="s">
        <v>113</v>
      </c>
      <c r="H11" s="114">
        <v>130</v>
      </c>
      <c r="I11" s="116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145</v>
      </c>
      <c r="O11" s="286"/>
      <c r="P11" s="285"/>
      <c r="Q11" s="287"/>
      <c r="R11" s="25" t="s">
        <v>155</v>
      </c>
      <c r="S11" s="30">
        <v>0.70833333333333337</v>
      </c>
      <c r="T11" s="31">
        <v>0.72916666666666663</v>
      </c>
      <c r="U11" s="83">
        <f t="shared" si="0"/>
        <v>0.49999999999999822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11347</v>
      </c>
      <c r="C12" s="17" t="s">
        <v>114</v>
      </c>
      <c r="D12" s="193" t="s">
        <v>115</v>
      </c>
      <c r="E12" s="171" t="s">
        <v>92</v>
      </c>
      <c r="F12" s="57">
        <v>1100</v>
      </c>
      <c r="G12" s="112" t="s">
        <v>113</v>
      </c>
      <c r="H12" s="114">
        <v>150</v>
      </c>
      <c r="I12" s="115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145</v>
      </c>
      <c r="O12" s="286"/>
      <c r="P12" s="285"/>
      <c r="Q12" s="287"/>
      <c r="R12" s="25" t="s">
        <v>156</v>
      </c>
      <c r="S12" s="30">
        <v>0.70833333333333337</v>
      </c>
      <c r="T12" s="31">
        <v>0.72916666666666663</v>
      </c>
      <c r="U12" s="83">
        <f t="shared" si="0"/>
        <v>0.49999999999999822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11348</v>
      </c>
      <c r="C13" s="55" t="s">
        <v>122</v>
      </c>
      <c r="D13" s="194" t="s">
        <v>123</v>
      </c>
      <c r="E13" s="171" t="s">
        <v>92</v>
      </c>
      <c r="F13" s="163">
        <v>1130</v>
      </c>
      <c r="G13" s="110" t="s">
        <v>113</v>
      </c>
      <c r="H13" s="114"/>
      <c r="I13" s="116">
        <v>150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145</v>
      </c>
      <c r="O13" s="286"/>
      <c r="P13" s="285"/>
      <c r="Q13" s="287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11349</v>
      </c>
      <c r="C14" s="55" t="s">
        <v>116</v>
      </c>
      <c r="D14" s="194" t="s">
        <v>117</v>
      </c>
      <c r="E14" s="171" t="s">
        <v>92</v>
      </c>
      <c r="F14" s="163">
        <v>1200</v>
      </c>
      <c r="G14" s="110" t="s">
        <v>118</v>
      </c>
      <c r="H14" s="114"/>
      <c r="I14" s="116">
        <v>180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145</v>
      </c>
      <c r="O14" s="286" t="s">
        <v>157</v>
      </c>
      <c r="P14" s="285"/>
      <c r="Q14" s="28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11350</v>
      </c>
      <c r="C15" s="56" t="s">
        <v>127</v>
      </c>
      <c r="D15" s="195" t="s">
        <v>128</v>
      </c>
      <c r="E15" s="171" t="s">
        <v>91</v>
      </c>
      <c r="F15" s="164">
        <v>1210</v>
      </c>
      <c r="G15" s="113" t="s">
        <v>102</v>
      </c>
      <c r="H15" s="114">
        <v>95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145</v>
      </c>
      <c r="O15" s="286"/>
      <c r="P15" s="285"/>
      <c r="Q15" s="28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11351</v>
      </c>
      <c r="C16" s="56" t="s">
        <v>129</v>
      </c>
      <c r="D16" s="195" t="s">
        <v>130</v>
      </c>
      <c r="E16" s="171" t="s">
        <v>92</v>
      </c>
      <c r="F16" s="164">
        <v>1315</v>
      </c>
      <c r="G16" s="113" t="s">
        <v>126</v>
      </c>
      <c r="H16" s="114"/>
      <c r="I16" s="115">
        <v>75</v>
      </c>
      <c r="J16" s="120">
        <v>0</v>
      </c>
      <c r="K16" s="120" t="str">
        <f t="shared" si="2"/>
        <v>0</v>
      </c>
      <c r="L16" s="121"/>
      <c r="M16" s="121"/>
      <c r="N16" s="124" t="s">
        <v>145</v>
      </c>
      <c r="O16" s="286"/>
      <c r="P16" s="285"/>
      <c r="Q16" s="287"/>
      <c r="R16" s="73">
        <f>H32/U16</f>
        <v>0.51063829787234039</v>
      </c>
      <c r="S16" s="74">
        <f>H32/(U16-U5)</f>
        <v>0.69902912621359226</v>
      </c>
      <c r="T16" s="74">
        <f>C32/U16</f>
        <v>68.281134751773052</v>
      </c>
      <c r="U16" s="74">
        <f>SUM(U5:U15)</f>
        <v>35.25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11352</v>
      </c>
      <c r="C17" s="17" t="s">
        <v>131</v>
      </c>
      <c r="D17" s="193" t="s">
        <v>132</v>
      </c>
      <c r="E17" s="171" t="s">
        <v>92</v>
      </c>
      <c r="F17" s="57">
        <v>1400</v>
      </c>
      <c r="G17" s="112" t="s">
        <v>44</v>
      </c>
      <c r="H17" s="114">
        <v>20</v>
      </c>
      <c r="I17" s="115"/>
      <c r="J17" s="120" t="str">
        <f t="shared" si="1"/>
        <v>55</v>
      </c>
      <c r="K17" s="120" t="str">
        <f t="shared" si="2"/>
        <v>0</v>
      </c>
      <c r="L17" s="121"/>
      <c r="M17" s="121"/>
      <c r="N17" s="124" t="s">
        <v>145</v>
      </c>
      <c r="O17" s="286" t="s">
        <v>135</v>
      </c>
      <c r="P17" s="285"/>
      <c r="Q17" s="28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11353</v>
      </c>
      <c r="C18" s="17" t="s">
        <v>133</v>
      </c>
      <c r="D18" s="193" t="s">
        <v>134</v>
      </c>
      <c r="E18" s="171" t="s">
        <v>92</v>
      </c>
      <c r="F18" s="57">
        <v>1400</v>
      </c>
      <c r="G18" s="19" t="s">
        <v>44</v>
      </c>
      <c r="H18" s="114"/>
      <c r="I18" s="115"/>
      <c r="J18" s="120" t="str">
        <f t="shared" si="1"/>
        <v>55</v>
      </c>
      <c r="K18" s="120" t="str">
        <f t="shared" si="2"/>
        <v>0</v>
      </c>
      <c r="L18" s="121"/>
      <c r="M18" s="121"/>
      <c r="N18" s="124" t="s">
        <v>145</v>
      </c>
      <c r="O18" s="286" t="s">
        <v>136</v>
      </c>
      <c r="P18" s="285"/>
      <c r="Q18" s="28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11354</v>
      </c>
      <c r="C19" s="17" t="s">
        <v>124</v>
      </c>
      <c r="D19" s="193" t="s">
        <v>125</v>
      </c>
      <c r="E19" s="171" t="s">
        <v>92</v>
      </c>
      <c r="F19" s="57">
        <v>1435</v>
      </c>
      <c r="G19" s="112" t="s">
        <v>126</v>
      </c>
      <c r="H19" s="114"/>
      <c r="I19" s="115">
        <v>55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145</v>
      </c>
      <c r="O19" s="286"/>
      <c r="P19" s="285"/>
      <c r="Q19" s="285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11355</v>
      </c>
      <c r="C20" s="17" t="s">
        <v>137</v>
      </c>
      <c r="D20" s="193" t="s">
        <v>138</v>
      </c>
      <c r="E20" s="171" t="s">
        <v>91</v>
      </c>
      <c r="F20" s="57">
        <v>1500</v>
      </c>
      <c r="G20" s="112" t="s">
        <v>139</v>
      </c>
      <c r="H20" s="114"/>
      <c r="I20" s="209"/>
      <c r="J20" s="120" t="str">
        <f t="shared" si="1"/>
        <v>0</v>
      </c>
      <c r="K20" s="211">
        <v>79.16</v>
      </c>
      <c r="L20" s="210"/>
      <c r="M20" s="210"/>
      <c r="N20" s="124" t="s">
        <v>145</v>
      </c>
      <c r="O20" s="354" t="s">
        <v>140</v>
      </c>
      <c r="P20" s="355"/>
      <c r="Q20" s="35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11356</v>
      </c>
      <c r="C21" s="17" t="s">
        <v>141</v>
      </c>
      <c r="D21" s="193" t="s">
        <v>142</v>
      </c>
      <c r="E21" s="171" t="s">
        <v>92</v>
      </c>
      <c r="F21" s="57">
        <v>1500</v>
      </c>
      <c r="G21" s="19" t="s">
        <v>143</v>
      </c>
      <c r="H21" s="114"/>
      <c r="I21" s="115"/>
      <c r="J21" s="120" t="str">
        <f t="shared" si="1"/>
        <v>0</v>
      </c>
      <c r="K21" s="120">
        <v>100</v>
      </c>
      <c r="L21" s="121"/>
      <c r="M21" s="121"/>
      <c r="N21" s="124" t="s">
        <v>145</v>
      </c>
      <c r="O21" s="286" t="s">
        <v>144</v>
      </c>
      <c r="P21" s="285"/>
      <c r="Q21" s="28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11357</v>
      </c>
      <c r="C22" s="21" t="s">
        <v>151</v>
      </c>
      <c r="D22" s="196" t="s">
        <v>152</v>
      </c>
      <c r="E22" s="171" t="s">
        <v>92</v>
      </c>
      <c r="F22" s="165">
        <v>1550</v>
      </c>
      <c r="G22" s="204" t="s">
        <v>150</v>
      </c>
      <c r="H22" s="80"/>
      <c r="I22" s="131">
        <v>686.8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145</v>
      </c>
      <c r="O22" s="286"/>
      <c r="P22" s="285"/>
      <c r="Q22" s="28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2"/>
      <c r="Y23" s="353"/>
      <c r="Z23" s="353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6"/>
      <c r="P24" s="285"/>
      <c r="Q24" s="28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6"/>
      <c r="P25" s="285"/>
      <c r="Q25" s="287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56">
        <f>((C32+(R26+S26+T26)*0.5))</f>
        <v>2406.91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6"/>
      <c r="P26" s="285"/>
      <c r="Q26" s="287"/>
      <c r="R26" s="103">
        <f>R25*37.5</f>
        <v>0</v>
      </c>
      <c r="S26" s="93">
        <f>S25*41.5</f>
        <v>0</v>
      </c>
      <c r="T26" s="93">
        <f>T25*50</f>
        <v>0</v>
      </c>
      <c r="U26" s="35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6"/>
      <c r="P27" s="285"/>
      <c r="Q27" s="287"/>
      <c r="R27" s="349" t="s">
        <v>56</v>
      </c>
      <c r="S27" s="350"/>
      <c r="T27" s="350"/>
      <c r="U27" s="351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6"/>
      <c r="P28" s="285"/>
      <c r="Q28" s="287"/>
      <c r="R28" s="342"/>
      <c r="S28" s="343"/>
      <c r="T28" s="344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9"/>
      <c r="P29" s="330"/>
      <c r="Q29" s="331"/>
      <c r="R29" s="332"/>
      <c r="S29" s="333"/>
      <c r="T29" s="334"/>
      <c r="U29" s="140"/>
      <c r="X29" s="14">
        <v>3</v>
      </c>
      <c r="Z29" s="45"/>
      <c r="AE29" s="39"/>
    </row>
    <row r="30" spans="1:44" ht="16.5" customHeight="1" thickBot="1" x14ac:dyDescent="0.35">
      <c r="A30" s="335" t="s">
        <v>48</v>
      </c>
      <c r="B30" s="336"/>
      <c r="C30" s="336"/>
      <c r="D30" s="336"/>
      <c r="E30" s="337"/>
      <c r="F30" s="336"/>
      <c r="G30" s="336"/>
      <c r="H30" s="201">
        <f t="shared" ref="H30:M30" si="3">SUM(H5:H29)</f>
        <v>670</v>
      </c>
      <c r="I30" s="96">
        <f>SUM(I5:I29)</f>
        <v>1337.75</v>
      </c>
      <c r="J30" s="96">
        <f>J5+J6+J7+J8+J9+J10+J11+J12+J13+J14+J15+J16+J18+J19+J17+J20+J22+J23+J21+J24+J25+J26+J27+J28+J29</f>
        <v>220</v>
      </c>
      <c r="K30" s="96">
        <f>K5+K6+K7+K8+K9+K10+K11+K12+K13+K14+K15+K16+K18+K19+K17+K20+K22+K23+K21+K24+K25+K26+K27+K28+K29</f>
        <v>179.16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8"/>
      <c r="S30" s="338"/>
      <c r="T30" s="339"/>
      <c r="U30" s="141"/>
      <c r="X30" s="14">
        <v>4</v>
      </c>
      <c r="Z30" s="45"/>
      <c r="AD30" s="46"/>
    </row>
    <row r="31" spans="1:44" x14ac:dyDescent="0.3">
      <c r="A31" s="340" t="s">
        <v>16</v>
      </c>
      <c r="B31" s="341"/>
      <c r="C31" s="341"/>
      <c r="D31" s="341"/>
      <c r="E31" s="341"/>
      <c r="F31" s="341"/>
      <c r="G31" s="341"/>
      <c r="H31" s="202">
        <f t="shared" ref="H31:J31" si="4">H30+H62+H94</f>
        <v>670</v>
      </c>
      <c r="I31" s="94">
        <f t="shared" si="4"/>
        <v>1337.75</v>
      </c>
      <c r="J31" s="94">
        <f t="shared" si="4"/>
        <v>220</v>
      </c>
      <c r="K31" s="94">
        <f>K30+K62+K94</f>
        <v>179.16</v>
      </c>
      <c r="L31" s="88">
        <f>L30+L62+L94</f>
        <v>0</v>
      </c>
      <c r="M31" s="88">
        <f>M30+M62+M94</f>
        <v>0</v>
      </c>
      <c r="N31" s="207">
        <f>COUNT(H5:H29,H37:H61,H69:H93)</f>
        <v>7</v>
      </c>
      <c r="O31" s="95">
        <f>COUNT(I5:I29,I37:I61,I69:I93)</f>
        <v>7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4</v>
      </c>
      <c r="R31" s="89" t="s">
        <v>83</v>
      </c>
      <c r="S31" s="102">
        <f>H31+L31-U28-U29-U30</f>
        <v>670</v>
      </c>
      <c r="T31" s="325">
        <f>H31+I31+L31+M31</f>
        <v>2007.75</v>
      </c>
      <c r="U31" s="326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45" t="s">
        <v>55</v>
      </c>
      <c r="B32" s="346"/>
      <c r="C32" s="98">
        <f>H31+I31+J31+K31</f>
        <v>2406.91</v>
      </c>
      <c r="D32" s="186"/>
      <c r="E32" s="98"/>
      <c r="F32" s="347" t="s">
        <v>53</v>
      </c>
      <c r="G32" s="347"/>
      <c r="H32" s="100">
        <f>COUNT(B5:B29,B37:B61,B69:B93)</f>
        <v>18</v>
      </c>
      <c r="I32" s="348" t="s">
        <v>54</v>
      </c>
      <c r="J32" s="348"/>
      <c r="K32" s="99">
        <f>C32/H32</f>
        <v>133.7172222222222</v>
      </c>
      <c r="L32" s="208"/>
      <c r="M32" s="208"/>
      <c r="N32" s="208">
        <f>H31/C32</f>
        <v>0.27836520684196753</v>
      </c>
      <c r="O32" s="208">
        <f>I31/C32</f>
        <v>0.55579560515349558</v>
      </c>
      <c r="P32" s="208">
        <f>K31/C32</f>
        <v>7.4435687250458057E-2</v>
      </c>
      <c r="Q32" s="101">
        <f>J31/C32</f>
        <v>9.1403500754078881E-2</v>
      </c>
      <c r="R32" s="90" t="s">
        <v>82</v>
      </c>
      <c r="S32" s="203">
        <f>I31+M31</f>
        <v>1337.75</v>
      </c>
      <c r="T32" s="327"/>
      <c r="U32" s="328"/>
      <c r="V32" s="39"/>
      <c r="W32" s="39"/>
      <c r="X32" s="48" t="s">
        <v>27</v>
      </c>
      <c r="Y32" s="48"/>
      <c r="Z32" s="47">
        <f>I31</f>
        <v>1337.75</v>
      </c>
    </row>
    <row r="33" spans="1:33" ht="17.25" thickBot="1" x14ac:dyDescent="0.35">
      <c r="A33" s="279" t="s">
        <v>24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320"/>
      <c r="U33" s="321"/>
      <c r="X33" s="49" t="s">
        <v>29</v>
      </c>
      <c r="Y33" s="49"/>
      <c r="Z33" s="50">
        <f>SUM(Z31:Z32)</f>
        <v>-1407.25</v>
      </c>
      <c r="AG33" s="35"/>
    </row>
    <row r="34" spans="1:33" ht="17.25" thickBot="1" x14ac:dyDescent="0.35">
      <c r="A34" s="319" t="str">
        <f>A2</f>
        <v>26-09-2022</v>
      </c>
      <c r="B34" s="320"/>
      <c r="C34" s="320"/>
      <c r="D34" s="320"/>
      <c r="E34" s="320"/>
      <c r="F34" s="320"/>
      <c r="G34" s="321"/>
      <c r="H34" s="322" t="s">
        <v>49</v>
      </c>
      <c r="I34" s="323"/>
      <c r="J34" s="319" t="str">
        <f>J2</f>
        <v>CLOUDY</v>
      </c>
      <c r="K34" s="321"/>
      <c r="L34" s="323" t="s">
        <v>50</v>
      </c>
      <c r="M34" s="324"/>
      <c r="N34" s="322"/>
      <c r="O34" s="320" t="str">
        <f>O2</f>
        <v>JOHN</v>
      </c>
      <c r="P34" s="320"/>
      <c r="Q34" s="321"/>
      <c r="R34" s="323" t="s">
        <v>51</v>
      </c>
      <c r="S34" s="322"/>
      <c r="T34" s="311">
        <f>T2</f>
        <v>4</v>
      </c>
      <c r="U34" s="31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2" t="s">
        <v>8</v>
      </c>
      <c r="P36" s="312"/>
      <c r="Q36" s="31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6"/>
      <c r="P37" s="285"/>
      <c r="Q37" s="287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3"/>
      <c r="P38" s="314"/>
      <c r="Q38" s="315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6"/>
      <c r="P39" s="285"/>
      <c r="Q39" s="287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6"/>
      <c r="P40" s="317"/>
      <c r="Q40" s="31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6"/>
      <c r="P41" s="317"/>
      <c r="Q41" s="31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8"/>
      <c r="P42" s="309"/>
      <c r="Q42" s="310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6"/>
      <c r="P43" s="285"/>
      <c r="Q43" s="287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6"/>
      <c r="P44" s="285"/>
      <c r="Q44" s="28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6"/>
      <c r="P45" s="285"/>
      <c r="Q45" s="287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6"/>
      <c r="P46" s="285"/>
      <c r="Q46" s="28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6"/>
      <c r="P47" s="285"/>
      <c r="Q47" s="287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6"/>
      <c r="P48" s="285"/>
      <c r="Q48" s="287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6"/>
      <c r="P49" s="285"/>
      <c r="Q49" s="287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6"/>
      <c r="P50" s="285"/>
      <c r="Q50" s="287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6"/>
      <c r="P51" s="285"/>
      <c r="Q51" s="28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6"/>
      <c r="P52" s="285"/>
      <c r="Q52" s="28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07"/>
      <c r="P53" s="286"/>
      <c r="Q53" s="286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07"/>
      <c r="P54" s="286"/>
      <c r="Q54" s="286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07"/>
      <c r="P55" s="286"/>
      <c r="Q55" s="286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5"/>
      <c r="P56" s="285"/>
      <c r="Q56" s="28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6"/>
      <c r="P57" s="285"/>
      <c r="Q57" s="28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5"/>
      <c r="P58" s="285"/>
      <c r="Q58" s="28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5"/>
      <c r="P59" s="285"/>
      <c r="Q59" s="28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6"/>
      <c r="P60" s="285"/>
      <c r="Q60" s="28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88"/>
      <c r="P61" s="289"/>
      <c r="Q61" s="290"/>
      <c r="R61" s="72"/>
      <c r="S61" s="59"/>
      <c r="T61" s="59"/>
      <c r="U61" s="68"/>
    </row>
    <row r="62" spans="1:21" x14ac:dyDescent="0.3">
      <c r="A62" s="291" t="s">
        <v>48</v>
      </c>
      <c r="B62" s="292"/>
      <c r="C62" s="292"/>
      <c r="D62" s="292"/>
      <c r="E62" s="292"/>
      <c r="F62" s="292"/>
      <c r="G62" s="292"/>
      <c r="H62" s="292">
        <f t="shared" ref="H62:M62" si="8">SUM(H37:H61)</f>
        <v>0</v>
      </c>
      <c r="I62" s="298">
        <f t="shared" si="8"/>
        <v>0</v>
      </c>
      <c r="J62" s="298">
        <f>J61+J60+J59+J58+J57+J56+J55+J54+J53+J52+J51+J50+J49+J48+J47+J46+J45+J44+J43+J42+J41+J40+J39+J38+J37</f>
        <v>0</v>
      </c>
      <c r="K62" s="298">
        <f>K61+K60+K59+K58+K57+K56+K55+K54+K53+K52+K51+K50+K49+K48+K47+K46+K45+K44+K43+K42+K41+K40+K39+K38+K37</f>
        <v>0</v>
      </c>
      <c r="L62" s="301">
        <f t="shared" si="8"/>
        <v>0</v>
      </c>
      <c r="M62" s="304">
        <f t="shared" si="8"/>
        <v>0</v>
      </c>
      <c r="N62" s="273"/>
      <c r="O62" s="274"/>
      <c r="P62" s="274"/>
      <c r="Q62" s="275"/>
      <c r="R62" s="5"/>
      <c r="S62" s="6"/>
      <c r="T62" s="7"/>
      <c r="U62" s="8"/>
    </row>
    <row r="63" spans="1:21" ht="17.25" thickBot="1" x14ac:dyDescent="0.35">
      <c r="A63" s="294"/>
      <c r="B63" s="295"/>
      <c r="C63" s="295"/>
      <c r="D63" s="295"/>
      <c r="E63" s="295"/>
      <c r="F63" s="295"/>
      <c r="G63" s="295"/>
      <c r="H63" s="295"/>
      <c r="I63" s="299"/>
      <c r="J63" s="299"/>
      <c r="K63" s="299"/>
      <c r="L63" s="302"/>
      <c r="M63" s="305"/>
      <c r="N63" s="276"/>
      <c r="O63" s="277"/>
      <c r="P63" s="277"/>
      <c r="Q63" s="278"/>
      <c r="R63" s="1"/>
      <c r="S63" s="2"/>
      <c r="T63" s="3"/>
      <c r="U63" s="4"/>
    </row>
    <row r="64" spans="1:21" ht="17.25" thickBot="1" x14ac:dyDescent="0.35">
      <c r="A64" s="296"/>
      <c r="B64" s="297"/>
      <c r="C64" s="297"/>
      <c r="D64" s="297"/>
      <c r="E64" s="297"/>
      <c r="F64" s="297"/>
      <c r="G64" s="297"/>
      <c r="H64" s="297"/>
      <c r="I64" s="300"/>
      <c r="J64" s="300"/>
      <c r="K64" s="300"/>
      <c r="L64" s="303"/>
      <c r="M64" s="306"/>
      <c r="N64" s="279"/>
      <c r="O64" s="280"/>
      <c r="P64" s="280"/>
      <c r="Q64" s="281"/>
      <c r="R64" s="282" t="s">
        <v>17</v>
      </c>
      <c r="S64" s="283"/>
      <c r="T64" s="283"/>
      <c r="U64" s="284"/>
    </row>
    <row r="65" spans="1:21" ht="17.25" thickBot="1" x14ac:dyDescent="0.35">
      <c r="A65" s="319" t="s">
        <v>24</v>
      </c>
      <c r="B65" s="320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0"/>
      <c r="T65" s="320"/>
      <c r="U65" s="321"/>
    </row>
    <row r="66" spans="1:21" ht="17.25" thickBot="1" x14ac:dyDescent="0.35">
      <c r="A66" s="319" t="str">
        <f>A34</f>
        <v>26-09-2022</v>
      </c>
      <c r="B66" s="320"/>
      <c r="C66" s="320"/>
      <c r="D66" s="320"/>
      <c r="E66" s="320"/>
      <c r="F66" s="320"/>
      <c r="G66" s="321"/>
      <c r="H66" s="322" t="s">
        <v>49</v>
      </c>
      <c r="I66" s="323"/>
      <c r="J66" s="319" t="str">
        <f>J34</f>
        <v>CLOUDY</v>
      </c>
      <c r="K66" s="321"/>
      <c r="L66" s="323" t="s">
        <v>50</v>
      </c>
      <c r="M66" s="324"/>
      <c r="N66" s="322"/>
      <c r="O66" s="320" t="str">
        <f>O34</f>
        <v>JOHN</v>
      </c>
      <c r="P66" s="320"/>
      <c r="Q66" s="321"/>
      <c r="R66" s="323" t="s">
        <v>51</v>
      </c>
      <c r="S66" s="322"/>
      <c r="T66" s="311">
        <f>T34</f>
        <v>4</v>
      </c>
      <c r="U66" s="31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2" t="s">
        <v>8</v>
      </c>
      <c r="P68" s="312"/>
      <c r="Q68" s="31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6"/>
      <c r="P69" s="285"/>
      <c r="Q69" s="287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3"/>
      <c r="P70" s="314"/>
      <c r="Q70" s="315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6"/>
      <c r="P71" s="285"/>
      <c r="Q71" s="28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6"/>
      <c r="P72" s="317"/>
      <c r="Q72" s="31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6"/>
      <c r="P73" s="317"/>
      <c r="Q73" s="31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8"/>
      <c r="P74" s="309"/>
      <c r="Q74" s="310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6"/>
      <c r="P75" s="285"/>
      <c r="Q75" s="28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6"/>
      <c r="P76" s="285"/>
      <c r="Q76" s="287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6"/>
      <c r="P77" s="285"/>
      <c r="Q77" s="287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6"/>
      <c r="P78" s="285"/>
      <c r="Q78" s="287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6"/>
      <c r="P79" s="285"/>
      <c r="Q79" s="287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6"/>
      <c r="P80" s="285"/>
      <c r="Q80" s="287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6"/>
      <c r="P81" s="285"/>
      <c r="Q81" s="287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6"/>
      <c r="P82" s="285"/>
      <c r="Q82" s="287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6"/>
      <c r="P83" s="285"/>
      <c r="Q83" s="28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6"/>
      <c r="P84" s="285"/>
      <c r="Q84" s="28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07"/>
      <c r="P85" s="286"/>
      <c r="Q85" s="286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07"/>
      <c r="P86" s="286"/>
      <c r="Q86" s="286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07"/>
      <c r="P87" s="286"/>
      <c r="Q87" s="286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5"/>
      <c r="P88" s="285"/>
      <c r="Q88" s="28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6"/>
      <c r="P89" s="285"/>
      <c r="Q89" s="28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5"/>
      <c r="P90" s="285"/>
      <c r="Q90" s="28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5"/>
      <c r="P91" s="285"/>
      <c r="Q91" s="28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6"/>
      <c r="P92" s="285"/>
      <c r="Q92" s="28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88"/>
      <c r="P93" s="289"/>
      <c r="Q93" s="290"/>
      <c r="R93" s="72"/>
      <c r="S93" s="59"/>
      <c r="T93" s="59"/>
      <c r="U93" s="68"/>
    </row>
    <row r="94" spans="1:21" x14ac:dyDescent="0.3">
      <c r="A94" s="291" t="s">
        <v>48</v>
      </c>
      <c r="B94" s="292"/>
      <c r="C94" s="292"/>
      <c r="D94" s="292"/>
      <c r="E94" s="293"/>
      <c r="F94" s="292"/>
      <c r="G94" s="292"/>
      <c r="H94" s="292">
        <f t="shared" ref="H94:M94" si="12">SUM(H69:H93)</f>
        <v>0</v>
      </c>
      <c r="I94" s="298">
        <f t="shared" si="12"/>
        <v>0</v>
      </c>
      <c r="J94" s="298">
        <f>J93+J92+J91+J90+J89+J88+J87+J86+J85+J84+J83+J82+J81+J80+J79+J78+J77+J76+J75+J74+J73+J72+J71+J70+J69</f>
        <v>0</v>
      </c>
      <c r="K94" s="298">
        <f>K93+K92+K91+K90+K89+K88+K87+K86+K85+K84+K83+K82+K81+K80+K79+K78+K77+K76+K75+K74+K73+K72+K71+K70+K69</f>
        <v>0</v>
      </c>
      <c r="L94" s="301">
        <f t="shared" si="12"/>
        <v>0</v>
      </c>
      <c r="M94" s="304">
        <f t="shared" si="12"/>
        <v>0</v>
      </c>
      <c r="N94" s="273"/>
      <c r="O94" s="274"/>
      <c r="P94" s="274"/>
      <c r="Q94" s="275"/>
      <c r="R94" s="5"/>
      <c r="S94" s="6"/>
      <c r="T94" s="7"/>
      <c r="U94" s="8"/>
    </row>
    <row r="95" spans="1:21" ht="17.25" thickBot="1" x14ac:dyDescent="0.35">
      <c r="A95" s="294"/>
      <c r="B95" s="295"/>
      <c r="C95" s="295"/>
      <c r="D95" s="295"/>
      <c r="E95" s="295"/>
      <c r="F95" s="295"/>
      <c r="G95" s="295"/>
      <c r="H95" s="295"/>
      <c r="I95" s="299"/>
      <c r="J95" s="299"/>
      <c r="K95" s="299"/>
      <c r="L95" s="302"/>
      <c r="M95" s="305"/>
      <c r="N95" s="276"/>
      <c r="O95" s="277"/>
      <c r="P95" s="277"/>
      <c r="Q95" s="278"/>
      <c r="R95" s="1"/>
      <c r="S95" s="2"/>
      <c r="T95" s="3"/>
      <c r="U95" s="4"/>
    </row>
    <row r="96" spans="1:21" ht="17.25" thickBot="1" x14ac:dyDescent="0.35">
      <c r="A96" s="296"/>
      <c r="B96" s="297"/>
      <c r="C96" s="297"/>
      <c r="D96" s="297"/>
      <c r="E96" s="297"/>
      <c r="F96" s="297"/>
      <c r="G96" s="297"/>
      <c r="H96" s="297"/>
      <c r="I96" s="300"/>
      <c r="J96" s="300"/>
      <c r="K96" s="300"/>
      <c r="L96" s="303"/>
      <c r="M96" s="306"/>
      <c r="N96" s="279"/>
      <c r="O96" s="280"/>
      <c r="P96" s="280"/>
      <c r="Q96" s="281"/>
      <c r="R96" s="282" t="s">
        <v>52</v>
      </c>
      <c r="S96" s="283"/>
      <c r="T96" s="283"/>
      <c r="U96" s="284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90" zoomScaleNormal="90" zoomScaleSheetLayoutView="77" workbookViewId="0">
      <selection activeCell="R11" sqref="R11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19" t="s">
        <v>77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1"/>
    </row>
    <row r="2" spans="1:44" ht="17.25" thickBot="1" x14ac:dyDescent="0.35">
      <c r="A2" s="319" t="s">
        <v>158</v>
      </c>
      <c r="B2" s="320"/>
      <c r="C2" s="320"/>
      <c r="D2" s="320"/>
      <c r="E2" s="320"/>
      <c r="F2" s="320"/>
      <c r="G2" s="321"/>
      <c r="H2" s="322" t="s">
        <v>49</v>
      </c>
      <c r="I2" s="323"/>
      <c r="J2" s="319" t="s">
        <v>159</v>
      </c>
      <c r="K2" s="321"/>
      <c r="L2" s="323" t="s">
        <v>96</v>
      </c>
      <c r="M2" s="324"/>
      <c r="N2" s="322"/>
      <c r="O2" s="320" t="s">
        <v>160</v>
      </c>
      <c r="P2" s="320"/>
      <c r="Q2" s="321"/>
      <c r="R2" s="323" t="s">
        <v>51</v>
      </c>
      <c r="S2" s="322"/>
      <c r="T2" s="311">
        <v>3</v>
      </c>
      <c r="U2" s="31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2" t="s">
        <v>8</v>
      </c>
      <c r="P4" s="312"/>
      <c r="Q4" s="31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56">
        <v>11358</v>
      </c>
      <c r="C5" s="59" t="s">
        <v>163</v>
      </c>
      <c r="D5" s="190" t="s">
        <v>164</v>
      </c>
      <c r="E5" s="171" t="s">
        <v>91</v>
      </c>
      <c r="F5" s="160">
        <v>950</v>
      </c>
      <c r="G5" s="109" t="s">
        <v>126</v>
      </c>
      <c r="H5" s="82">
        <v>75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160</v>
      </c>
      <c r="O5" s="358"/>
      <c r="P5" s="359"/>
      <c r="Q5" s="360"/>
      <c r="R5" s="32" t="s">
        <v>160</v>
      </c>
      <c r="S5" s="30">
        <v>0.33333333333333331</v>
      </c>
      <c r="T5" s="31">
        <v>0.79166666666666663</v>
      </c>
      <c r="U5" s="83">
        <f t="shared" ref="U5:U15" si="0">(T5-S5)*24</f>
        <v>11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19">
        <v>11359</v>
      </c>
      <c r="C6" s="58" t="s">
        <v>165</v>
      </c>
      <c r="D6" s="190" t="s">
        <v>166</v>
      </c>
      <c r="E6" s="171" t="s">
        <v>92</v>
      </c>
      <c r="F6" s="161">
        <v>1105</v>
      </c>
      <c r="G6" s="109" t="s">
        <v>44</v>
      </c>
      <c r="H6" s="82"/>
      <c r="I6" s="115"/>
      <c r="J6" s="120" t="str">
        <f t="shared" ref="J6:J29" si="1">IF(G6="RSL","55","0")</f>
        <v>55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160</v>
      </c>
      <c r="O6" s="313" t="s">
        <v>167</v>
      </c>
      <c r="P6" s="314"/>
      <c r="Q6" s="315"/>
      <c r="R6" s="122" t="s">
        <v>161</v>
      </c>
      <c r="S6" s="30">
        <v>0.39583333333333331</v>
      </c>
      <c r="T6" s="31">
        <v>0.66666666666666663</v>
      </c>
      <c r="U6" s="83">
        <f t="shared" si="0"/>
        <v>6.5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23">
        <v>11360</v>
      </c>
      <c r="C7" s="58" t="s">
        <v>168</v>
      </c>
      <c r="D7" s="190" t="s">
        <v>169</v>
      </c>
      <c r="E7" s="171" t="s">
        <v>92</v>
      </c>
      <c r="F7" s="161">
        <v>1115</v>
      </c>
      <c r="G7" s="109" t="s">
        <v>126</v>
      </c>
      <c r="H7" s="82">
        <v>55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160</v>
      </c>
      <c r="O7" s="286"/>
      <c r="P7" s="285"/>
      <c r="Q7" s="287"/>
      <c r="R7" s="124" t="s">
        <v>148</v>
      </c>
      <c r="S7" s="30">
        <v>0.44791666666666669</v>
      </c>
      <c r="T7" s="31">
        <v>0.71875</v>
      </c>
      <c r="U7" s="83">
        <f t="shared" si="0"/>
        <v>6.5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19">
        <v>11361</v>
      </c>
      <c r="C8" s="26" t="s">
        <v>170</v>
      </c>
      <c r="D8" s="190" t="s">
        <v>171</v>
      </c>
      <c r="E8" s="171" t="s">
        <v>92</v>
      </c>
      <c r="F8" s="161">
        <v>1125</v>
      </c>
      <c r="G8" s="109" t="s">
        <v>126</v>
      </c>
      <c r="H8" s="82">
        <v>55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148</v>
      </c>
      <c r="O8" s="316"/>
      <c r="P8" s="317"/>
      <c r="Q8" s="318"/>
      <c r="R8" s="25" t="s">
        <v>162</v>
      </c>
      <c r="S8" s="30">
        <v>0.625</v>
      </c>
      <c r="T8" s="31">
        <v>0.79166666666666663</v>
      </c>
      <c r="U8" s="83">
        <f t="shared" si="0"/>
        <v>3.9999999999999991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11362</v>
      </c>
      <c r="C9" s="54" t="s">
        <v>172</v>
      </c>
      <c r="D9" s="191" t="s">
        <v>173</v>
      </c>
      <c r="E9" s="171" t="s">
        <v>92</v>
      </c>
      <c r="F9" s="162">
        <v>1200</v>
      </c>
      <c r="G9" s="110" t="s">
        <v>113</v>
      </c>
      <c r="H9" s="82">
        <v>130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160</v>
      </c>
      <c r="O9" s="316" t="s">
        <v>174</v>
      </c>
      <c r="P9" s="317"/>
      <c r="Q9" s="318"/>
      <c r="R9" s="25" t="s">
        <v>147</v>
      </c>
      <c r="S9" s="30">
        <v>0.66666666666666663</v>
      </c>
      <c r="T9" s="31">
        <v>0.79166666666666663</v>
      </c>
      <c r="U9" s="83">
        <f t="shared" si="0"/>
        <v>3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19">
        <v>11363</v>
      </c>
      <c r="C10" s="27" t="s">
        <v>175</v>
      </c>
      <c r="D10" s="192" t="s">
        <v>176</v>
      </c>
      <c r="E10" s="171" t="s">
        <v>91</v>
      </c>
      <c r="F10" s="163">
        <v>1215</v>
      </c>
      <c r="G10" s="111" t="s">
        <v>102</v>
      </c>
      <c r="H10" s="114">
        <v>85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160</v>
      </c>
      <c r="O10" s="308"/>
      <c r="P10" s="309"/>
      <c r="Q10" s="310"/>
      <c r="R10" s="249" t="s">
        <v>190</v>
      </c>
      <c r="S10" s="30">
        <v>0.6875</v>
      </c>
      <c r="T10" s="31">
        <v>0.75</v>
      </c>
      <c r="U10" s="83">
        <f t="shared" si="0"/>
        <v>1.5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11364</v>
      </c>
      <c r="C11" s="17" t="s">
        <v>177</v>
      </c>
      <c r="D11" s="193" t="s">
        <v>178</v>
      </c>
      <c r="E11" s="171" t="s">
        <v>92</v>
      </c>
      <c r="F11" s="57">
        <v>1245</v>
      </c>
      <c r="G11" s="112" t="s">
        <v>126</v>
      </c>
      <c r="H11" s="114">
        <v>75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160</v>
      </c>
      <c r="O11" s="286"/>
      <c r="P11" s="285"/>
      <c r="Q11" s="287"/>
      <c r="R11" s="25" t="s">
        <v>197</v>
      </c>
      <c r="S11" s="30">
        <v>0.75</v>
      </c>
      <c r="T11" s="31">
        <v>0.79166666666666663</v>
      </c>
      <c r="U11" s="83">
        <f t="shared" si="0"/>
        <v>0.99999999999999911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19">
        <v>11365</v>
      </c>
      <c r="C12" s="55" t="s">
        <v>179</v>
      </c>
      <c r="D12" s="194" t="s">
        <v>180</v>
      </c>
      <c r="E12" s="171" t="s">
        <v>91</v>
      </c>
      <c r="F12" s="163">
        <v>1245</v>
      </c>
      <c r="G12" s="110" t="s">
        <v>102</v>
      </c>
      <c r="H12" s="114"/>
      <c r="I12" s="116">
        <v>95.95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160</v>
      </c>
      <c r="O12" s="286"/>
      <c r="P12" s="285"/>
      <c r="Q12" s="28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11366</v>
      </c>
      <c r="C13" s="55" t="s">
        <v>186</v>
      </c>
      <c r="D13" s="194" t="s">
        <v>187</v>
      </c>
      <c r="E13" s="171" t="s">
        <v>92</v>
      </c>
      <c r="F13" s="163">
        <v>1435</v>
      </c>
      <c r="G13" s="110" t="s">
        <v>126</v>
      </c>
      <c r="H13" s="159">
        <v>55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148</v>
      </c>
      <c r="O13" s="286"/>
      <c r="P13" s="285"/>
      <c r="Q13" s="287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19">
        <v>11367</v>
      </c>
      <c r="C14" s="56" t="s">
        <v>181</v>
      </c>
      <c r="D14" s="195" t="s">
        <v>182</v>
      </c>
      <c r="E14" s="171" t="s">
        <v>92</v>
      </c>
      <c r="F14" s="164">
        <v>1445</v>
      </c>
      <c r="G14" s="113" t="s">
        <v>183</v>
      </c>
      <c r="H14" s="114">
        <v>65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148</v>
      </c>
      <c r="O14" s="286"/>
      <c r="P14" s="285"/>
      <c r="Q14" s="28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11368</v>
      </c>
      <c r="C15" s="56" t="s">
        <v>184</v>
      </c>
      <c r="D15" s="195" t="s">
        <v>185</v>
      </c>
      <c r="E15" s="171" t="s">
        <v>91</v>
      </c>
      <c r="F15" s="164">
        <v>1445</v>
      </c>
      <c r="G15" s="113" t="s">
        <v>126</v>
      </c>
      <c r="H15" s="114"/>
      <c r="I15" s="115">
        <v>75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160</v>
      </c>
      <c r="O15" s="286"/>
      <c r="P15" s="285"/>
      <c r="Q15" s="28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19">
        <v>11369</v>
      </c>
      <c r="C16" s="56" t="s">
        <v>188</v>
      </c>
      <c r="D16" s="195" t="s">
        <v>189</v>
      </c>
      <c r="E16" s="171" t="s">
        <v>92</v>
      </c>
      <c r="F16" s="164">
        <v>1600</v>
      </c>
      <c r="G16" s="113" t="s">
        <v>126</v>
      </c>
      <c r="H16" s="114">
        <v>55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160</v>
      </c>
      <c r="O16" s="286"/>
      <c r="P16" s="285"/>
      <c r="Q16" s="287"/>
      <c r="R16" s="73">
        <f>H32/U16</f>
        <v>0.44776119402985076</v>
      </c>
      <c r="S16" s="74">
        <f>H32/(U16-U5)</f>
        <v>0.66666666666666663</v>
      </c>
      <c r="T16" s="74">
        <f>C32/U16</f>
        <v>52.952238805970154</v>
      </c>
      <c r="U16" s="74">
        <f>SUM(U5:U15)</f>
        <v>33.5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11370</v>
      </c>
      <c r="C17" s="17" t="s">
        <v>191</v>
      </c>
      <c r="D17" s="193" t="s">
        <v>192</v>
      </c>
      <c r="E17" s="171" t="s">
        <v>92</v>
      </c>
      <c r="F17" s="57">
        <v>1605</v>
      </c>
      <c r="G17" s="112" t="s">
        <v>102</v>
      </c>
      <c r="H17" s="114"/>
      <c r="I17" s="115">
        <v>95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148</v>
      </c>
      <c r="O17" s="286"/>
      <c r="P17" s="285"/>
      <c r="Q17" s="28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19">
        <v>11371</v>
      </c>
      <c r="C18" s="17" t="s">
        <v>193</v>
      </c>
      <c r="D18" s="193" t="s">
        <v>194</v>
      </c>
      <c r="E18" s="171" t="s">
        <v>92</v>
      </c>
      <c r="F18" s="57">
        <v>1615</v>
      </c>
      <c r="G18" s="19" t="s">
        <v>102</v>
      </c>
      <c r="H18" s="114"/>
      <c r="I18" s="115">
        <v>95.95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148</v>
      </c>
      <c r="O18" s="286"/>
      <c r="P18" s="285"/>
      <c r="Q18" s="28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11372</v>
      </c>
      <c r="C19" s="17" t="s">
        <v>195</v>
      </c>
      <c r="D19" s="193" t="s">
        <v>152</v>
      </c>
      <c r="E19" s="171" t="s">
        <v>92</v>
      </c>
      <c r="F19" s="57">
        <v>1615</v>
      </c>
      <c r="G19" s="112" t="s">
        <v>196</v>
      </c>
      <c r="H19" s="114"/>
      <c r="I19" s="115">
        <v>707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160</v>
      </c>
      <c r="O19" s="286"/>
      <c r="P19" s="285"/>
      <c r="Q19" s="285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19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54"/>
      <c r="P20" s="355"/>
      <c r="Q20" s="35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86"/>
      <c r="P21" s="285"/>
      <c r="Q21" s="28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86"/>
      <c r="P22" s="285"/>
      <c r="Q22" s="28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2"/>
      <c r="Y23" s="353"/>
      <c r="Z23" s="353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6"/>
      <c r="P24" s="285"/>
      <c r="Q24" s="28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6"/>
      <c r="P25" s="285"/>
      <c r="Q25" s="287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56">
        <f>((C32+(R26+S26+T26)*0.5))</f>
        <v>1773.9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6"/>
      <c r="P26" s="285"/>
      <c r="Q26" s="287"/>
      <c r="R26" s="103">
        <f>R25*37.5</f>
        <v>0</v>
      </c>
      <c r="S26" s="93">
        <f>S25*41.5</f>
        <v>0</v>
      </c>
      <c r="T26" s="93">
        <f>T25*50</f>
        <v>0</v>
      </c>
      <c r="U26" s="35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6"/>
      <c r="P27" s="285"/>
      <c r="Q27" s="287"/>
      <c r="R27" s="349" t="s">
        <v>56</v>
      </c>
      <c r="S27" s="350"/>
      <c r="T27" s="350"/>
      <c r="U27" s="351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6"/>
      <c r="P28" s="285"/>
      <c r="Q28" s="287"/>
      <c r="R28" s="342"/>
      <c r="S28" s="343"/>
      <c r="T28" s="344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9"/>
      <c r="P29" s="330"/>
      <c r="Q29" s="331"/>
      <c r="R29" s="332"/>
      <c r="S29" s="333"/>
      <c r="T29" s="334"/>
      <c r="U29" s="140"/>
      <c r="X29" s="14">
        <v>3</v>
      </c>
      <c r="Z29" s="45"/>
      <c r="AE29" s="39"/>
    </row>
    <row r="30" spans="1:44" ht="16.5" customHeight="1" thickBot="1" x14ac:dyDescent="0.35">
      <c r="A30" s="335" t="s">
        <v>48</v>
      </c>
      <c r="B30" s="336"/>
      <c r="C30" s="336"/>
      <c r="D30" s="336"/>
      <c r="E30" s="337"/>
      <c r="F30" s="336"/>
      <c r="G30" s="336"/>
      <c r="H30" s="201">
        <f t="shared" ref="H30:M30" si="3">SUM(H5:H29)</f>
        <v>650</v>
      </c>
      <c r="I30" s="96">
        <f>SUM(I5:I29)</f>
        <v>1068.9000000000001</v>
      </c>
      <c r="J30" s="96">
        <f>J5+J6+J7+J8+J9+J10+J11+J12+J13+J14+J15+J16+J18+J19+J17+J20+J22+J23+J21+J24+J25+J26+J27+J28+J29</f>
        <v>55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8"/>
      <c r="S30" s="338"/>
      <c r="T30" s="339"/>
      <c r="U30" s="141"/>
      <c r="X30" s="14">
        <v>4</v>
      </c>
      <c r="Z30" s="45"/>
      <c r="AD30" s="46"/>
    </row>
    <row r="31" spans="1:44" x14ac:dyDescent="0.3">
      <c r="A31" s="340" t="s">
        <v>16</v>
      </c>
      <c r="B31" s="341"/>
      <c r="C31" s="341"/>
      <c r="D31" s="341"/>
      <c r="E31" s="341"/>
      <c r="F31" s="341"/>
      <c r="G31" s="341"/>
      <c r="H31" s="202">
        <f t="shared" ref="H31:J31" si="4">H30+H62+H94</f>
        <v>650</v>
      </c>
      <c r="I31" s="94">
        <f t="shared" si="4"/>
        <v>1068.9000000000001</v>
      </c>
      <c r="J31" s="94">
        <f t="shared" si="4"/>
        <v>55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9</v>
      </c>
      <c r="O31" s="95">
        <f>COUNT(I5:I29,I37:I61,I69:I93)</f>
        <v>5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1</v>
      </c>
      <c r="R31" s="89" t="s">
        <v>83</v>
      </c>
      <c r="S31" s="102">
        <f>H31+L31-U28-U29-U30</f>
        <v>650</v>
      </c>
      <c r="T31" s="325">
        <f>H31+I31+L31+M31</f>
        <v>1718.9</v>
      </c>
      <c r="U31" s="326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45" t="s">
        <v>55</v>
      </c>
      <c r="B32" s="346"/>
      <c r="C32" s="98">
        <f>H31+I31+J31+K31</f>
        <v>1773.9</v>
      </c>
      <c r="D32" s="186"/>
      <c r="E32" s="98"/>
      <c r="F32" s="347" t="s">
        <v>53</v>
      </c>
      <c r="G32" s="347"/>
      <c r="H32" s="100">
        <f>COUNT(B5:B29,B37:B61,B69:B93)</f>
        <v>15</v>
      </c>
      <c r="I32" s="348" t="s">
        <v>54</v>
      </c>
      <c r="J32" s="348"/>
      <c r="K32" s="99">
        <f>C32/H32</f>
        <v>118.26</v>
      </c>
      <c r="L32" s="208"/>
      <c r="M32" s="208"/>
      <c r="N32" s="208">
        <f>H31/C32</f>
        <v>0.36642426292350189</v>
      </c>
      <c r="O32" s="208">
        <f>I31/C32</f>
        <v>0.6025706071368172</v>
      </c>
      <c r="P32" s="208">
        <f>K31/C32</f>
        <v>0</v>
      </c>
      <c r="Q32" s="101">
        <f>J31/C32</f>
        <v>3.1005129939680926E-2</v>
      </c>
      <c r="R32" s="90" t="s">
        <v>82</v>
      </c>
      <c r="S32" s="203">
        <f>I31+M31</f>
        <v>1068.9000000000001</v>
      </c>
      <c r="T32" s="327"/>
      <c r="U32" s="328"/>
      <c r="V32" s="39"/>
      <c r="W32" s="39"/>
      <c r="X32" s="48" t="s">
        <v>27</v>
      </c>
      <c r="Y32" s="48"/>
      <c r="Z32" s="47">
        <f>I31</f>
        <v>1068.9000000000001</v>
      </c>
    </row>
    <row r="33" spans="1:33" ht="17.25" thickBot="1" x14ac:dyDescent="0.35">
      <c r="A33" s="279" t="s">
        <v>24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320"/>
      <c r="U33" s="321"/>
      <c r="X33" s="49" t="s">
        <v>29</v>
      </c>
      <c r="Y33" s="49"/>
      <c r="Z33" s="50">
        <f>SUM(Z31:Z32)</f>
        <v>-1676.1</v>
      </c>
      <c r="AG33" s="35"/>
    </row>
    <row r="34" spans="1:33" ht="17.25" thickBot="1" x14ac:dyDescent="0.35">
      <c r="A34" s="319" t="str">
        <f>A2</f>
        <v>27 - 9 - 2022</v>
      </c>
      <c r="B34" s="320"/>
      <c r="C34" s="320"/>
      <c r="D34" s="320"/>
      <c r="E34" s="320"/>
      <c r="F34" s="320"/>
      <c r="G34" s="321"/>
      <c r="H34" s="322" t="s">
        <v>49</v>
      </c>
      <c r="I34" s="323"/>
      <c r="J34" s="319" t="str">
        <f>J2</f>
        <v>MIX</v>
      </c>
      <c r="K34" s="321"/>
      <c r="L34" s="323" t="s">
        <v>50</v>
      </c>
      <c r="M34" s="324"/>
      <c r="N34" s="322"/>
      <c r="O34" s="320" t="str">
        <f>O2</f>
        <v>HENDRA</v>
      </c>
      <c r="P34" s="320"/>
      <c r="Q34" s="321"/>
      <c r="R34" s="323" t="s">
        <v>51</v>
      </c>
      <c r="S34" s="322"/>
      <c r="T34" s="311">
        <f>T2</f>
        <v>3</v>
      </c>
      <c r="U34" s="31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2" t="s">
        <v>8</v>
      </c>
      <c r="P36" s="312"/>
      <c r="Q36" s="31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6"/>
      <c r="P37" s="285"/>
      <c r="Q37" s="287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3"/>
      <c r="P38" s="314"/>
      <c r="Q38" s="315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6"/>
      <c r="P39" s="285"/>
      <c r="Q39" s="287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6"/>
      <c r="P40" s="317"/>
      <c r="Q40" s="31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6"/>
      <c r="P41" s="317"/>
      <c r="Q41" s="31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8"/>
      <c r="P42" s="309"/>
      <c r="Q42" s="310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6"/>
      <c r="P43" s="285"/>
      <c r="Q43" s="287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6"/>
      <c r="P44" s="285"/>
      <c r="Q44" s="28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6"/>
      <c r="P45" s="285"/>
      <c r="Q45" s="287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6"/>
      <c r="P46" s="285"/>
      <c r="Q46" s="28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6"/>
      <c r="P47" s="285"/>
      <c r="Q47" s="287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6"/>
      <c r="P48" s="285"/>
      <c r="Q48" s="287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6"/>
      <c r="P49" s="285"/>
      <c r="Q49" s="287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6"/>
      <c r="P50" s="285"/>
      <c r="Q50" s="287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6"/>
      <c r="P51" s="285"/>
      <c r="Q51" s="28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6"/>
      <c r="P52" s="285"/>
      <c r="Q52" s="28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07"/>
      <c r="P53" s="286"/>
      <c r="Q53" s="286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07"/>
      <c r="P54" s="286"/>
      <c r="Q54" s="286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07"/>
      <c r="P55" s="286"/>
      <c r="Q55" s="286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5"/>
      <c r="P56" s="285"/>
      <c r="Q56" s="28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6"/>
      <c r="P57" s="285"/>
      <c r="Q57" s="28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5"/>
      <c r="P58" s="285"/>
      <c r="Q58" s="28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5"/>
      <c r="P59" s="285"/>
      <c r="Q59" s="28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6"/>
      <c r="P60" s="285"/>
      <c r="Q60" s="28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88"/>
      <c r="P61" s="289"/>
      <c r="Q61" s="290"/>
      <c r="R61" s="72"/>
      <c r="S61" s="59"/>
      <c r="T61" s="59"/>
      <c r="U61" s="68"/>
    </row>
    <row r="62" spans="1:21" x14ac:dyDescent="0.3">
      <c r="A62" s="291" t="s">
        <v>48</v>
      </c>
      <c r="B62" s="292"/>
      <c r="C62" s="292"/>
      <c r="D62" s="292"/>
      <c r="E62" s="292"/>
      <c r="F62" s="292"/>
      <c r="G62" s="292"/>
      <c r="H62" s="292">
        <f t="shared" ref="H62:M62" si="8">SUM(H37:H61)</f>
        <v>0</v>
      </c>
      <c r="I62" s="298">
        <f t="shared" si="8"/>
        <v>0</v>
      </c>
      <c r="J62" s="298">
        <f>J61+J60+J59+J58+J57+J56+J55+J54+J53+J52+J51+J50+J49+J48+J47+J46+J45+J44+J43+J42+J41+J40+J39+J38+J37</f>
        <v>0</v>
      </c>
      <c r="K62" s="298">
        <f>K61+K60+K59+K58+K57+K56+K55+K54+K53+K52+K51+K50+K49+K48+K47+K46+K45+K44+K43+K42+K41+K40+K39+K38+K37</f>
        <v>0</v>
      </c>
      <c r="L62" s="301">
        <f t="shared" si="8"/>
        <v>0</v>
      </c>
      <c r="M62" s="304">
        <f t="shared" si="8"/>
        <v>0</v>
      </c>
      <c r="N62" s="273"/>
      <c r="O62" s="274"/>
      <c r="P62" s="274"/>
      <c r="Q62" s="275"/>
      <c r="R62" s="5"/>
      <c r="S62" s="6"/>
      <c r="T62" s="7"/>
      <c r="U62" s="8"/>
    </row>
    <row r="63" spans="1:21" ht="17.25" thickBot="1" x14ac:dyDescent="0.35">
      <c r="A63" s="294"/>
      <c r="B63" s="295"/>
      <c r="C63" s="295"/>
      <c r="D63" s="295"/>
      <c r="E63" s="295"/>
      <c r="F63" s="295"/>
      <c r="G63" s="295"/>
      <c r="H63" s="295"/>
      <c r="I63" s="299"/>
      <c r="J63" s="299"/>
      <c r="K63" s="299"/>
      <c r="L63" s="302"/>
      <c r="M63" s="305"/>
      <c r="N63" s="276"/>
      <c r="O63" s="277"/>
      <c r="P63" s="277"/>
      <c r="Q63" s="278"/>
      <c r="R63" s="1"/>
      <c r="S63" s="2"/>
      <c r="T63" s="3"/>
      <c r="U63" s="4"/>
    </row>
    <row r="64" spans="1:21" ht="17.25" thickBot="1" x14ac:dyDescent="0.35">
      <c r="A64" s="296"/>
      <c r="B64" s="297"/>
      <c r="C64" s="297"/>
      <c r="D64" s="297"/>
      <c r="E64" s="297"/>
      <c r="F64" s="297"/>
      <c r="G64" s="297"/>
      <c r="H64" s="297"/>
      <c r="I64" s="300"/>
      <c r="J64" s="300"/>
      <c r="K64" s="300"/>
      <c r="L64" s="303"/>
      <c r="M64" s="306"/>
      <c r="N64" s="279"/>
      <c r="O64" s="280"/>
      <c r="P64" s="280"/>
      <c r="Q64" s="281"/>
      <c r="R64" s="282" t="s">
        <v>17</v>
      </c>
      <c r="S64" s="283"/>
      <c r="T64" s="283"/>
      <c r="U64" s="284"/>
    </row>
    <row r="65" spans="1:21" ht="17.25" thickBot="1" x14ac:dyDescent="0.35">
      <c r="A65" s="319" t="s">
        <v>24</v>
      </c>
      <c r="B65" s="320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0"/>
      <c r="T65" s="320"/>
      <c r="U65" s="321"/>
    </row>
    <row r="66" spans="1:21" ht="17.25" thickBot="1" x14ac:dyDescent="0.35">
      <c r="A66" s="319" t="str">
        <f>A34</f>
        <v>27 - 9 - 2022</v>
      </c>
      <c r="B66" s="320"/>
      <c r="C66" s="320"/>
      <c r="D66" s="320"/>
      <c r="E66" s="320"/>
      <c r="F66" s="320"/>
      <c r="G66" s="321"/>
      <c r="H66" s="322" t="s">
        <v>49</v>
      </c>
      <c r="I66" s="323"/>
      <c r="J66" s="319" t="str">
        <f>J34</f>
        <v>MIX</v>
      </c>
      <c r="K66" s="321"/>
      <c r="L66" s="323" t="s">
        <v>50</v>
      </c>
      <c r="M66" s="324"/>
      <c r="N66" s="322"/>
      <c r="O66" s="320" t="str">
        <f>O34</f>
        <v>HENDRA</v>
      </c>
      <c r="P66" s="320"/>
      <c r="Q66" s="321"/>
      <c r="R66" s="323" t="s">
        <v>51</v>
      </c>
      <c r="S66" s="322"/>
      <c r="T66" s="311">
        <f>T34</f>
        <v>3</v>
      </c>
      <c r="U66" s="31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2" t="s">
        <v>8</v>
      </c>
      <c r="P68" s="312"/>
      <c r="Q68" s="31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6"/>
      <c r="P69" s="285"/>
      <c r="Q69" s="287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3"/>
      <c r="P70" s="314"/>
      <c r="Q70" s="315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6"/>
      <c r="P71" s="285"/>
      <c r="Q71" s="28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6"/>
      <c r="P72" s="317"/>
      <c r="Q72" s="31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6"/>
      <c r="P73" s="317"/>
      <c r="Q73" s="31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8"/>
      <c r="P74" s="309"/>
      <c r="Q74" s="310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6"/>
      <c r="P75" s="285"/>
      <c r="Q75" s="28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6"/>
      <c r="P76" s="285"/>
      <c r="Q76" s="287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6"/>
      <c r="P77" s="285"/>
      <c r="Q77" s="287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6"/>
      <c r="P78" s="285"/>
      <c r="Q78" s="287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6"/>
      <c r="P79" s="285"/>
      <c r="Q79" s="287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6"/>
      <c r="P80" s="285"/>
      <c r="Q80" s="287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6"/>
      <c r="P81" s="285"/>
      <c r="Q81" s="287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6"/>
      <c r="P82" s="285"/>
      <c r="Q82" s="287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6"/>
      <c r="P83" s="285"/>
      <c r="Q83" s="28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6"/>
      <c r="P84" s="285"/>
      <c r="Q84" s="28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07"/>
      <c r="P85" s="286"/>
      <c r="Q85" s="286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07"/>
      <c r="P86" s="286"/>
      <c r="Q86" s="286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07"/>
      <c r="P87" s="286"/>
      <c r="Q87" s="286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5"/>
      <c r="P88" s="285"/>
      <c r="Q88" s="28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6"/>
      <c r="P89" s="285"/>
      <c r="Q89" s="28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5"/>
      <c r="P90" s="285"/>
      <c r="Q90" s="28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5"/>
      <c r="P91" s="285"/>
      <c r="Q91" s="28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6"/>
      <c r="P92" s="285"/>
      <c r="Q92" s="28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88"/>
      <c r="P93" s="289"/>
      <c r="Q93" s="290"/>
      <c r="R93" s="72"/>
      <c r="S93" s="59"/>
      <c r="T93" s="59"/>
      <c r="U93" s="68"/>
    </row>
    <row r="94" spans="1:21" x14ac:dyDescent="0.3">
      <c r="A94" s="291" t="s">
        <v>48</v>
      </c>
      <c r="B94" s="292"/>
      <c r="C94" s="292"/>
      <c r="D94" s="292"/>
      <c r="E94" s="293"/>
      <c r="F94" s="292"/>
      <c r="G94" s="292"/>
      <c r="H94" s="292">
        <f t="shared" ref="H94:M94" si="12">SUM(H69:H93)</f>
        <v>0</v>
      </c>
      <c r="I94" s="298">
        <f t="shared" si="12"/>
        <v>0</v>
      </c>
      <c r="J94" s="298">
        <f>J93+J92+J91+J90+J89+J88+J87+J86+J85+J84+J83+J82+J81+J80+J79+J78+J77+J76+J75+J74+J73+J72+J71+J70+J69</f>
        <v>0</v>
      </c>
      <c r="K94" s="298">
        <f>K93+K92+K91+K90+K89+K88+K87+K86+K85+K84+K83+K82+K81+K80+K79+K78+K77+K76+K75+K74+K73+K72+K71+K70+K69</f>
        <v>0</v>
      </c>
      <c r="L94" s="301">
        <f t="shared" si="12"/>
        <v>0</v>
      </c>
      <c r="M94" s="304">
        <f t="shared" si="12"/>
        <v>0</v>
      </c>
      <c r="N94" s="273"/>
      <c r="O94" s="274"/>
      <c r="P94" s="274"/>
      <c r="Q94" s="275"/>
      <c r="R94" s="5"/>
      <c r="S94" s="6"/>
      <c r="T94" s="7"/>
      <c r="U94" s="8"/>
    </row>
    <row r="95" spans="1:21" ht="17.25" thickBot="1" x14ac:dyDescent="0.35">
      <c r="A95" s="294"/>
      <c r="B95" s="295"/>
      <c r="C95" s="295"/>
      <c r="D95" s="295"/>
      <c r="E95" s="295"/>
      <c r="F95" s="295"/>
      <c r="G95" s="295"/>
      <c r="H95" s="295"/>
      <c r="I95" s="299"/>
      <c r="J95" s="299"/>
      <c r="K95" s="299"/>
      <c r="L95" s="302"/>
      <c r="M95" s="305"/>
      <c r="N95" s="276"/>
      <c r="O95" s="277"/>
      <c r="P95" s="277"/>
      <c r="Q95" s="278"/>
      <c r="R95" s="1"/>
      <c r="S95" s="2"/>
      <c r="T95" s="3"/>
      <c r="U95" s="4"/>
    </row>
    <row r="96" spans="1:21" ht="17.25" thickBot="1" x14ac:dyDescent="0.35">
      <c r="A96" s="296"/>
      <c r="B96" s="297"/>
      <c r="C96" s="297"/>
      <c r="D96" s="297"/>
      <c r="E96" s="297"/>
      <c r="F96" s="297"/>
      <c r="G96" s="297"/>
      <c r="H96" s="297"/>
      <c r="I96" s="300"/>
      <c r="J96" s="300"/>
      <c r="K96" s="300"/>
      <c r="L96" s="303"/>
      <c r="M96" s="306"/>
      <c r="N96" s="279"/>
      <c r="O96" s="280"/>
      <c r="P96" s="280"/>
      <c r="Q96" s="281"/>
      <c r="R96" s="282" t="s">
        <v>52</v>
      </c>
      <c r="S96" s="283"/>
      <c r="T96" s="283"/>
      <c r="U96" s="284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="90" zoomScaleNormal="90" zoomScaleSheetLayoutView="77" workbookViewId="0">
      <selection activeCell="F25" sqref="F25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19" t="s">
        <v>77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1"/>
    </row>
    <row r="2" spans="1:44" ht="17.25" thickBot="1" x14ac:dyDescent="0.35">
      <c r="A2" s="319" t="s">
        <v>198</v>
      </c>
      <c r="B2" s="320"/>
      <c r="C2" s="320"/>
      <c r="D2" s="320"/>
      <c r="E2" s="320"/>
      <c r="F2" s="320"/>
      <c r="G2" s="321"/>
      <c r="H2" s="322" t="s">
        <v>49</v>
      </c>
      <c r="I2" s="323"/>
      <c r="J2" s="319" t="s">
        <v>199</v>
      </c>
      <c r="K2" s="321"/>
      <c r="L2" s="323" t="s">
        <v>96</v>
      </c>
      <c r="M2" s="324"/>
      <c r="N2" s="322"/>
      <c r="O2" s="320" t="s">
        <v>160</v>
      </c>
      <c r="P2" s="320"/>
      <c r="Q2" s="321"/>
      <c r="R2" s="323" t="s">
        <v>51</v>
      </c>
      <c r="S2" s="322"/>
      <c r="T2" s="311">
        <v>4</v>
      </c>
      <c r="U2" s="31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2" t="s">
        <v>8</v>
      </c>
      <c r="P4" s="312"/>
      <c r="Q4" s="31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56">
        <v>11373</v>
      </c>
      <c r="C5" s="59" t="s">
        <v>201</v>
      </c>
      <c r="D5" s="190" t="s">
        <v>202</v>
      </c>
      <c r="E5" s="171" t="s">
        <v>92</v>
      </c>
      <c r="F5" s="160">
        <v>845</v>
      </c>
      <c r="G5" s="109" t="s">
        <v>113</v>
      </c>
      <c r="H5" s="82">
        <v>150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160</v>
      </c>
      <c r="O5" s="358"/>
      <c r="P5" s="359"/>
      <c r="Q5" s="360"/>
      <c r="R5" s="32" t="s">
        <v>160</v>
      </c>
      <c r="S5" s="30">
        <v>0.33333333333333331</v>
      </c>
      <c r="T5" s="31">
        <v>0.66666666666666663</v>
      </c>
      <c r="U5" s="83">
        <f t="shared" ref="U5:U15" si="0">(T5-S5)*24</f>
        <v>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56">
        <v>11374</v>
      </c>
      <c r="C6" s="58" t="s">
        <v>203</v>
      </c>
      <c r="D6" s="190" t="s">
        <v>204</v>
      </c>
      <c r="E6" s="171" t="s">
        <v>92</v>
      </c>
      <c r="F6" s="161">
        <v>900</v>
      </c>
      <c r="G6" s="109" t="s">
        <v>113</v>
      </c>
      <c r="H6" s="82">
        <v>120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160</v>
      </c>
      <c r="O6" s="313"/>
      <c r="P6" s="314"/>
      <c r="Q6" s="315"/>
      <c r="R6" s="122" t="s">
        <v>161</v>
      </c>
      <c r="S6" s="30">
        <v>0.37916666666666665</v>
      </c>
      <c r="T6" s="31">
        <v>0.62916666666666665</v>
      </c>
      <c r="U6" s="83">
        <f t="shared" si="0"/>
        <v>6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11375</v>
      </c>
      <c r="C7" s="58" t="s">
        <v>205</v>
      </c>
      <c r="D7" s="190" t="s">
        <v>206</v>
      </c>
      <c r="E7" s="171" t="s">
        <v>91</v>
      </c>
      <c r="F7" s="161">
        <v>920</v>
      </c>
      <c r="G7" s="109" t="s">
        <v>126</v>
      </c>
      <c r="H7" s="82"/>
      <c r="I7" s="115">
        <v>55.55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160</v>
      </c>
      <c r="O7" s="286"/>
      <c r="P7" s="285"/>
      <c r="Q7" s="287"/>
      <c r="R7" s="124" t="s">
        <v>147</v>
      </c>
      <c r="S7" s="30">
        <v>0.41666666666666669</v>
      </c>
      <c r="T7" s="31">
        <v>0.66666666666666663</v>
      </c>
      <c r="U7" s="83">
        <f t="shared" si="0"/>
        <v>5.9999999999999982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11376</v>
      </c>
      <c r="C8" s="26" t="s">
        <v>207</v>
      </c>
      <c r="D8" s="190" t="s">
        <v>208</v>
      </c>
      <c r="E8" s="171" t="s">
        <v>92</v>
      </c>
      <c r="F8" s="161">
        <v>930</v>
      </c>
      <c r="G8" s="109" t="s">
        <v>102</v>
      </c>
      <c r="H8" s="82"/>
      <c r="I8" s="115">
        <v>95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160</v>
      </c>
      <c r="O8" s="316" t="s">
        <v>209</v>
      </c>
      <c r="P8" s="317"/>
      <c r="Q8" s="318"/>
      <c r="R8" s="25" t="s">
        <v>148</v>
      </c>
      <c r="S8" s="30">
        <v>0.45833333333333331</v>
      </c>
      <c r="T8" s="31">
        <v>0.66666666666666663</v>
      </c>
      <c r="U8" s="83">
        <f t="shared" si="0"/>
        <v>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11377</v>
      </c>
      <c r="C9" s="54" t="s">
        <v>210</v>
      </c>
      <c r="D9" s="191" t="s">
        <v>211</v>
      </c>
      <c r="E9" s="171" t="s">
        <v>91</v>
      </c>
      <c r="F9" s="162">
        <v>945</v>
      </c>
      <c r="G9" s="110" t="s">
        <v>196</v>
      </c>
      <c r="H9" s="82"/>
      <c r="I9" s="82">
        <v>295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160</v>
      </c>
      <c r="O9" s="316"/>
      <c r="P9" s="317"/>
      <c r="Q9" s="318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11378</v>
      </c>
      <c r="C10" s="27" t="s">
        <v>212</v>
      </c>
      <c r="D10" s="192" t="s">
        <v>213</v>
      </c>
      <c r="E10" s="171" t="s">
        <v>91</v>
      </c>
      <c r="F10" s="163">
        <v>940</v>
      </c>
      <c r="G10" s="111" t="s">
        <v>102</v>
      </c>
      <c r="H10" s="114"/>
      <c r="I10" s="116">
        <v>95.95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200</v>
      </c>
      <c r="O10" s="308"/>
      <c r="P10" s="309"/>
      <c r="Q10" s="310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11379</v>
      </c>
      <c r="C11" s="17" t="s">
        <v>216</v>
      </c>
      <c r="D11" s="193" t="s">
        <v>217</v>
      </c>
      <c r="E11" s="171" t="s">
        <v>92</v>
      </c>
      <c r="F11" s="57">
        <v>1035</v>
      </c>
      <c r="G11" s="112" t="s">
        <v>102</v>
      </c>
      <c r="H11" s="114">
        <v>95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160</v>
      </c>
      <c r="O11" s="286"/>
      <c r="P11" s="285"/>
      <c r="Q11" s="287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11380</v>
      </c>
      <c r="C12" s="55" t="s">
        <v>220</v>
      </c>
      <c r="D12" s="194" t="s">
        <v>221</v>
      </c>
      <c r="E12" s="171" t="s">
        <v>91</v>
      </c>
      <c r="F12" s="163">
        <v>1130</v>
      </c>
      <c r="G12" s="110" t="s">
        <v>102</v>
      </c>
      <c r="H12" s="114"/>
      <c r="I12" s="116">
        <v>100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160</v>
      </c>
      <c r="O12" s="286"/>
      <c r="P12" s="285"/>
      <c r="Q12" s="28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11381</v>
      </c>
      <c r="C13" s="55" t="s">
        <v>218</v>
      </c>
      <c r="D13" s="194" t="s">
        <v>219</v>
      </c>
      <c r="E13" s="171" t="s">
        <v>92</v>
      </c>
      <c r="F13" s="163">
        <v>1230</v>
      </c>
      <c r="G13" s="110" t="s">
        <v>126</v>
      </c>
      <c r="H13" s="159"/>
      <c r="I13" s="158">
        <v>75.75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160</v>
      </c>
      <c r="O13" s="286"/>
      <c r="P13" s="285"/>
      <c r="Q13" s="287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11382</v>
      </c>
      <c r="C14" s="56" t="s">
        <v>214</v>
      </c>
      <c r="D14" s="195" t="s">
        <v>215</v>
      </c>
      <c r="E14" s="171" t="s">
        <v>92</v>
      </c>
      <c r="F14" s="164">
        <v>1230</v>
      </c>
      <c r="G14" s="113" t="s">
        <v>113</v>
      </c>
      <c r="H14" s="114"/>
      <c r="I14" s="116">
        <v>101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160</v>
      </c>
      <c r="O14" s="286"/>
      <c r="P14" s="285"/>
      <c r="Q14" s="28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11383</v>
      </c>
      <c r="C15" s="56" t="s">
        <v>222</v>
      </c>
      <c r="D15" s="195" t="s">
        <v>223</v>
      </c>
      <c r="E15" s="171" t="s">
        <v>91</v>
      </c>
      <c r="F15" s="164">
        <v>1400</v>
      </c>
      <c r="G15" s="113" t="s">
        <v>224</v>
      </c>
      <c r="H15" s="114"/>
      <c r="I15" s="115">
        <v>111.1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160</v>
      </c>
      <c r="O15" s="286"/>
      <c r="P15" s="285"/>
      <c r="Q15" s="28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86"/>
      <c r="P16" s="285"/>
      <c r="Q16" s="287"/>
      <c r="R16" s="73">
        <f>H32/U16</f>
        <v>0.44</v>
      </c>
      <c r="S16" s="74">
        <f>H32/(U16-U5)</f>
        <v>0.6470588235294118</v>
      </c>
      <c r="T16" s="74">
        <f>C32/U16</f>
        <v>51.773999999999994</v>
      </c>
      <c r="U16" s="74">
        <f>SUM(U5:U15)</f>
        <v>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86"/>
      <c r="P17" s="285"/>
      <c r="Q17" s="28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86"/>
      <c r="P18" s="285"/>
      <c r="Q18" s="28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86"/>
      <c r="P19" s="285"/>
      <c r="Q19" s="285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54"/>
      <c r="P20" s="355"/>
      <c r="Q20" s="35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86"/>
      <c r="P21" s="285"/>
      <c r="Q21" s="28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86"/>
      <c r="P22" s="285"/>
      <c r="Q22" s="28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2"/>
      <c r="Y23" s="353"/>
      <c r="Z23" s="353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6"/>
      <c r="P24" s="285"/>
      <c r="Q24" s="28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6"/>
      <c r="P25" s="285"/>
      <c r="Q25" s="287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56">
        <f>((C32+(R26+S26+T26)*0.5))</f>
        <v>1294.3499999999999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6"/>
      <c r="P26" s="285"/>
      <c r="Q26" s="287"/>
      <c r="R26" s="103">
        <f>R25*37.5</f>
        <v>0</v>
      </c>
      <c r="S26" s="93">
        <f>S25*41.5</f>
        <v>0</v>
      </c>
      <c r="T26" s="93">
        <f>T25*50</f>
        <v>0</v>
      </c>
      <c r="U26" s="35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6"/>
      <c r="P27" s="285"/>
      <c r="Q27" s="287"/>
      <c r="R27" s="349" t="s">
        <v>56</v>
      </c>
      <c r="S27" s="350"/>
      <c r="T27" s="350"/>
      <c r="U27" s="351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6"/>
      <c r="P28" s="285"/>
      <c r="Q28" s="287"/>
      <c r="R28" s="342"/>
      <c r="S28" s="343"/>
      <c r="T28" s="344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9"/>
      <c r="P29" s="330"/>
      <c r="Q29" s="331"/>
      <c r="R29" s="332"/>
      <c r="S29" s="333"/>
      <c r="T29" s="334"/>
      <c r="U29" s="140"/>
      <c r="X29" s="14">
        <v>3</v>
      </c>
      <c r="Z29" s="45"/>
      <c r="AE29" s="39"/>
    </row>
    <row r="30" spans="1:44" ht="16.5" customHeight="1" thickBot="1" x14ac:dyDescent="0.35">
      <c r="A30" s="335" t="s">
        <v>48</v>
      </c>
      <c r="B30" s="336"/>
      <c r="C30" s="336"/>
      <c r="D30" s="336"/>
      <c r="E30" s="337"/>
      <c r="F30" s="336"/>
      <c r="G30" s="336"/>
      <c r="H30" s="201">
        <f t="shared" ref="H30:M30" si="3">SUM(H5:H29)</f>
        <v>365</v>
      </c>
      <c r="I30" s="96">
        <f>SUM(I5:I29)</f>
        <v>929.35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8"/>
      <c r="S30" s="338"/>
      <c r="T30" s="339"/>
      <c r="U30" s="141"/>
      <c r="X30" s="14">
        <v>4</v>
      </c>
      <c r="Z30" s="45"/>
      <c r="AD30" s="46"/>
    </row>
    <row r="31" spans="1:44" x14ac:dyDescent="0.3">
      <c r="A31" s="340" t="s">
        <v>16</v>
      </c>
      <c r="B31" s="341"/>
      <c r="C31" s="341"/>
      <c r="D31" s="341"/>
      <c r="E31" s="341"/>
      <c r="F31" s="341"/>
      <c r="G31" s="341"/>
      <c r="H31" s="202">
        <f t="shared" ref="H31:J31" si="4">H30+H62+H94</f>
        <v>365</v>
      </c>
      <c r="I31" s="94">
        <f t="shared" si="4"/>
        <v>929.35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3</v>
      </c>
      <c r="O31" s="95">
        <f>COUNT(I5:I29,I37:I61,I69:I93)</f>
        <v>8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365</v>
      </c>
      <c r="T31" s="325">
        <f>H31+I31+L31+M31</f>
        <v>1294.3499999999999</v>
      </c>
      <c r="U31" s="326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45" t="s">
        <v>55</v>
      </c>
      <c r="B32" s="346"/>
      <c r="C32" s="98">
        <f>H31+I31+J31+K31</f>
        <v>1294.3499999999999</v>
      </c>
      <c r="D32" s="186"/>
      <c r="E32" s="98"/>
      <c r="F32" s="347" t="s">
        <v>53</v>
      </c>
      <c r="G32" s="347"/>
      <c r="H32" s="100">
        <f>COUNT(B5:B29,B37:B61,B69:B93)</f>
        <v>11</v>
      </c>
      <c r="I32" s="348" t="s">
        <v>54</v>
      </c>
      <c r="J32" s="348"/>
      <c r="K32" s="99">
        <f>C32/H32</f>
        <v>117.66818181818181</v>
      </c>
      <c r="L32" s="208"/>
      <c r="M32" s="208"/>
      <c r="N32" s="208">
        <f>H31/C32</f>
        <v>0.28199482365666168</v>
      </c>
      <c r="O32" s="208">
        <f>I31/C32</f>
        <v>0.71800517634333838</v>
      </c>
      <c r="P32" s="208">
        <f>K31/C32</f>
        <v>0</v>
      </c>
      <c r="Q32" s="101">
        <f>J31/C32</f>
        <v>0</v>
      </c>
      <c r="R32" s="90" t="s">
        <v>82</v>
      </c>
      <c r="S32" s="203">
        <f>I31+M31</f>
        <v>929.35</v>
      </c>
      <c r="T32" s="327"/>
      <c r="U32" s="328"/>
      <c r="V32" s="39"/>
      <c r="W32" s="39"/>
      <c r="X32" s="48" t="s">
        <v>27</v>
      </c>
      <c r="Y32" s="48"/>
      <c r="Z32" s="47">
        <f>I31</f>
        <v>929.35</v>
      </c>
    </row>
    <row r="33" spans="1:33" ht="17.25" thickBot="1" x14ac:dyDescent="0.35">
      <c r="A33" s="279" t="s">
        <v>24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320"/>
      <c r="U33" s="321"/>
      <c r="X33" s="49" t="s">
        <v>29</v>
      </c>
      <c r="Y33" s="49"/>
      <c r="Z33" s="50">
        <f>SUM(Z31:Z32)</f>
        <v>-1815.65</v>
      </c>
      <c r="AG33" s="35"/>
    </row>
    <row r="34" spans="1:33" ht="17.25" thickBot="1" x14ac:dyDescent="0.35">
      <c r="A34" s="319" t="str">
        <f>A2</f>
        <v>28 - 9 - 2022</v>
      </c>
      <c r="B34" s="320"/>
      <c r="C34" s="320"/>
      <c r="D34" s="320"/>
      <c r="E34" s="320"/>
      <c r="F34" s="320"/>
      <c r="G34" s="321"/>
      <c r="H34" s="322" t="s">
        <v>49</v>
      </c>
      <c r="I34" s="323"/>
      <c r="J34" s="319" t="str">
        <f>J2</f>
        <v>SUNNY</v>
      </c>
      <c r="K34" s="321"/>
      <c r="L34" s="323" t="s">
        <v>50</v>
      </c>
      <c r="M34" s="324"/>
      <c r="N34" s="322"/>
      <c r="O34" s="320" t="str">
        <f>O2</f>
        <v>HENDRA</v>
      </c>
      <c r="P34" s="320"/>
      <c r="Q34" s="321"/>
      <c r="R34" s="323" t="s">
        <v>51</v>
      </c>
      <c r="S34" s="322"/>
      <c r="T34" s="311">
        <f>T2</f>
        <v>4</v>
      </c>
      <c r="U34" s="31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2" t="s">
        <v>8</v>
      </c>
      <c r="P36" s="312"/>
      <c r="Q36" s="31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6"/>
      <c r="P37" s="285"/>
      <c r="Q37" s="287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3"/>
      <c r="P38" s="314"/>
      <c r="Q38" s="315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6"/>
      <c r="P39" s="285"/>
      <c r="Q39" s="287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6"/>
      <c r="P40" s="317"/>
      <c r="Q40" s="31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6"/>
      <c r="P41" s="317"/>
      <c r="Q41" s="31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8"/>
      <c r="P42" s="309"/>
      <c r="Q42" s="310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6"/>
      <c r="P43" s="285"/>
      <c r="Q43" s="287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6"/>
      <c r="P44" s="285"/>
      <c r="Q44" s="28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6"/>
      <c r="P45" s="285"/>
      <c r="Q45" s="287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6"/>
      <c r="P46" s="285"/>
      <c r="Q46" s="28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6"/>
      <c r="P47" s="285"/>
      <c r="Q47" s="287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6"/>
      <c r="P48" s="285"/>
      <c r="Q48" s="287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6"/>
      <c r="P49" s="285"/>
      <c r="Q49" s="287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6"/>
      <c r="P50" s="285"/>
      <c r="Q50" s="287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6"/>
      <c r="P51" s="285"/>
      <c r="Q51" s="28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6"/>
      <c r="P52" s="285"/>
      <c r="Q52" s="28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07"/>
      <c r="P53" s="286"/>
      <c r="Q53" s="286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07"/>
      <c r="P54" s="286"/>
      <c r="Q54" s="286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07"/>
      <c r="P55" s="286"/>
      <c r="Q55" s="286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5"/>
      <c r="P56" s="285"/>
      <c r="Q56" s="28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6"/>
      <c r="P57" s="285"/>
      <c r="Q57" s="28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5"/>
      <c r="P58" s="285"/>
      <c r="Q58" s="28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5"/>
      <c r="P59" s="285"/>
      <c r="Q59" s="28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6"/>
      <c r="P60" s="285"/>
      <c r="Q60" s="28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88"/>
      <c r="P61" s="289"/>
      <c r="Q61" s="290"/>
      <c r="R61" s="72"/>
      <c r="S61" s="59"/>
      <c r="T61" s="59"/>
      <c r="U61" s="68"/>
    </row>
    <row r="62" spans="1:21" x14ac:dyDescent="0.3">
      <c r="A62" s="291" t="s">
        <v>48</v>
      </c>
      <c r="B62" s="292"/>
      <c r="C62" s="292"/>
      <c r="D62" s="292"/>
      <c r="E62" s="292"/>
      <c r="F62" s="292"/>
      <c r="G62" s="292"/>
      <c r="H62" s="292">
        <f t="shared" ref="H62:M62" si="8">SUM(H37:H61)</f>
        <v>0</v>
      </c>
      <c r="I62" s="298">
        <f t="shared" si="8"/>
        <v>0</v>
      </c>
      <c r="J62" s="298">
        <f>J61+J60+J59+J58+J57+J56+J55+J54+J53+J52+J51+J50+J49+J48+J47+J46+J45+J44+J43+J42+J41+J40+J39+J38+J37</f>
        <v>0</v>
      </c>
      <c r="K62" s="298">
        <f>K61+K60+K59+K58+K57+K56+K55+K54+K53+K52+K51+K50+K49+K48+K47+K46+K45+K44+K43+K42+K41+K40+K39+K38+K37</f>
        <v>0</v>
      </c>
      <c r="L62" s="301">
        <f t="shared" si="8"/>
        <v>0</v>
      </c>
      <c r="M62" s="304">
        <f t="shared" si="8"/>
        <v>0</v>
      </c>
      <c r="N62" s="273"/>
      <c r="O62" s="274"/>
      <c r="P62" s="274"/>
      <c r="Q62" s="275"/>
      <c r="R62" s="5"/>
      <c r="S62" s="6"/>
      <c r="T62" s="7"/>
      <c r="U62" s="8"/>
    </row>
    <row r="63" spans="1:21" ht="17.25" thickBot="1" x14ac:dyDescent="0.35">
      <c r="A63" s="294"/>
      <c r="B63" s="295"/>
      <c r="C63" s="295"/>
      <c r="D63" s="295"/>
      <c r="E63" s="295"/>
      <c r="F63" s="295"/>
      <c r="G63" s="295"/>
      <c r="H63" s="295"/>
      <c r="I63" s="299"/>
      <c r="J63" s="299"/>
      <c r="K63" s="299"/>
      <c r="L63" s="302"/>
      <c r="M63" s="305"/>
      <c r="N63" s="276"/>
      <c r="O63" s="277"/>
      <c r="P63" s="277"/>
      <c r="Q63" s="278"/>
      <c r="R63" s="1"/>
      <c r="S63" s="2"/>
      <c r="T63" s="3"/>
      <c r="U63" s="4"/>
    </row>
    <row r="64" spans="1:21" ht="17.25" thickBot="1" x14ac:dyDescent="0.35">
      <c r="A64" s="296"/>
      <c r="B64" s="297"/>
      <c r="C64" s="297"/>
      <c r="D64" s="297"/>
      <c r="E64" s="297"/>
      <c r="F64" s="297"/>
      <c r="G64" s="297"/>
      <c r="H64" s="297"/>
      <c r="I64" s="300"/>
      <c r="J64" s="300"/>
      <c r="K64" s="300"/>
      <c r="L64" s="303"/>
      <c r="M64" s="306"/>
      <c r="N64" s="279"/>
      <c r="O64" s="280"/>
      <c r="P64" s="280"/>
      <c r="Q64" s="281"/>
      <c r="R64" s="282" t="s">
        <v>17</v>
      </c>
      <c r="S64" s="283"/>
      <c r="T64" s="283"/>
      <c r="U64" s="284"/>
    </row>
    <row r="65" spans="1:21" ht="17.25" thickBot="1" x14ac:dyDescent="0.35">
      <c r="A65" s="319" t="s">
        <v>24</v>
      </c>
      <c r="B65" s="320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0"/>
      <c r="T65" s="320"/>
      <c r="U65" s="321"/>
    </row>
    <row r="66" spans="1:21" ht="17.25" thickBot="1" x14ac:dyDescent="0.35">
      <c r="A66" s="319" t="str">
        <f>A34</f>
        <v>28 - 9 - 2022</v>
      </c>
      <c r="B66" s="320"/>
      <c r="C66" s="320"/>
      <c r="D66" s="320"/>
      <c r="E66" s="320"/>
      <c r="F66" s="320"/>
      <c r="G66" s="321"/>
      <c r="H66" s="322" t="s">
        <v>49</v>
      </c>
      <c r="I66" s="323"/>
      <c r="J66" s="319" t="str">
        <f>J34</f>
        <v>SUNNY</v>
      </c>
      <c r="K66" s="321"/>
      <c r="L66" s="323" t="s">
        <v>50</v>
      </c>
      <c r="M66" s="324"/>
      <c r="N66" s="322"/>
      <c r="O66" s="320" t="str">
        <f>O34</f>
        <v>HENDRA</v>
      </c>
      <c r="P66" s="320"/>
      <c r="Q66" s="321"/>
      <c r="R66" s="323" t="s">
        <v>51</v>
      </c>
      <c r="S66" s="322"/>
      <c r="T66" s="311">
        <f>T34</f>
        <v>4</v>
      </c>
      <c r="U66" s="31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2" t="s">
        <v>8</v>
      </c>
      <c r="P68" s="312"/>
      <c r="Q68" s="31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6"/>
      <c r="P69" s="285"/>
      <c r="Q69" s="287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3"/>
      <c r="P70" s="314"/>
      <c r="Q70" s="315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6"/>
      <c r="P71" s="285"/>
      <c r="Q71" s="28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6"/>
      <c r="P72" s="317"/>
      <c r="Q72" s="31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6"/>
      <c r="P73" s="317"/>
      <c r="Q73" s="31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8"/>
      <c r="P74" s="309"/>
      <c r="Q74" s="310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6"/>
      <c r="P75" s="285"/>
      <c r="Q75" s="28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6"/>
      <c r="P76" s="285"/>
      <c r="Q76" s="287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6"/>
      <c r="P77" s="285"/>
      <c r="Q77" s="287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6"/>
      <c r="P78" s="285"/>
      <c r="Q78" s="287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6"/>
      <c r="P79" s="285"/>
      <c r="Q79" s="287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6"/>
      <c r="P80" s="285"/>
      <c r="Q80" s="287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6"/>
      <c r="P81" s="285"/>
      <c r="Q81" s="287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6"/>
      <c r="P82" s="285"/>
      <c r="Q82" s="287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6"/>
      <c r="P83" s="285"/>
      <c r="Q83" s="28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6"/>
      <c r="P84" s="285"/>
      <c r="Q84" s="28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07"/>
      <c r="P85" s="286"/>
      <c r="Q85" s="286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07"/>
      <c r="P86" s="286"/>
      <c r="Q86" s="286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07"/>
      <c r="P87" s="286"/>
      <c r="Q87" s="286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5"/>
      <c r="P88" s="285"/>
      <c r="Q88" s="28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6"/>
      <c r="P89" s="285"/>
      <c r="Q89" s="28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5"/>
      <c r="P90" s="285"/>
      <c r="Q90" s="28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5"/>
      <c r="P91" s="285"/>
      <c r="Q91" s="28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6"/>
      <c r="P92" s="285"/>
      <c r="Q92" s="28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88"/>
      <c r="P93" s="289"/>
      <c r="Q93" s="290"/>
      <c r="R93" s="72"/>
      <c r="S93" s="59"/>
      <c r="T93" s="59"/>
      <c r="U93" s="68"/>
    </row>
    <row r="94" spans="1:21" x14ac:dyDescent="0.3">
      <c r="A94" s="291" t="s">
        <v>48</v>
      </c>
      <c r="B94" s="292"/>
      <c r="C94" s="292"/>
      <c r="D94" s="292"/>
      <c r="E94" s="293"/>
      <c r="F94" s="292"/>
      <c r="G94" s="292"/>
      <c r="H94" s="292">
        <f t="shared" ref="H94:M94" si="12">SUM(H69:H93)</f>
        <v>0</v>
      </c>
      <c r="I94" s="298">
        <f t="shared" si="12"/>
        <v>0</v>
      </c>
      <c r="J94" s="298">
        <f>J93+J92+J91+J90+J89+J88+J87+J86+J85+J84+J83+J82+J81+J80+J79+J78+J77+J76+J75+J74+J73+J72+J71+J70+J69</f>
        <v>0</v>
      </c>
      <c r="K94" s="298">
        <f>K93+K92+K91+K90+K89+K88+K87+K86+K85+K84+K83+K82+K81+K80+K79+K78+K77+K76+K75+K74+K73+K72+K71+K70+K69</f>
        <v>0</v>
      </c>
      <c r="L94" s="301">
        <f t="shared" si="12"/>
        <v>0</v>
      </c>
      <c r="M94" s="304">
        <f t="shared" si="12"/>
        <v>0</v>
      </c>
      <c r="N94" s="273"/>
      <c r="O94" s="274"/>
      <c r="P94" s="274"/>
      <c r="Q94" s="275"/>
      <c r="R94" s="5"/>
      <c r="S94" s="6"/>
      <c r="T94" s="7"/>
      <c r="U94" s="8"/>
    </row>
    <row r="95" spans="1:21" ht="17.25" thickBot="1" x14ac:dyDescent="0.35">
      <c r="A95" s="294"/>
      <c r="B95" s="295"/>
      <c r="C95" s="295"/>
      <c r="D95" s="295"/>
      <c r="E95" s="295"/>
      <c r="F95" s="295"/>
      <c r="G95" s="295"/>
      <c r="H95" s="295"/>
      <c r="I95" s="299"/>
      <c r="J95" s="299"/>
      <c r="K95" s="299"/>
      <c r="L95" s="302"/>
      <c r="M95" s="305"/>
      <c r="N95" s="276"/>
      <c r="O95" s="277"/>
      <c r="P95" s="277"/>
      <c r="Q95" s="278"/>
      <c r="R95" s="1"/>
      <c r="S95" s="2"/>
      <c r="T95" s="3"/>
      <c r="U95" s="4"/>
    </row>
    <row r="96" spans="1:21" ht="17.25" thickBot="1" x14ac:dyDescent="0.35">
      <c r="A96" s="296"/>
      <c r="B96" s="297"/>
      <c r="C96" s="297"/>
      <c r="D96" s="297"/>
      <c r="E96" s="297"/>
      <c r="F96" s="297"/>
      <c r="G96" s="297"/>
      <c r="H96" s="297"/>
      <c r="I96" s="300"/>
      <c r="J96" s="300"/>
      <c r="K96" s="300"/>
      <c r="L96" s="303"/>
      <c r="M96" s="306"/>
      <c r="N96" s="279"/>
      <c r="O96" s="280"/>
      <c r="P96" s="280"/>
      <c r="Q96" s="281"/>
      <c r="R96" s="282" t="s">
        <v>52</v>
      </c>
      <c r="S96" s="283"/>
      <c r="T96" s="283"/>
      <c r="U96" s="284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1" fitToHeight="0" orientation="landscape" horizontalDpi="300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N19" sqref="N19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19" t="s">
        <v>77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1"/>
    </row>
    <row r="2" spans="1:44" ht="17.25" thickBot="1" x14ac:dyDescent="0.35">
      <c r="A2" s="319" t="s">
        <v>225</v>
      </c>
      <c r="B2" s="320"/>
      <c r="C2" s="320"/>
      <c r="D2" s="320"/>
      <c r="E2" s="320"/>
      <c r="F2" s="320"/>
      <c r="G2" s="321"/>
      <c r="H2" s="322" t="s">
        <v>49</v>
      </c>
      <c r="I2" s="323"/>
      <c r="J2" s="319" t="s">
        <v>199</v>
      </c>
      <c r="K2" s="321"/>
      <c r="L2" s="323" t="s">
        <v>96</v>
      </c>
      <c r="M2" s="324"/>
      <c r="N2" s="322"/>
      <c r="O2" s="320" t="s">
        <v>145</v>
      </c>
      <c r="P2" s="320"/>
      <c r="Q2" s="321"/>
      <c r="R2" s="323" t="s">
        <v>51</v>
      </c>
      <c r="S2" s="322"/>
      <c r="T2" s="311">
        <v>5</v>
      </c>
      <c r="U2" s="31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2" t="s">
        <v>8</v>
      </c>
      <c r="P4" s="312"/>
      <c r="Q4" s="31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11384</v>
      </c>
      <c r="C5" s="59" t="s">
        <v>226</v>
      </c>
      <c r="D5" s="190" t="s">
        <v>227</v>
      </c>
      <c r="E5" s="171" t="s">
        <v>91</v>
      </c>
      <c r="F5" s="160">
        <v>915</v>
      </c>
      <c r="G5" s="109" t="s">
        <v>139</v>
      </c>
      <c r="H5" s="82"/>
      <c r="I5" s="115"/>
      <c r="J5" s="120" t="str">
        <f>IF(G5="RSL","55","0")</f>
        <v>0</v>
      </c>
      <c r="K5" s="120">
        <v>79.099999999999994</v>
      </c>
      <c r="L5" s="121"/>
      <c r="M5" s="121"/>
      <c r="N5" s="122" t="s">
        <v>160</v>
      </c>
      <c r="O5" s="358" t="s">
        <v>228</v>
      </c>
      <c r="P5" s="359"/>
      <c r="Q5" s="360"/>
      <c r="R5" s="32" t="s">
        <v>145</v>
      </c>
      <c r="S5" s="30">
        <v>0.33333333333333331</v>
      </c>
      <c r="T5" s="31">
        <v>0.69791666666666663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11385</v>
      </c>
      <c r="C6" s="58" t="s">
        <v>229</v>
      </c>
      <c r="D6" s="190" t="s">
        <v>230</v>
      </c>
      <c r="E6" s="171" t="s">
        <v>92</v>
      </c>
      <c r="F6" s="161">
        <v>920</v>
      </c>
      <c r="G6" s="109" t="s">
        <v>126</v>
      </c>
      <c r="H6" s="82">
        <v>75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2" t="s">
        <v>160</v>
      </c>
      <c r="O6" s="313"/>
      <c r="P6" s="314"/>
      <c r="Q6" s="315"/>
      <c r="R6" s="122" t="s">
        <v>160</v>
      </c>
      <c r="S6" s="30">
        <v>0.34375</v>
      </c>
      <c r="T6" s="31">
        <v>0.69791666666666663</v>
      </c>
      <c r="U6" s="83">
        <f t="shared" si="0"/>
        <v>8.5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11386</v>
      </c>
      <c r="C7" s="58" t="s">
        <v>231</v>
      </c>
      <c r="D7" s="190" t="s">
        <v>232</v>
      </c>
      <c r="E7" s="171" t="s">
        <v>92</v>
      </c>
      <c r="F7" s="161">
        <v>925</v>
      </c>
      <c r="G7" s="109" t="s">
        <v>102</v>
      </c>
      <c r="H7" s="82">
        <v>95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145</v>
      </c>
      <c r="O7" s="286"/>
      <c r="P7" s="285"/>
      <c r="Q7" s="287"/>
      <c r="R7" s="124" t="s">
        <v>161</v>
      </c>
      <c r="S7" s="30">
        <v>0.41666666666666669</v>
      </c>
      <c r="T7" s="31">
        <v>0.63541666666666663</v>
      </c>
      <c r="U7" s="83">
        <f t="shared" si="0"/>
        <v>5.2499999999999982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11387</v>
      </c>
      <c r="C8" s="26" t="s">
        <v>233</v>
      </c>
      <c r="D8" s="190" t="s">
        <v>234</v>
      </c>
      <c r="E8" s="171" t="s">
        <v>91</v>
      </c>
      <c r="F8" s="161">
        <v>945</v>
      </c>
      <c r="G8" s="109" t="s">
        <v>139</v>
      </c>
      <c r="H8" s="82"/>
      <c r="I8" s="115"/>
      <c r="J8" s="120" t="str">
        <f t="shared" si="1"/>
        <v>0</v>
      </c>
      <c r="K8" s="120">
        <v>79.099999999999994</v>
      </c>
      <c r="L8" s="121"/>
      <c r="M8" s="121"/>
      <c r="N8" s="124" t="s">
        <v>145</v>
      </c>
      <c r="O8" s="316" t="s">
        <v>235</v>
      </c>
      <c r="P8" s="317"/>
      <c r="Q8" s="318"/>
      <c r="R8" s="25" t="s">
        <v>148</v>
      </c>
      <c r="S8" s="30">
        <v>0.4375</v>
      </c>
      <c r="T8" s="31">
        <v>0.69791666666666663</v>
      </c>
      <c r="U8" s="83">
        <f t="shared" si="0"/>
        <v>6.2499999999999991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11388</v>
      </c>
      <c r="C9" s="54" t="s">
        <v>236</v>
      </c>
      <c r="D9" s="191" t="s">
        <v>237</v>
      </c>
      <c r="E9" s="171" t="s">
        <v>91</v>
      </c>
      <c r="F9" s="162">
        <v>945</v>
      </c>
      <c r="G9" s="110" t="s">
        <v>44</v>
      </c>
      <c r="H9" s="82"/>
      <c r="I9" s="82"/>
      <c r="J9" s="120">
        <v>110</v>
      </c>
      <c r="K9" s="120" t="str">
        <f t="shared" si="2"/>
        <v>0</v>
      </c>
      <c r="L9" s="121"/>
      <c r="M9" s="121"/>
      <c r="N9" s="124" t="s">
        <v>145</v>
      </c>
      <c r="O9" s="316" t="s">
        <v>238</v>
      </c>
      <c r="P9" s="317"/>
      <c r="Q9" s="318"/>
      <c r="R9" s="250" t="s">
        <v>239</v>
      </c>
      <c r="S9" s="30">
        <v>0.45833333333333331</v>
      </c>
      <c r="T9" s="31">
        <v>0.66666666666666663</v>
      </c>
      <c r="U9" s="83">
        <f t="shared" si="0"/>
        <v>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11389</v>
      </c>
      <c r="C10" s="27" t="s">
        <v>240</v>
      </c>
      <c r="D10" s="192" t="s">
        <v>241</v>
      </c>
      <c r="E10" s="171" t="s">
        <v>92</v>
      </c>
      <c r="F10" s="163">
        <v>1025</v>
      </c>
      <c r="G10" s="111" t="s">
        <v>102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145</v>
      </c>
      <c r="O10" s="308"/>
      <c r="P10" s="309"/>
      <c r="Q10" s="310"/>
      <c r="R10" s="250" t="s">
        <v>149</v>
      </c>
      <c r="S10" s="30">
        <v>0.5</v>
      </c>
      <c r="T10" s="31">
        <v>0.66666666666666663</v>
      </c>
      <c r="U10" s="83">
        <f t="shared" si="0"/>
        <v>3.9999999999999991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11390</v>
      </c>
      <c r="C11" s="17" t="s">
        <v>242</v>
      </c>
      <c r="D11" s="193" t="s">
        <v>243</v>
      </c>
      <c r="E11" s="171" t="s">
        <v>92</v>
      </c>
      <c r="F11" s="57">
        <v>1200</v>
      </c>
      <c r="G11" s="112" t="s">
        <v>102</v>
      </c>
      <c r="H11" s="114">
        <v>75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145</v>
      </c>
      <c r="O11" s="286"/>
      <c r="P11" s="285"/>
      <c r="Q11" s="287"/>
      <c r="R11" s="25" t="s">
        <v>155</v>
      </c>
      <c r="S11" s="30">
        <v>0.39583333333333331</v>
      </c>
      <c r="T11" s="31">
        <v>0.4375</v>
      </c>
      <c r="U11" s="83">
        <f t="shared" si="0"/>
        <v>1.0000000000000004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11391</v>
      </c>
      <c r="C12" s="55" t="s">
        <v>244</v>
      </c>
      <c r="D12" s="194" t="s">
        <v>245</v>
      </c>
      <c r="E12" s="171" t="s">
        <v>92</v>
      </c>
      <c r="F12" s="163">
        <v>1225</v>
      </c>
      <c r="G12" s="110" t="s">
        <v>102</v>
      </c>
      <c r="H12" s="114">
        <v>95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145</v>
      </c>
      <c r="O12" s="286"/>
      <c r="P12" s="285"/>
      <c r="Q12" s="28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11392</v>
      </c>
      <c r="C13" s="110">
        <v>2681</v>
      </c>
      <c r="D13" s="194" t="s">
        <v>246</v>
      </c>
      <c r="E13" s="171" t="s">
        <v>92</v>
      </c>
      <c r="F13" s="163">
        <v>1300</v>
      </c>
      <c r="G13" s="110" t="s">
        <v>102</v>
      </c>
      <c r="H13" s="159"/>
      <c r="I13" s="158">
        <v>95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145</v>
      </c>
      <c r="O13" s="286"/>
      <c r="P13" s="285"/>
      <c r="Q13" s="287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11393</v>
      </c>
      <c r="C14" s="56" t="s">
        <v>247</v>
      </c>
      <c r="D14" s="194" t="s">
        <v>246</v>
      </c>
      <c r="E14" s="171" t="s">
        <v>92</v>
      </c>
      <c r="F14" s="164">
        <v>1300</v>
      </c>
      <c r="G14" s="113" t="s">
        <v>102</v>
      </c>
      <c r="H14" s="114"/>
      <c r="I14" s="116">
        <v>76.7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145</v>
      </c>
      <c r="O14" s="286"/>
      <c r="P14" s="285"/>
      <c r="Q14" s="28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11394</v>
      </c>
      <c r="C15" s="56" t="s">
        <v>248</v>
      </c>
      <c r="D15" s="195" t="s">
        <v>249</v>
      </c>
      <c r="E15" s="171" t="s">
        <v>92</v>
      </c>
      <c r="F15" s="164">
        <v>1320</v>
      </c>
      <c r="G15" s="113" t="s">
        <v>102</v>
      </c>
      <c r="H15" s="114">
        <v>95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145</v>
      </c>
      <c r="O15" s="286"/>
      <c r="P15" s="285"/>
      <c r="Q15" s="28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11395</v>
      </c>
      <c r="C16" s="56" t="s">
        <v>250</v>
      </c>
      <c r="D16" s="195" t="s">
        <v>251</v>
      </c>
      <c r="E16" s="171" t="s">
        <v>91</v>
      </c>
      <c r="F16" s="164">
        <v>1330</v>
      </c>
      <c r="G16" s="113" t="s">
        <v>139</v>
      </c>
      <c r="H16" s="114"/>
      <c r="I16" s="115"/>
      <c r="J16" s="120" t="str">
        <f t="shared" si="1"/>
        <v>0</v>
      </c>
      <c r="K16" s="120">
        <v>79.099999999999994</v>
      </c>
      <c r="L16" s="121"/>
      <c r="M16" s="121"/>
      <c r="N16" s="124" t="s">
        <v>145</v>
      </c>
      <c r="O16" s="286" t="s">
        <v>252</v>
      </c>
      <c r="P16" s="285"/>
      <c r="Q16" s="287"/>
      <c r="R16" s="73">
        <f>H32/U16</f>
        <v>0.33548387096774196</v>
      </c>
      <c r="S16" s="74">
        <f>H32/(U16-U5)</f>
        <v>0.43333333333333335</v>
      </c>
      <c r="T16" s="74">
        <f>C32/U16</f>
        <v>29.006451612903227</v>
      </c>
      <c r="U16" s="74">
        <f>SUM(U5:U15)</f>
        <v>38.75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11396</v>
      </c>
      <c r="C17" s="17" t="s">
        <v>253</v>
      </c>
      <c r="D17" s="193" t="s">
        <v>254</v>
      </c>
      <c r="E17" s="171" t="s">
        <v>91</v>
      </c>
      <c r="F17" s="57">
        <v>1400</v>
      </c>
      <c r="G17" s="112" t="s">
        <v>102</v>
      </c>
      <c r="H17" s="114"/>
      <c r="I17" s="115">
        <v>95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145</v>
      </c>
      <c r="O17" s="286"/>
      <c r="P17" s="285"/>
      <c r="Q17" s="28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86"/>
      <c r="P18" s="285"/>
      <c r="Q18" s="28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86"/>
      <c r="P19" s="285"/>
      <c r="Q19" s="285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54"/>
      <c r="P20" s="355"/>
      <c r="Q20" s="35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86"/>
      <c r="P21" s="285"/>
      <c r="Q21" s="28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86"/>
      <c r="P22" s="285"/>
      <c r="Q22" s="28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2"/>
      <c r="Y23" s="353"/>
      <c r="Z23" s="353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6"/>
      <c r="P24" s="285"/>
      <c r="Q24" s="28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6"/>
      <c r="P25" s="285"/>
      <c r="Q25" s="287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56">
        <f>((C32+(R26+S26+T26)*0.5))</f>
        <v>1124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6"/>
      <c r="P26" s="285"/>
      <c r="Q26" s="287"/>
      <c r="R26" s="103">
        <f>R25*37.5</f>
        <v>0</v>
      </c>
      <c r="S26" s="93">
        <f>S25*41.5</f>
        <v>0</v>
      </c>
      <c r="T26" s="93">
        <f>T25*50</f>
        <v>0</v>
      </c>
      <c r="U26" s="35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6"/>
      <c r="P27" s="285"/>
      <c r="Q27" s="287"/>
      <c r="R27" s="349" t="s">
        <v>56</v>
      </c>
      <c r="S27" s="350"/>
      <c r="T27" s="350"/>
      <c r="U27" s="351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6"/>
      <c r="P28" s="285"/>
      <c r="Q28" s="287"/>
      <c r="R28" s="342"/>
      <c r="S28" s="343"/>
      <c r="T28" s="344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9"/>
      <c r="P29" s="330"/>
      <c r="Q29" s="331"/>
      <c r="R29" s="332"/>
      <c r="S29" s="333"/>
      <c r="T29" s="334"/>
      <c r="U29" s="140"/>
      <c r="X29" s="14">
        <v>3</v>
      </c>
      <c r="Z29" s="45"/>
      <c r="AE29" s="39"/>
    </row>
    <row r="30" spans="1:44" ht="16.5" customHeight="1" thickBot="1" x14ac:dyDescent="0.35">
      <c r="A30" s="335" t="s">
        <v>48</v>
      </c>
      <c r="B30" s="336"/>
      <c r="C30" s="336"/>
      <c r="D30" s="336"/>
      <c r="E30" s="337"/>
      <c r="F30" s="336"/>
      <c r="G30" s="336"/>
      <c r="H30" s="201">
        <f t="shared" ref="H30:M30" si="3">SUM(H5:H29)</f>
        <v>435</v>
      </c>
      <c r="I30" s="96">
        <f>SUM(I5:I29)</f>
        <v>341.7</v>
      </c>
      <c r="J30" s="96">
        <f>J5+J6+J7+J8+J9+J10+J11+J12+J13+J14+J15+J16+J18+J19+J17+J20+J22+J23+J21+J24+J25+J26+J27+J28+J29</f>
        <v>110</v>
      </c>
      <c r="K30" s="96">
        <f>K5+K6+K7+K8+K9+K10+K11+K12+K13+K14+K15+K16+K18+K19+K17+K20+K22+K23+K21+K24+K25+K26+K27+K28+K29</f>
        <v>237.29999999999998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8"/>
      <c r="S30" s="338"/>
      <c r="T30" s="339"/>
      <c r="U30" s="141"/>
      <c r="X30" s="14">
        <v>4</v>
      </c>
      <c r="Z30" s="45"/>
      <c r="AD30" s="46"/>
    </row>
    <row r="31" spans="1:44" x14ac:dyDescent="0.3">
      <c r="A31" s="340" t="s">
        <v>16</v>
      </c>
      <c r="B31" s="341"/>
      <c r="C31" s="341"/>
      <c r="D31" s="341"/>
      <c r="E31" s="341"/>
      <c r="F31" s="341"/>
      <c r="G31" s="341"/>
      <c r="H31" s="202">
        <f t="shared" ref="H31:J31" si="4">H30+H62+H94</f>
        <v>435</v>
      </c>
      <c r="I31" s="94">
        <f t="shared" si="4"/>
        <v>341.7</v>
      </c>
      <c r="J31" s="94">
        <f t="shared" si="4"/>
        <v>110</v>
      </c>
      <c r="K31" s="94">
        <f>K30+K62+K94</f>
        <v>237.29999999999998</v>
      </c>
      <c r="L31" s="88">
        <f>L30+L62+L94</f>
        <v>0</v>
      </c>
      <c r="M31" s="88">
        <f>M30+M62+M94</f>
        <v>0</v>
      </c>
      <c r="N31" s="207">
        <f>COUNT(H5:H29,H37:H61,H69:H93)</f>
        <v>5</v>
      </c>
      <c r="O31" s="95">
        <f>COUNT(I5:I29,I37:I61,I69:I93)</f>
        <v>4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1</v>
      </c>
      <c r="R31" s="89" t="s">
        <v>83</v>
      </c>
      <c r="S31" s="102">
        <f>H31+L31-U28-U29-U30</f>
        <v>435</v>
      </c>
      <c r="T31" s="325">
        <f>H31+I31+L31+M31</f>
        <v>776.7</v>
      </c>
      <c r="U31" s="326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45" t="s">
        <v>55</v>
      </c>
      <c r="B32" s="346"/>
      <c r="C32" s="98">
        <f>H31+I31+J31+K31</f>
        <v>1124</v>
      </c>
      <c r="D32" s="186"/>
      <c r="E32" s="98"/>
      <c r="F32" s="347" t="s">
        <v>53</v>
      </c>
      <c r="G32" s="347"/>
      <c r="H32" s="100">
        <f>COUNT(B5:B29,B37:B61,B69:B93)</f>
        <v>13</v>
      </c>
      <c r="I32" s="348" t="s">
        <v>54</v>
      </c>
      <c r="J32" s="348"/>
      <c r="K32" s="99">
        <f>C32/H32</f>
        <v>86.461538461538467</v>
      </c>
      <c r="L32" s="208"/>
      <c r="M32" s="208"/>
      <c r="N32" s="208">
        <f>H31/C32</f>
        <v>0.38701067615658363</v>
      </c>
      <c r="O32" s="208">
        <f>I31/C32</f>
        <v>0.3040035587188612</v>
      </c>
      <c r="P32" s="208">
        <f>K31/C32</f>
        <v>0.21112099644128113</v>
      </c>
      <c r="Q32" s="101">
        <f>J31/C32</f>
        <v>9.7864768683274025E-2</v>
      </c>
      <c r="R32" s="90" t="s">
        <v>82</v>
      </c>
      <c r="S32" s="203">
        <f>I31+M31</f>
        <v>341.7</v>
      </c>
      <c r="T32" s="327"/>
      <c r="U32" s="328"/>
      <c r="V32" s="39"/>
      <c r="W32" s="39"/>
      <c r="X32" s="48" t="s">
        <v>27</v>
      </c>
      <c r="Y32" s="48"/>
      <c r="Z32" s="47">
        <f>I31</f>
        <v>341.7</v>
      </c>
    </row>
    <row r="33" spans="1:33" ht="17.25" thickBot="1" x14ac:dyDescent="0.35">
      <c r="A33" s="279" t="s">
        <v>24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320"/>
      <c r="U33" s="321"/>
      <c r="X33" s="49" t="s">
        <v>29</v>
      </c>
      <c r="Y33" s="49"/>
      <c r="Z33" s="50">
        <f>SUM(Z31:Z32)</f>
        <v>-2403.3000000000002</v>
      </c>
      <c r="AG33" s="35"/>
    </row>
    <row r="34" spans="1:33" ht="17.25" thickBot="1" x14ac:dyDescent="0.35">
      <c r="A34" s="319" t="str">
        <f>A2</f>
        <v>29-09-2022</v>
      </c>
      <c r="B34" s="320"/>
      <c r="C34" s="320"/>
      <c r="D34" s="320"/>
      <c r="E34" s="320"/>
      <c r="F34" s="320"/>
      <c r="G34" s="321"/>
      <c r="H34" s="322" t="s">
        <v>49</v>
      </c>
      <c r="I34" s="323"/>
      <c r="J34" s="319" t="str">
        <f>J2</f>
        <v>SUNNY</v>
      </c>
      <c r="K34" s="321"/>
      <c r="L34" s="323" t="s">
        <v>50</v>
      </c>
      <c r="M34" s="324"/>
      <c r="N34" s="322"/>
      <c r="O34" s="320" t="str">
        <f>O2</f>
        <v>JOHN</v>
      </c>
      <c r="P34" s="320"/>
      <c r="Q34" s="321"/>
      <c r="R34" s="323" t="s">
        <v>51</v>
      </c>
      <c r="S34" s="322"/>
      <c r="T34" s="311">
        <f>T2</f>
        <v>5</v>
      </c>
      <c r="U34" s="31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2" t="s">
        <v>8</v>
      </c>
      <c r="P36" s="312"/>
      <c r="Q36" s="31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6"/>
      <c r="P37" s="285"/>
      <c r="Q37" s="287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3"/>
      <c r="P38" s="314"/>
      <c r="Q38" s="315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6"/>
      <c r="P39" s="285"/>
      <c r="Q39" s="287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6"/>
      <c r="P40" s="317"/>
      <c r="Q40" s="31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6"/>
      <c r="P41" s="317"/>
      <c r="Q41" s="31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8"/>
      <c r="P42" s="309"/>
      <c r="Q42" s="310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6"/>
      <c r="P43" s="285"/>
      <c r="Q43" s="287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6"/>
      <c r="P44" s="285"/>
      <c r="Q44" s="28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6"/>
      <c r="P45" s="285"/>
      <c r="Q45" s="287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6"/>
      <c r="P46" s="285"/>
      <c r="Q46" s="28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6"/>
      <c r="P47" s="285"/>
      <c r="Q47" s="287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6"/>
      <c r="P48" s="285"/>
      <c r="Q48" s="287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6"/>
      <c r="P49" s="285"/>
      <c r="Q49" s="287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6"/>
      <c r="P50" s="285"/>
      <c r="Q50" s="287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6"/>
      <c r="P51" s="285"/>
      <c r="Q51" s="28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6"/>
      <c r="P52" s="285"/>
      <c r="Q52" s="28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07"/>
      <c r="P53" s="286"/>
      <c r="Q53" s="286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07"/>
      <c r="P54" s="286"/>
      <c r="Q54" s="286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07"/>
      <c r="P55" s="286"/>
      <c r="Q55" s="286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5"/>
      <c r="P56" s="285"/>
      <c r="Q56" s="28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6"/>
      <c r="P57" s="285"/>
      <c r="Q57" s="28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5"/>
      <c r="P58" s="285"/>
      <c r="Q58" s="28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5"/>
      <c r="P59" s="285"/>
      <c r="Q59" s="28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6"/>
      <c r="P60" s="285"/>
      <c r="Q60" s="28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88"/>
      <c r="P61" s="289"/>
      <c r="Q61" s="290"/>
      <c r="R61" s="72"/>
      <c r="S61" s="59"/>
      <c r="T61" s="59"/>
      <c r="U61" s="68"/>
    </row>
    <row r="62" spans="1:21" x14ac:dyDescent="0.3">
      <c r="A62" s="291" t="s">
        <v>48</v>
      </c>
      <c r="B62" s="292"/>
      <c r="C62" s="292"/>
      <c r="D62" s="292"/>
      <c r="E62" s="292"/>
      <c r="F62" s="292"/>
      <c r="G62" s="292"/>
      <c r="H62" s="292">
        <f t="shared" ref="H62:M62" si="8">SUM(H37:H61)</f>
        <v>0</v>
      </c>
      <c r="I62" s="298">
        <f t="shared" si="8"/>
        <v>0</v>
      </c>
      <c r="J62" s="298">
        <f>J61+J60+J59+J58+J57+J56+J55+J54+J53+J52+J51+J50+J49+J48+J47+J46+J45+J44+J43+J42+J41+J40+J39+J38+J37</f>
        <v>0</v>
      </c>
      <c r="K62" s="298">
        <f>K61+K60+K59+K58+K57+K56+K55+K54+K53+K52+K51+K50+K49+K48+K47+K46+K45+K44+K43+K42+K41+K40+K39+K38+K37</f>
        <v>0</v>
      </c>
      <c r="L62" s="301">
        <f t="shared" si="8"/>
        <v>0</v>
      </c>
      <c r="M62" s="304">
        <f t="shared" si="8"/>
        <v>0</v>
      </c>
      <c r="N62" s="273"/>
      <c r="O62" s="274"/>
      <c r="P62" s="274"/>
      <c r="Q62" s="275"/>
      <c r="R62" s="5"/>
      <c r="S62" s="6"/>
      <c r="T62" s="7"/>
      <c r="U62" s="8"/>
    </row>
    <row r="63" spans="1:21" ht="17.25" thickBot="1" x14ac:dyDescent="0.35">
      <c r="A63" s="294"/>
      <c r="B63" s="295"/>
      <c r="C63" s="295"/>
      <c r="D63" s="295"/>
      <c r="E63" s="295"/>
      <c r="F63" s="295"/>
      <c r="G63" s="295"/>
      <c r="H63" s="295"/>
      <c r="I63" s="299"/>
      <c r="J63" s="299"/>
      <c r="K63" s="299"/>
      <c r="L63" s="302"/>
      <c r="M63" s="305"/>
      <c r="N63" s="276"/>
      <c r="O63" s="277"/>
      <c r="P63" s="277"/>
      <c r="Q63" s="278"/>
      <c r="R63" s="1"/>
      <c r="S63" s="2"/>
      <c r="T63" s="3"/>
      <c r="U63" s="4"/>
    </row>
    <row r="64" spans="1:21" ht="17.25" thickBot="1" x14ac:dyDescent="0.35">
      <c r="A64" s="296"/>
      <c r="B64" s="297"/>
      <c r="C64" s="297"/>
      <c r="D64" s="297"/>
      <c r="E64" s="297"/>
      <c r="F64" s="297"/>
      <c r="G64" s="297"/>
      <c r="H64" s="297"/>
      <c r="I64" s="300"/>
      <c r="J64" s="300"/>
      <c r="K64" s="300"/>
      <c r="L64" s="303"/>
      <c r="M64" s="306"/>
      <c r="N64" s="279"/>
      <c r="O64" s="280"/>
      <c r="P64" s="280"/>
      <c r="Q64" s="281"/>
      <c r="R64" s="282" t="s">
        <v>17</v>
      </c>
      <c r="S64" s="283"/>
      <c r="T64" s="283"/>
      <c r="U64" s="284"/>
    </row>
    <row r="65" spans="1:21" ht="17.25" thickBot="1" x14ac:dyDescent="0.35">
      <c r="A65" s="319" t="s">
        <v>24</v>
      </c>
      <c r="B65" s="320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0"/>
      <c r="T65" s="320"/>
      <c r="U65" s="321"/>
    </row>
    <row r="66" spans="1:21" ht="17.25" thickBot="1" x14ac:dyDescent="0.35">
      <c r="A66" s="319" t="str">
        <f>A34</f>
        <v>29-09-2022</v>
      </c>
      <c r="B66" s="320"/>
      <c r="C66" s="320"/>
      <c r="D66" s="320"/>
      <c r="E66" s="320"/>
      <c r="F66" s="320"/>
      <c r="G66" s="321"/>
      <c r="H66" s="322" t="s">
        <v>49</v>
      </c>
      <c r="I66" s="323"/>
      <c r="J66" s="319" t="str">
        <f>J34</f>
        <v>SUNNY</v>
      </c>
      <c r="K66" s="321"/>
      <c r="L66" s="323" t="s">
        <v>50</v>
      </c>
      <c r="M66" s="324"/>
      <c r="N66" s="322"/>
      <c r="O66" s="320" t="str">
        <f>O34</f>
        <v>JOHN</v>
      </c>
      <c r="P66" s="320"/>
      <c r="Q66" s="321"/>
      <c r="R66" s="323" t="s">
        <v>51</v>
      </c>
      <c r="S66" s="322"/>
      <c r="T66" s="311">
        <f>T34</f>
        <v>5</v>
      </c>
      <c r="U66" s="31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2" t="s">
        <v>8</v>
      </c>
      <c r="P68" s="312"/>
      <c r="Q68" s="31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6"/>
      <c r="P69" s="285"/>
      <c r="Q69" s="287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3"/>
      <c r="P70" s="314"/>
      <c r="Q70" s="315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6"/>
      <c r="P71" s="285"/>
      <c r="Q71" s="28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6"/>
      <c r="P72" s="317"/>
      <c r="Q72" s="31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6"/>
      <c r="P73" s="317"/>
      <c r="Q73" s="31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8"/>
      <c r="P74" s="309"/>
      <c r="Q74" s="310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6"/>
      <c r="P75" s="285"/>
      <c r="Q75" s="28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6"/>
      <c r="P76" s="285"/>
      <c r="Q76" s="287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6"/>
      <c r="P77" s="285"/>
      <c r="Q77" s="287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6"/>
      <c r="P78" s="285"/>
      <c r="Q78" s="287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6"/>
      <c r="P79" s="285"/>
      <c r="Q79" s="287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6"/>
      <c r="P80" s="285"/>
      <c r="Q80" s="287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6"/>
      <c r="P81" s="285"/>
      <c r="Q81" s="287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6"/>
      <c r="P82" s="285"/>
      <c r="Q82" s="287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6"/>
      <c r="P83" s="285"/>
      <c r="Q83" s="28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6"/>
      <c r="P84" s="285"/>
      <c r="Q84" s="28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07"/>
      <c r="P85" s="286"/>
      <c r="Q85" s="286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07"/>
      <c r="P86" s="286"/>
      <c r="Q86" s="286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07"/>
      <c r="P87" s="286"/>
      <c r="Q87" s="286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5"/>
      <c r="P88" s="285"/>
      <c r="Q88" s="28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6"/>
      <c r="P89" s="285"/>
      <c r="Q89" s="28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5"/>
      <c r="P90" s="285"/>
      <c r="Q90" s="28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5"/>
      <c r="P91" s="285"/>
      <c r="Q91" s="28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6"/>
      <c r="P92" s="285"/>
      <c r="Q92" s="28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88"/>
      <c r="P93" s="289"/>
      <c r="Q93" s="290"/>
      <c r="R93" s="72"/>
      <c r="S93" s="59"/>
      <c r="T93" s="59"/>
      <c r="U93" s="68"/>
    </row>
    <row r="94" spans="1:21" x14ac:dyDescent="0.3">
      <c r="A94" s="291" t="s">
        <v>48</v>
      </c>
      <c r="B94" s="292"/>
      <c r="C94" s="292"/>
      <c r="D94" s="292"/>
      <c r="E94" s="293"/>
      <c r="F94" s="292"/>
      <c r="G94" s="292"/>
      <c r="H94" s="292">
        <f t="shared" ref="H94:M94" si="12">SUM(H69:H93)</f>
        <v>0</v>
      </c>
      <c r="I94" s="298">
        <f t="shared" si="12"/>
        <v>0</v>
      </c>
      <c r="J94" s="298">
        <f>J93+J92+J91+J90+J89+J88+J87+J86+J85+J84+J83+J82+J81+J80+J79+J78+J77+J76+J75+J74+J73+J72+J71+J70+J69</f>
        <v>0</v>
      </c>
      <c r="K94" s="298">
        <f>K93+K92+K91+K90+K89+K88+K87+K86+K85+K84+K83+K82+K81+K80+K79+K78+K77+K76+K75+K74+K73+K72+K71+K70+K69</f>
        <v>0</v>
      </c>
      <c r="L94" s="301">
        <f t="shared" si="12"/>
        <v>0</v>
      </c>
      <c r="M94" s="304">
        <f t="shared" si="12"/>
        <v>0</v>
      </c>
      <c r="N94" s="273"/>
      <c r="O94" s="274"/>
      <c r="P94" s="274"/>
      <c r="Q94" s="275"/>
      <c r="R94" s="5"/>
      <c r="S94" s="6"/>
      <c r="T94" s="7"/>
      <c r="U94" s="8"/>
    </row>
    <row r="95" spans="1:21" ht="17.25" thickBot="1" x14ac:dyDescent="0.35">
      <c r="A95" s="294"/>
      <c r="B95" s="295"/>
      <c r="C95" s="295"/>
      <c r="D95" s="295"/>
      <c r="E95" s="295"/>
      <c r="F95" s="295"/>
      <c r="G95" s="295"/>
      <c r="H95" s="295"/>
      <c r="I95" s="299"/>
      <c r="J95" s="299"/>
      <c r="K95" s="299"/>
      <c r="L95" s="302"/>
      <c r="M95" s="305"/>
      <c r="N95" s="276"/>
      <c r="O95" s="277"/>
      <c r="P95" s="277"/>
      <c r="Q95" s="278"/>
      <c r="R95" s="1"/>
      <c r="S95" s="2"/>
      <c r="T95" s="3"/>
      <c r="U95" s="4"/>
    </row>
    <row r="96" spans="1:21" ht="17.25" thickBot="1" x14ac:dyDescent="0.35">
      <c r="A96" s="296"/>
      <c r="B96" s="297"/>
      <c r="C96" s="297"/>
      <c r="D96" s="297"/>
      <c r="E96" s="297"/>
      <c r="F96" s="297"/>
      <c r="G96" s="297"/>
      <c r="H96" s="297"/>
      <c r="I96" s="300"/>
      <c r="J96" s="300"/>
      <c r="K96" s="300"/>
      <c r="L96" s="303"/>
      <c r="M96" s="306"/>
      <c r="N96" s="279"/>
      <c r="O96" s="280"/>
      <c r="P96" s="280"/>
      <c r="Q96" s="281"/>
      <c r="R96" s="282" t="s">
        <v>52</v>
      </c>
      <c r="S96" s="283"/>
      <c r="T96" s="283"/>
      <c r="U96" s="284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4" type="noConversion"/>
  <dataValidations count="1">
    <dataValidation type="list" allowBlank="1" showInputMessage="1" showErrorMessage="1" sqref="X7 W5 E69:E93 E37:E61 E5:E29" xr:uid="{0D36EEE0-6C4F-4DC5-8514-70888213DE3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W17" sqref="W17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19" t="s">
        <v>77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1"/>
    </row>
    <row r="2" spans="1:44" ht="17.25" thickBot="1" x14ac:dyDescent="0.35">
      <c r="A2" s="319" t="s">
        <v>256</v>
      </c>
      <c r="B2" s="320"/>
      <c r="C2" s="320"/>
      <c r="D2" s="320"/>
      <c r="E2" s="320"/>
      <c r="F2" s="320"/>
      <c r="G2" s="321"/>
      <c r="H2" s="322" t="s">
        <v>49</v>
      </c>
      <c r="I2" s="323"/>
      <c r="J2" s="319" t="s">
        <v>255</v>
      </c>
      <c r="K2" s="321"/>
      <c r="L2" s="323" t="s">
        <v>96</v>
      </c>
      <c r="M2" s="324"/>
      <c r="N2" s="322"/>
      <c r="O2" s="320" t="s">
        <v>160</v>
      </c>
      <c r="P2" s="320"/>
      <c r="Q2" s="321"/>
      <c r="R2" s="323" t="s">
        <v>51</v>
      </c>
      <c r="S2" s="322"/>
      <c r="T2" s="311">
        <v>4</v>
      </c>
      <c r="U2" s="31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2" t="s">
        <v>8</v>
      </c>
      <c r="P4" s="312"/>
      <c r="Q4" s="31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56">
        <v>11397</v>
      </c>
      <c r="C5" s="59" t="s">
        <v>257</v>
      </c>
      <c r="D5" s="190" t="s">
        <v>258</v>
      </c>
      <c r="E5" s="171" t="s">
        <v>91</v>
      </c>
      <c r="F5" s="160">
        <v>800</v>
      </c>
      <c r="G5" s="109" t="s">
        <v>102</v>
      </c>
      <c r="H5" s="82"/>
      <c r="I5" s="115">
        <v>100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160</v>
      </c>
      <c r="O5" s="358"/>
      <c r="P5" s="359"/>
      <c r="Q5" s="360"/>
      <c r="R5" s="32" t="s">
        <v>160</v>
      </c>
      <c r="S5" s="30">
        <v>0.33333333333333331</v>
      </c>
      <c r="T5" s="31">
        <v>0.66666666666666663</v>
      </c>
      <c r="U5" s="83">
        <f t="shared" ref="U5:U15" si="0">(T5-S5)*24</f>
        <v>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56">
        <v>11398</v>
      </c>
      <c r="C6" s="58" t="s">
        <v>259</v>
      </c>
      <c r="D6" s="190" t="s">
        <v>260</v>
      </c>
      <c r="E6" s="171" t="s">
        <v>92</v>
      </c>
      <c r="F6" s="161">
        <v>925</v>
      </c>
      <c r="G6" s="109" t="s">
        <v>126</v>
      </c>
      <c r="H6" s="82">
        <v>55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160</v>
      </c>
      <c r="O6" s="313"/>
      <c r="P6" s="314"/>
      <c r="Q6" s="315"/>
      <c r="R6" s="122" t="s">
        <v>155</v>
      </c>
      <c r="S6" s="30">
        <v>0.39583333333333331</v>
      </c>
      <c r="T6" s="31">
        <v>0.66666666666666663</v>
      </c>
      <c r="U6" s="83">
        <f t="shared" si="0"/>
        <v>6.5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11399</v>
      </c>
      <c r="C7" s="58" t="s">
        <v>261</v>
      </c>
      <c r="D7" s="190" t="s">
        <v>262</v>
      </c>
      <c r="E7" s="171" t="s">
        <v>92</v>
      </c>
      <c r="F7" s="161">
        <v>1110</v>
      </c>
      <c r="G7" s="109" t="s">
        <v>102</v>
      </c>
      <c r="H7" s="82">
        <v>95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148</v>
      </c>
      <c r="O7" s="286"/>
      <c r="P7" s="285"/>
      <c r="Q7" s="287"/>
      <c r="R7" s="124" t="s">
        <v>148</v>
      </c>
      <c r="S7" s="30">
        <v>0.45833333333333331</v>
      </c>
      <c r="T7" s="31">
        <v>0.66666666666666663</v>
      </c>
      <c r="U7" s="83">
        <f t="shared" si="0"/>
        <v>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11400</v>
      </c>
      <c r="C8" s="26" t="s">
        <v>263</v>
      </c>
      <c r="D8" s="190" t="s">
        <v>264</v>
      </c>
      <c r="E8" s="171" t="s">
        <v>91</v>
      </c>
      <c r="F8" s="161">
        <v>1245</v>
      </c>
      <c r="G8" s="109" t="s">
        <v>126</v>
      </c>
      <c r="H8" s="82">
        <v>75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160</v>
      </c>
      <c r="O8" s="316"/>
      <c r="P8" s="317"/>
      <c r="Q8" s="318"/>
      <c r="R8" s="251" t="s">
        <v>239</v>
      </c>
      <c r="S8" s="252">
        <v>0.375</v>
      </c>
      <c r="T8" s="253">
        <v>0.66666666666666663</v>
      </c>
      <c r="U8" s="83">
        <f t="shared" si="0"/>
        <v>6.9999999999999991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11401</v>
      </c>
      <c r="C9" s="54" t="s">
        <v>266</v>
      </c>
      <c r="D9" s="191" t="s">
        <v>267</v>
      </c>
      <c r="E9" s="171" t="s">
        <v>91</v>
      </c>
      <c r="F9" s="162">
        <v>1300</v>
      </c>
      <c r="G9" s="110" t="s">
        <v>44</v>
      </c>
      <c r="H9" s="82"/>
      <c r="I9" s="82"/>
      <c r="J9" s="120">
        <v>110</v>
      </c>
      <c r="K9" s="120" t="str">
        <f t="shared" si="2"/>
        <v>0</v>
      </c>
      <c r="L9" s="121"/>
      <c r="M9" s="121"/>
      <c r="N9" s="124" t="s">
        <v>160</v>
      </c>
      <c r="O9" s="316" t="s">
        <v>265</v>
      </c>
      <c r="P9" s="317"/>
      <c r="Q9" s="318"/>
      <c r="R9" s="249" t="s">
        <v>149</v>
      </c>
      <c r="S9" s="252">
        <v>0.54166666666666663</v>
      </c>
      <c r="T9" s="253">
        <v>0.65625</v>
      </c>
      <c r="U9" s="83">
        <f t="shared" si="0"/>
        <v>2.7500000000000009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11402</v>
      </c>
      <c r="C10" s="27" t="s">
        <v>268</v>
      </c>
      <c r="D10" s="192" t="s">
        <v>269</v>
      </c>
      <c r="E10" s="171" t="s">
        <v>92</v>
      </c>
      <c r="F10" s="163">
        <v>1330</v>
      </c>
      <c r="G10" s="111" t="s">
        <v>102</v>
      </c>
      <c r="H10" s="114"/>
      <c r="I10" s="116">
        <v>75.75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160</v>
      </c>
      <c r="O10" s="308"/>
      <c r="P10" s="309"/>
      <c r="Q10" s="310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11403</v>
      </c>
      <c r="C11" s="17" t="s">
        <v>270</v>
      </c>
      <c r="D11" s="193" t="s">
        <v>271</v>
      </c>
      <c r="E11" s="171" t="s">
        <v>91</v>
      </c>
      <c r="F11" s="57">
        <v>1330</v>
      </c>
      <c r="G11" s="112" t="s">
        <v>126</v>
      </c>
      <c r="H11" s="114"/>
      <c r="I11" s="115">
        <v>75.75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160</v>
      </c>
      <c r="O11" s="286"/>
      <c r="P11" s="285"/>
      <c r="Q11" s="287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11404</v>
      </c>
      <c r="C12" s="55" t="s">
        <v>272</v>
      </c>
      <c r="D12" s="194" t="s">
        <v>273</v>
      </c>
      <c r="E12" s="171" t="s">
        <v>91</v>
      </c>
      <c r="F12" s="163">
        <v>1345</v>
      </c>
      <c r="G12" s="110" t="s">
        <v>102</v>
      </c>
      <c r="H12" s="114"/>
      <c r="I12" s="116">
        <v>95.95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160</v>
      </c>
      <c r="O12" s="286"/>
      <c r="P12" s="285"/>
      <c r="Q12" s="28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11405</v>
      </c>
      <c r="C13" s="55" t="s">
        <v>274</v>
      </c>
      <c r="D13" s="194" t="s">
        <v>275</v>
      </c>
      <c r="E13" s="171" t="s">
        <v>92</v>
      </c>
      <c r="F13" s="163">
        <v>1400</v>
      </c>
      <c r="G13" s="110" t="s">
        <v>102</v>
      </c>
      <c r="H13" s="159"/>
      <c r="I13" s="158">
        <v>151.5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160</v>
      </c>
      <c r="O13" s="286" t="s">
        <v>174</v>
      </c>
      <c r="P13" s="285"/>
      <c r="Q13" s="287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11406</v>
      </c>
      <c r="C14" s="56" t="s">
        <v>279</v>
      </c>
      <c r="D14" s="195" t="s">
        <v>280</v>
      </c>
      <c r="E14" s="171" t="s">
        <v>92</v>
      </c>
      <c r="F14" s="164">
        <v>1400</v>
      </c>
      <c r="G14" s="113" t="s">
        <v>281</v>
      </c>
      <c r="H14" s="114"/>
      <c r="I14" s="116"/>
      <c r="J14" s="120" t="str">
        <f t="shared" si="1"/>
        <v>0</v>
      </c>
      <c r="K14" s="120">
        <v>113.33</v>
      </c>
      <c r="L14" s="121"/>
      <c r="M14" s="121"/>
      <c r="N14" s="124" t="s">
        <v>148</v>
      </c>
      <c r="O14" s="286" t="s">
        <v>282</v>
      </c>
      <c r="P14" s="285"/>
      <c r="Q14" s="28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11407</v>
      </c>
      <c r="C15" s="56" t="s">
        <v>276</v>
      </c>
      <c r="D15" s="195" t="s">
        <v>277</v>
      </c>
      <c r="E15" s="171" t="s">
        <v>91</v>
      </c>
      <c r="F15" s="164">
        <v>1500</v>
      </c>
      <c r="G15" s="113" t="s">
        <v>44</v>
      </c>
      <c r="H15" s="114"/>
      <c r="I15" s="115"/>
      <c r="J15" s="120">
        <v>110</v>
      </c>
      <c r="K15" s="120" t="str">
        <f t="shared" si="2"/>
        <v>0</v>
      </c>
      <c r="L15" s="121"/>
      <c r="M15" s="121"/>
      <c r="N15" s="124" t="s">
        <v>160</v>
      </c>
      <c r="O15" s="286" t="s">
        <v>278</v>
      </c>
      <c r="P15" s="285"/>
      <c r="Q15" s="28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86"/>
      <c r="P16" s="285"/>
      <c r="Q16" s="287"/>
      <c r="R16" s="73">
        <f>H32/U16</f>
        <v>0.30769230769230771</v>
      </c>
      <c r="S16" s="74">
        <f>H32/(U16-U5)</f>
        <v>0.42352941176470588</v>
      </c>
      <c r="T16" s="74">
        <f>C32/U16</f>
        <v>36.146324786324783</v>
      </c>
      <c r="U16" s="74">
        <f>SUM(U5:U15)</f>
        <v>29.25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86"/>
      <c r="P17" s="285"/>
      <c r="Q17" s="28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86"/>
      <c r="P18" s="285"/>
      <c r="Q18" s="28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86"/>
      <c r="P19" s="285"/>
      <c r="Q19" s="285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54"/>
      <c r="P20" s="355"/>
      <c r="Q20" s="35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86"/>
      <c r="P21" s="285"/>
      <c r="Q21" s="28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86"/>
      <c r="P22" s="285"/>
      <c r="Q22" s="28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2"/>
      <c r="Y23" s="353"/>
      <c r="Z23" s="353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6"/>
      <c r="P24" s="285"/>
      <c r="Q24" s="28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6"/>
      <c r="P25" s="285"/>
      <c r="Q25" s="287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56">
        <f>((C32+(R26+S26+T26)*0.5))</f>
        <v>1057.28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6"/>
      <c r="P26" s="285"/>
      <c r="Q26" s="287"/>
      <c r="R26" s="103">
        <f>R25*37.5</f>
        <v>0</v>
      </c>
      <c r="S26" s="93">
        <f>S25*41.5</f>
        <v>0</v>
      </c>
      <c r="T26" s="93">
        <f>T25*50</f>
        <v>0</v>
      </c>
      <c r="U26" s="35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6"/>
      <c r="P27" s="285"/>
      <c r="Q27" s="287"/>
      <c r="R27" s="349" t="s">
        <v>56</v>
      </c>
      <c r="S27" s="350"/>
      <c r="T27" s="350"/>
      <c r="U27" s="351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6"/>
      <c r="P28" s="285"/>
      <c r="Q28" s="287"/>
      <c r="R28" s="342"/>
      <c r="S28" s="343"/>
      <c r="T28" s="344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9"/>
      <c r="P29" s="330"/>
      <c r="Q29" s="331"/>
      <c r="R29" s="332"/>
      <c r="S29" s="333"/>
      <c r="T29" s="334"/>
      <c r="U29" s="140"/>
      <c r="X29" s="14">
        <v>3</v>
      </c>
      <c r="Z29" s="45"/>
      <c r="AE29" s="39"/>
    </row>
    <row r="30" spans="1:44" ht="16.5" customHeight="1" thickBot="1" x14ac:dyDescent="0.35">
      <c r="A30" s="335" t="s">
        <v>48</v>
      </c>
      <c r="B30" s="336"/>
      <c r="C30" s="336"/>
      <c r="D30" s="336"/>
      <c r="E30" s="337"/>
      <c r="F30" s="336"/>
      <c r="G30" s="336"/>
      <c r="H30" s="201">
        <f t="shared" ref="H30:M30" si="3">SUM(H5:H29)</f>
        <v>225</v>
      </c>
      <c r="I30" s="96">
        <f>SUM(I5:I29)</f>
        <v>498.95</v>
      </c>
      <c r="J30" s="96">
        <f>J5+J6+J7+J8+J9+J10+J11+J12+J13+J14+J15+J16+J18+J19+J17+J20+J22+J23+J21+J24+J25+J26+J27+J28+J29</f>
        <v>220</v>
      </c>
      <c r="K30" s="96">
        <f>K5+K6+K7+K8+K9+K10+K11+K12+K13+K14+K15+K16+K18+K19+K17+K20+K22+K23+K21+K24+K25+K26+K27+K28+K29</f>
        <v>113.33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8"/>
      <c r="S30" s="338"/>
      <c r="T30" s="339"/>
      <c r="U30" s="141"/>
      <c r="X30" s="14">
        <v>4</v>
      </c>
      <c r="Z30" s="45"/>
      <c r="AD30" s="46"/>
    </row>
    <row r="31" spans="1:44" x14ac:dyDescent="0.3">
      <c r="A31" s="340" t="s">
        <v>16</v>
      </c>
      <c r="B31" s="341"/>
      <c r="C31" s="341"/>
      <c r="D31" s="341"/>
      <c r="E31" s="341"/>
      <c r="F31" s="341"/>
      <c r="G31" s="341"/>
      <c r="H31" s="202">
        <f t="shared" ref="H31:J31" si="4">H30+H62+H94</f>
        <v>225</v>
      </c>
      <c r="I31" s="94">
        <f t="shared" si="4"/>
        <v>498.95</v>
      </c>
      <c r="J31" s="94">
        <f t="shared" si="4"/>
        <v>220</v>
      </c>
      <c r="K31" s="94">
        <f>K30+K62+K94</f>
        <v>113.33</v>
      </c>
      <c r="L31" s="88">
        <f>L30+L62+L94</f>
        <v>0</v>
      </c>
      <c r="M31" s="88">
        <f>M30+M62+M94</f>
        <v>0</v>
      </c>
      <c r="N31" s="207">
        <f>COUNT(H5:H29,H37:H61,H69:H93)</f>
        <v>3</v>
      </c>
      <c r="O31" s="95">
        <f>COUNT(I5:I29,I37:I61,I69:I93)</f>
        <v>5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2</v>
      </c>
      <c r="R31" s="89" t="s">
        <v>83</v>
      </c>
      <c r="S31" s="102">
        <f>H31+L31-U28-U29-U30</f>
        <v>225</v>
      </c>
      <c r="T31" s="325">
        <f>H31+I31+L31+M31</f>
        <v>723.95</v>
      </c>
      <c r="U31" s="326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45" t="s">
        <v>55</v>
      </c>
      <c r="B32" s="346"/>
      <c r="C32" s="98">
        <f>H31+I31+J31+K31</f>
        <v>1057.28</v>
      </c>
      <c r="D32" s="186"/>
      <c r="E32" s="98"/>
      <c r="F32" s="347" t="s">
        <v>53</v>
      </c>
      <c r="G32" s="347"/>
      <c r="H32" s="100">
        <f>COUNT(B7:B29,B37:B61,B69:B93)</f>
        <v>9</v>
      </c>
      <c r="I32" s="348" t="s">
        <v>54</v>
      </c>
      <c r="J32" s="348"/>
      <c r="K32" s="99">
        <f>C32/H32</f>
        <v>117.47555555555556</v>
      </c>
      <c r="L32" s="208"/>
      <c r="M32" s="208"/>
      <c r="N32" s="208">
        <f>H31/C32</f>
        <v>0.21281023002421309</v>
      </c>
      <c r="O32" s="208">
        <f>I31/C32</f>
        <v>0.47191850786924938</v>
      </c>
      <c r="P32" s="208">
        <f>K31/C32</f>
        <v>0.10719014830508475</v>
      </c>
      <c r="Q32" s="101">
        <f>J31/C32</f>
        <v>0.20808111380145278</v>
      </c>
      <c r="R32" s="90" t="s">
        <v>82</v>
      </c>
      <c r="S32" s="203">
        <f>I31+M31</f>
        <v>498.95</v>
      </c>
      <c r="T32" s="327"/>
      <c r="U32" s="328"/>
      <c r="V32" s="39"/>
      <c r="W32" s="39"/>
      <c r="X32" s="48" t="s">
        <v>27</v>
      </c>
      <c r="Y32" s="48"/>
      <c r="Z32" s="47">
        <f>I31</f>
        <v>498.95</v>
      </c>
    </row>
    <row r="33" spans="1:33" ht="17.25" thickBot="1" x14ac:dyDescent="0.35">
      <c r="A33" s="279" t="s">
        <v>24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320"/>
      <c r="U33" s="321"/>
      <c r="X33" s="49" t="s">
        <v>29</v>
      </c>
      <c r="Y33" s="49"/>
      <c r="Z33" s="50">
        <f>SUM(Z31:Z32)</f>
        <v>-2246.0500000000002</v>
      </c>
      <c r="AG33" s="35"/>
    </row>
    <row r="34" spans="1:33" ht="17.25" thickBot="1" x14ac:dyDescent="0.35">
      <c r="A34" s="319" t="str">
        <f>A2</f>
        <v>30 - 9 - 2022</v>
      </c>
      <c r="B34" s="320"/>
      <c r="C34" s="320"/>
      <c r="D34" s="320"/>
      <c r="E34" s="320"/>
      <c r="F34" s="320"/>
      <c r="G34" s="321"/>
      <c r="H34" s="322" t="s">
        <v>49</v>
      </c>
      <c r="I34" s="323"/>
      <c r="J34" s="319" t="str">
        <f>J2</f>
        <v>SHOWER</v>
      </c>
      <c r="K34" s="321"/>
      <c r="L34" s="323" t="s">
        <v>50</v>
      </c>
      <c r="M34" s="324"/>
      <c r="N34" s="322"/>
      <c r="O34" s="320" t="str">
        <f>O2</f>
        <v>HENDRA</v>
      </c>
      <c r="P34" s="320"/>
      <c r="Q34" s="321"/>
      <c r="R34" s="323" t="s">
        <v>51</v>
      </c>
      <c r="S34" s="322"/>
      <c r="T34" s="311">
        <f>T2</f>
        <v>4</v>
      </c>
      <c r="U34" s="31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2" t="s">
        <v>8</v>
      </c>
      <c r="P36" s="312"/>
      <c r="Q36" s="31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6"/>
      <c r="P37" s="285"/>
      <c r="Q37" s="287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3"/>
      <c r="P38" s="314"/>
      <c r="Q38" s="315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6"/>
      <c r="P39" s="285"/>
      <c r="Q39" s="287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6"/>
      <c r="P40" s="317"/>
      <c r="Q40" s="31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6"/>
      <c r="P41" s="317"/>
      <c r="Q41" s="31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8"/>
      <c r="P42" s="309"/>
      <c r="Q42" s="310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6"/>
      <c r="P43" s="285"/>
      <c r="Q43" s="287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6"/>
      <c r="P44" s="285"/>
      <c r="Q44" s="28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6"/>
      <c r="P45" s="285"/>
      <c r="Q45" s="287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6"/>
      <c r="P46" s="285"/>
      <c r="Q46" s="28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6"/>
      <c r="P47" s="285"/>
      <c r="Q47" s="287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6"/>
      <c r="P48" s="285"/>
      <c r="Q48" s="287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6"/>
      <c r="P49" s="285"/>
      <c r="Q49" s="287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6"/>
      <c r="P50" s="285"/>
      <c r="Q50" s="287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6"/>
      <c r="P51" s="285"/>
      <c r="Q51" s="28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6"/>
      <c r="P52" s="285"/>
      <c r="Q52" s="28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07"/>
      <c r="P53" s="286"/>
      <c r="Q53" s="286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07"/>
      <c r="P54" s="286"/>
      <c r="Q54" s="286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07"/>
      <c r="P55" s="286"/>
      <c r="Q55" s="286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5"/>
      <c r="P56" s="285"/>
      <c r="Q56" s="28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6"/>
      <c r="P57" s="285"/>
      <c r="Q57" s="28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5"/>
      <c r="P58" s="285"/>
      <c r="Q58" s="28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5"/>
      <c r="P59" s="285"/>
      <c r="Q59" s="28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6"/>
      <c r="P60" s="285"/>
      <c r="Q60" s="28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88"/>
      <c r="P61" s="289"/>
      <c r="Q61" s="290"/>
      <c r="R61" s="72"/>
      <c r="S61" s="59"/>
      <c r="T61" s="59"/>
      <c r="U61" s="68"/>
    </row>
    <row r="62" spans="1:21" x14ac:dyDescent="0.3">
      <c r="A62" s="291" t="s">
        <v>48</v>
      </c>
      <c r="B62" s="292"/>
      <c r="C62" s="292"/>
      <c r="D62" s="292"/>
      <c r="E62" s="292"/>
      <c r="F62" s="292"/>
      <c r="G62" s="292"/>
      <c r="H62" s="292">
        <f t="shared" ref="H62:M62" si="8">SUM(H37:H61)</f>
        <v>0</v>
      </c>
      <c r="I62" s="298">
        <f t="shared" si="8"/>
        <v>0</v>
      </c>
      <c r="J62" s="298">
        <f>J61+J60+J59+J58+J57+J56+J55+J54+J53+J52+J51+J50+J49+J48+J47+J46+J45+J44+J43+J42+J41+J40+J39+J38+J37</f>
        <v>0</v>
      </c>
      <c r="K62" s="298">
        <f>K61+K60+K59+K58+K57+K56+K55+K54+K53+K52+K51+K50+K49+K48+K47+K46+K45+K44+K43+K42+K41+K40+K39+K38+K37</f>
        <v>0</v>
      </c>
      <c r="L62" s="301">
        <f t="shared" si="8"/>
        <v>0</v>
      </c>
      <c r="M62" s="304">
        <f t="shared" si="8"/>
        <v>0</v>
      </c>
      <c r="N62" s="273"/>
      <c r="O62" s="274"/>
      <c r="P62" s="274"/>
      <c r="Q62" s="275"/>
      <c r="R62" s="5"/>
      <c r="S62" s="6"/>
      <c r="T62" s="7"/>
      <c r="U62" s="8"/>
    </row>
    <row r="63" spans="1:21" ht="17.25" thickBot="1" x14ac:dyDescent="0.35">
      <c r="A63" s="294"/>
      <c r="B63" s="295"/>
      <c r="C63" s="295"/>
      <c r="D63" s="295"/>
      <c r="E63" s="295"/>
      <c r="F63" s="295"/>
      <c r="G63" s="295"/>
      <c r="H63" s="295"/>
      <c r="I63" s="299"/>
      <c r="J63" s="299"/>
      <c r="K63" s="299"/>
      <c r="L63" s="302"/>
      <c r="M63" s="305"/>
      <c r="N63" s="276"/>
      <c r="O63" s="277"/>
      <c r="P63" s="277"/>
      <c r="Q63" s="278"/>
      <c r="R63" s="1"/>
      <c r="S63" s="2"/>
      <c r="T63" s="3"/>
      <c r="U63" s="4"/>
    </row>
    <row r="64" spans="1:21" ht="17.25" thickBot="1" x14ac:dyDescent="0.35">
      <c r="A64" s="296"/>
      <c r="B64" s="297"/>
      <c r="C64" s="297"/>
      <c r="D64" s="297"/>
      <c r="E64" s="297"/>
      <c r="F64" s="297"/>
      <c r="G64" s="297"/>
      <c r="H64" s="297"/>
      <c r="I64" s="300"/>
      <c r="J64" s="300"/>
      <c r="K64" s="300"/>
      <c r="L64" s="303"/>
      <c r="M64" s="306"/>
      <c r="N64" s="279"/>
      <c r="O64" s="280"/>
      <c r="P64" s="280"/>
      <c r="Q64" s="281"/>
      <c r="R64" s="282" t="s">
        <v>17</v>
      </c>
      <c r="S64" s="283"/>
      <c r="T64" s="283"/>
      <c r="U64" s="284"/>
    </row>
    <row r="65" spans="1:21" ht="17.25" thickBot="1" x14ac:dyDescent="0.35">
      <c r="A65" s="319" t="s">
        <v>24</v>
      </c>
      <c r="B65" s="320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0"/>
      <c r="T65" s="320"/>
      <c r="U65" s="321"/>
    </row>
    <row r="66" spans="1:21" ht="17.25" thickBot="1" x14ac:dyDescent="0.35">
      <c r="A66" s="319" t="str">
        <f>A34</f>
        <v>30 - 9 - 2022</v>
      </c>
      <c r="B66" s="320"/>
      <c r="C66" s="320"/>
      <c r="D66" s="320"/>
      <c r="E66" s="320"/>
      <c r="F66" s="320"/>
      <c r="G66" s="321"/>
      <c r="H66" s="322" t="s">
        <v>49</v>
      </c>
      <c r="I66" s="323"/>
      <c r="J66" s="319" t="str">
        <f>J34</f>
        <v>SHOWER</v>
      </c>
      <c r="K66" s="321"/>
      <c r="L66" s="323" t="s">
        <v>50</v>
      </c>
      <c r="M66" s="324"/>
      <c r="N66" s="322"/>
      <c r="O66" s="320" t="str">
        <f>O34</f>
        <v>HENDRA</v>
      </c>
      <c r="P66" s="320"/>
      <c r="Q66" s="321"/>
      <c r="R66" s="323" t="s">
        <v>51</v>
      </c>
      <c r="S66" s="322"/>
      <c r="T66" s="311">
        <f>T34</f>
        <v>4</v>
      </c>
      <c r="U66" s="31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2" t="s">
        <v>8</v>
      </c>
      <c r="P68" s="312"/>
      <c r="Q68" s="31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6"/>
      <c r="P69" s="285"/>
      <c r="Q69" s="287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3"/>
      <c r="P70" s="314"/>
      <c r="Q70" s="315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6"/>
      <c r="P71" s="285"/>
      <c r="Q71" s="28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6"/>
      <c r="P72" s="317"/>
      <c r="Q72" s="31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6"/>
      <c r="P73" s="317"/>
      <c r="Q73" s="31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8"/>
      <c r="P74" s="309"/>
      <c r="Q74" s="310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6"/>
      <c r="P75" s="285"/>
      <c r="Q75" s="28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6"/>
      <c r="P76" s="285"/>
      <c r="Q76" s="287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6"/>
      <c r="P77" s="285"/>
      <c r="Q77" s="287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6"/>
      <c r="P78" s="285"/>
      <c r="Q78" s="287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6"/>
      <c r="P79" s="285"/>
      <c r="Q79" s="287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6"/>
      <c r="P80" s="285"/>
      <c r="Q80" s="287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6"/>
      <c r="P81" s="285"/>
      <c r="Q81" s="287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6"/>
      <c r="P82" s="285"/>
      <c r="Q82" s="287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6"/>
      <c r="P83" s="285"/>
      <c r="Q83" s="28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6"/>
      <c r="P84" s="285"/>
      <c r="Q84" s="28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07"/>
      <c r="P85" s="286"/>
      <c r="Q85" s="286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07"/>
      <c r="P86" s="286"/>
      <c r="Q86" s="286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07"/>
      <c r="P87" s="286"/>
      <c r="Q87" s="286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5"/>
      <c r="P88" s="285"/>
      <c r="Q88" s="28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6"/>
      <c r="P89" s="285"/>
      <c r="Q89" s="28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5"/>
      <c r="P90" s="285"/>
      <c r="Q90" s="28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5"/>
      <c r="P91" s="285"/>
      <c r="Q91" s="28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6"/>
      <c r="P92" s="285"/>
      <c r="Q92" s="28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88"/>
      <c r="P93" s="289"/>
      <c r="Q93" s="290"/>
      <c r="R93" s="72"/>
      <c r="S93" s="59"/>
      <c r="T93" s="59"/>
      <c r="U93" s="68"/>
    </row>
    <row r="94" spans="1:21" x14ac:dyDescent="0.3">
      <c r="A94" s="291" t="s">
        <v>48</v>
      </c>
      <c r="B94" s="292"/>
      <c r="C94" s="292"/>
      <c r="D94" s="292"/>
      <c r="E94" s="293"/>
      <c r="F94" s="292"/>
      <c r="G94" s="292"/>
      <c r="H94" s="292">
        <f t="shared" ref="H94:M94" si="12">SUM(H69:H93)</f>
        <v>0</v>
      </c>
      <c r="I94" s="298">
        <f t="shared" si="12"/>
        <v>0</v>
      </c>
      <c r="J94" s="298">
        <f>J93+J92+J91+J90+J89+J88+J87+J86+J85+J84+J83+J82+J81+J80+J79+J78+J77+J76+J75+J74+J73+J72+J71+J70+J69</f>
        <v>0</v>
      </c>
      <c r="K94" s="298">
        <f>K93+K92+K91+K90+K89+K88+K87+K86+K85+K84+K83+K82+K81+K80+K79+K78+K77+K76+K75+K74+K73+K72+K71+K70+K69</f>
        <v>0</v>
      </c>
      <c r="L94" s="301">
        <f t="shared" si="12"/>
        <v>0</v>
      </c>
      <c r="M94" s="304">
        <f t="shared" si="12"/>
        <v>0</v>
      </c>
      <c r="N94" s="273"/>
      <c r="O94" s="274"/>
      <c r="P94" s="274"/>
      <c r="Q94" s="275"/>
      <c r="R94" s="5"/>
      <c r="S94" s="6"/>
      <c r="T94" s="7"/>
      <c r="U94" s="8"/>
    </row>
    <row r="95" spans="1:21" ht="17.25" thickBot="1" x14ac:dyDescent="0.35">
      <c r="A95" s="294"/>
      <c r="B95" s="295"/>
      <c r="C95" s="295"/>
      <c r="D95" s="295"/>
      <c r="E95" s="295"/>
      <c r="F95" s="295"/>
      <c r="G95" s="295"/>
      <c r="H95" s="295"/>
      <c r="I95" s="299"/>
      <c r="J95" s="299"/>
      <c r="K95" s="299"/>
      <c r="L95" s="302"/>
      <c r="M95" s="305"/>
      <c r="N95" s="276"/>
      <c r="O95" s="277"/>
      <c r="P95" s="277"/>
      <c r="Q95" s="278"/>
      <c r="R95" s="1"/>
      <c r="S95" s="2"/>
      <c r="T95" s="3"/>
      <c r="U95" s="4"/>
    </row>
    <row r="96" spans="1:21" ht="17.25" thickBot="1" x14ac:dyDescent="0.35">
      <c r="A96" s="296"/>
      <c r="B96" s="297"/>
      <c r="C96" s="297"/>
      <c r="D96" s="297"/>
      <c r="E96" s="297"/>
      <c r="F96" s="297"/>
      <c r="G96" s="297"/>
      <c r="H96" s="297"/>
      <c r="I96" s="300"/>
      <c r="J96" s="300"/>
      <c r="K96" s="300"/>
      <c r="L96" s="303"/>
      <c r="M96" s="306"/>
      <c r="N96" s="279"/>
      <c r="O96" s="280"/>
      <c r="P96" s="280"/>
      <c r="Q96" s="281"/>
      <c r="R96" s="282" t="s">
        <v>52</v>
      </c>
      <c r="S96" s="283"/>
      <c r="T96" s="283"/>
      <c r="U96" s="284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G23" sqref="G23"/>
    </sheetView>
  </sheetViews>
  <sheetFormatPr defaultColWidth="9" defaultRowHeight="16.5" x14ac:dyDescent="0.3"/>
  <cols>
    <col min="1" max="1" width="5.125" style="14" bestFit="1" customWidth="1"/>
    <col min="2" max="2" width="7.625" style="259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19" t="s">
        <v>77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1"/>
    </row>
    <row r="2" spans="1:44" ht="17.25" thickBot="1" x14ac:dyDescent="0.35">
      <c r="A2" s="319" t="s">
        <v>283</v>
      </c>
      <c r="B2" s="320"/>
      <c r="C2" s="320"/>
      <c r="D2" s="320"/>
      <c r="E2" s="320"/>
      <c r="F2" s="320"/>
      <c r="G2" s="321"/>
      <c r="H2" s="322" t="s">
        <v>49</v>
      </c>
      <c r="I2" s="323"/>
      <c r="J2" s="319" t="s">
        <v>199</v>
      </c>
      <c r="K2" s="321"/>
      <c r="L2" s="323" t="s">
        <v>96</v>
      </c>
      <c r="M2" s="324"/>
      <c r="N2" s="322"/>
      <c r="O2" s="320" t="s">
        <v>145</v>
      </c>
      <c r="P2" s="320"/>
      <c r="Q2" s="321"/>
      <c r="R2" s="323" t="s">
        <v>51</v>
      </c>
      <c r="S2" s="322"/>
      <c r="T2" s="311">
        <v>5</v>
      </c>
      <c r="U2" s="31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54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2" t="s">
        <v>8</v>
      </c>
      <c r="P4" s="312"/>
      <c r="Q4" s="31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260">
        <v>11408</v>
      </c>
      <c r="C5" s="59" t="s">
        <v>285</v>
      </c>
      <c r="D5" s="190" t="s">
        <v>286</v>
      </c>
      <c r="E5" s="171" t="s">
        <v>287</v>
      </c>
      <c r="F5" s="160">
        <v>815</v>
      </c>
      <c r="G5" s="109" t="s">
        <v>102</v>
      </c>
      <c r="H5" s="82"/>
      <c r="I5" s="115">
        <v>95.95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2" t="s">
        <v>160</v>
      </c>
      <c r="O5" s="358"/>
      <c r="P5" s="359"/>
      <c r="Q5" s="360"/>
      <c r="R5" s="32" t="s">
        <v>145</v>
      </c>
      <c r="S5" s="30">
        <v>0.35416666666666669</v>
      </c>
      <c r="T5" s="31">
        <v>0.71875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260">
        <v>11409</v>
      </c>
      <c r="C6" s="58" t="s">
        <v>288</v>
      </c>
      <c r="D6" s="190" t="s">
        <v>289</v>
      </c>
      <c r="E6" s="171" t="s">
        <v>91</v>
      </c>
      <c r="F6" s="161">
        <v>820</v>
      </c>
      <c r="G6" s="109" t="s">
        <v>102</v>
      </c>
      <c r="H6" s="82">
        <v>100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2" t="s">
        <v>160</v>
      </c>
      <c r="O6" s="313"/>
      <c r="P6" s="314"/>
      <c r="Q6" s="315"/>
      <c r="R6" s="122" t="s">
        <v>160</v>
      </c>
      <c r="S6" s="30">
        <v>0.33333333333333331</v>
      </c>
      <c r="T6" s="31">
        <v>0.71875</v>
      </c>
      <c r="U6" s="83">
        <f t="shared" si="0"/>
        <v>9.25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260">
        <v>11410</v>
      </c>
      <c r="C7" s="58" t="s">
        <v>290</v>
      </c>
      <c r="D7" s="190" t="s">
        <v>291</v>
      </c>
      <c r="E7" s="171" t="s">
        <v>92</v>
      </c>
      <c r="F7" s="161">
        <v>900</v>
      </c>
      <c r="G7" s="109" t="s">
        <v>183</v>
      </c>
      <c r="H7" s="82">
        <v>50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145</v>
      </c>
      <c r="O7" s="286"/>
      <c r="P7" s="285"/>
      <c r="Q7" s="287"/>
      <c r="R7" s="124" t="s">
        <v>161</v>
      </c>
      <c r="S7" s="30">
        <v>0.375</v>
      </c>
      <c r="T7" s="31">
        <v>0.54166666666666663</v>
      </c>
      <c r="U7" s="83">
        <f t="shared" si="0"/>
        <v>3.9999999999999991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260">
        <v>11411</v>
      </c>
      <c r="C8" s="26" t="s">
        <v>292</v>
      </c>
      <c r="D8" s="190" t="s">
        <v>293</v>
      </c>
      <c r="E8" s="171" t="s">
        <v>92</v>
      </c>
      <c r="F8" s="161">
        <v>925</v>
      </c>
      <c r="G8" s="109" t="s">
        <v>102</v>
      </c>
      <c r="H8" s="82">
        <v>75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145</v>
      </c>
      <c r="O8" s="316"/>
      <c r="P8" s="317"/>
      <c r="Q8" s="318"/>
      <c r="R8" s="25"/>
      <c r="S8" s="30">
        <v>0.625</v>
      </c>
      <c r="T8" s="31">
        <v>0.71875</v>
      </c>
      <c r="U8" s="83">
        <f t="shared" si="0"/>
        <v>2.25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260">
        <v>11412</v>
      </c>
      <c r="C9" s="54" t="s">
        <v>294</v>
      </c>
      <c r="D9" s="191" t="s">
        <v>295</v>
      </c>
      <c r="E9" s="171" t="s">
        <v>92</v>
      </c>
      <c r="F9" s="162">
        <v>1000</v>
      </c>
      <c r="G9" s="110" t="s">
        <v>102</v>
      </c>
      <c r="H9" s="82"/>
      <c r="I9" s="82">
        <v>75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145</v>
      </c>
      <c r="O9" s="316"/>
      <c r="P9" s="317"/>
      <c r="Q9" s="318"/>
      <c r="R9" s="25" t="s">
        <v>147</v>
      </c>
      <c r="S9" s="30">
        <v>0.41666666666666669</v>
      </c>
      <c r="T9" s="31">
        <v>0.53125</v>
      </c>
      <c r="U9" s="83">
        <f t="shared" si="0"/>
        <v>2.7499999999999996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260">
        <v>11413</v>
      </c>
      <c r="C10" s="27" t="s">
        <v>296</v>
      </c>
      <c r="D10" s="192" t="s">
        <v>297</v>
      </c>
      <c r="E10" s="171" t="s">
        <v>92</v>
      </c>
      <c r="F10" s="163">
        <v>1010</v>
      </c>
      <c r="G10" s="111" t="s">
        <v>113</v>
      </c>
      <c r="H10" s="114"/>
      <c r="I10" s="116">
        <v>150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145</v>
      </c>
      <c r="O10" s="308"/>
      <c r="P10" s="309"/>
      <c r="Q10" s="310"/>
      <c r="R10" s="25"/>
      <c r="S10" s="30">
        <v>0.57291666666666663</v>
      </c>
      <c r="T10" s="31">
        <v>0.71875</v>
      </c>
      <c r="U10" s="83">
        <f t="shared" si="0"/>
        <v>3.5000000000000009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260">
        <v>11414</v>
      </c>
      <c r="C11" s="17" t="s">
        <v>298</v>
      </c>
      <c r="D11" s="193" t="s">
        <v>299</v>
      </c>
      <c r="E11" s="171" t="s">
        <v>92</v>
      </c>
      <c r="F11" s="57">
        <v>1015</v>
      </c>
      <c r="G11" s="112" t="s">
        <v>300</v>
      </c>
      <c r="H11" s="114"/>
      <c r="I11" s="115">
        <v>195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145</v>
      </c>
      <c r="O11" s="286"/>
      <c r="P11" s="285"/>
      <c r="Q11" s="287"/>
      <c r="R11" s="25" t="s">
        <v>284</v>
      </c>
      <c r="S11" s="30">
        <v>0.45833333333333331</v>
      </c>
      <c r="T11" s="31">
        <v>0.71875</v>
      </c>
      <c r="U11" s="83">
        <f t="shared" si="0"/>
        <v>6.25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260">
        <v>11415</v>
      </c>
      <c r="C12" s="55" t="s">
        <v>301</v>
      </c>
      <c r="D12" s="194" t="s">
        <v>302</v>
      </c>
      <c r="E12" s="171" t="s">
        <v>91</v>
      </c>
      <c r="F12" s="163">
        <v>1030</v>
      </c>
      <c r="G12" s="110" t="s">
        <v>150</v>
      </c>
      <c r="H12" s="114">
        <v>480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145</v>
      </c>
      <c r="O12" s="286"/>
      <c r="P12" s="285"/>
      <c r="Q12" s="28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261">
        <v>11416</v>
      </c>
      <c r="C13" s="262" t="s">
        <v>303</v>
      </c>
      <c r="D13" s="263" t="s">
        <v>304</v>
      </c>
      <c r="E13" s="264" t="s">
        <v>91</v>
      </c>
      <c r="F13" s="265">
        <v>1045</v>
      </c>
      <c r="G13" s="266" t="s">
        <v>139</v>
      </c>
      <c r="H13" s="267"/>
      <c r="I13" s="268"/>
      <c r="J13" s="269" t="str">
        <f t="shared" si="1"/>
        <v>0</v>
      </c>
      <c r="K13" s="269">
        <v>79.099999999999994</v>
      </c>
      <c r="L13" s="270"/>
      <c r="M13" s="270">
        <v>479.75</v>
      </c>
      <c r="N13" s="271" t="s">
        <v>145</v>
      </c>
      <c r="O13" s="361" t="s">
        <v>305</v>
      </c>
      <c r="P13" s="362"/>
      <c r="Q13" s="363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260">
        <v>11417</v>
      </c>
      <c r="C14" s="56" t="s">
        <v>306</v>
      </c>
      <c r="D14" s="195" t="s">
        <v>307</v>
      </c>
      <c r="E14" s="171" t="s">
        <v>92</v>
      </c>
      <c r="F14" s="164">
        <v>1100</v>
      </c>
      <c r="G14" s="113" t="s">
        <v>102</v>
      </c>
      <c r="H14" s="114">
        <v>75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145</v>
      </c>
      <c r="O14" s="286"/>
      <c r="P14" s="285"/>
      <c r="Q14" s="28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260">
        <v>11418</v>
      </c>
      <c r="C15" s="56" t="s">
        <v>308</v>
      </c>
      <c r="D15" s="195" t="s">
        <v>309</v>
      </c>
      <c r="E15" s="171" t="s">
        <v>91</v>
      </c>
      <c r="F15" s="164">
        <v>1220</v>
      </c>
      <c r="G15" s="113" t="s">
        <v>113</v>
      </c>
      <c r="H15" s="114">
        <v>120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145</v>
      </c>
      <c r="O15" s="286"/>
      <c r="P15" s="285"/>
      <c r="Q15" s="28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260">
        <v>11419</v>
      </c>
      <c r="C16" s="56" t="s">
        <v>312</v>
      </c>
      <c r="D16" s="195" t="s">
        <v>313</v>
      </c>
      <c r="E16" s="171" t="s">
        <v>92</v>
      </c>
      <c r="F16" s="164">
        <v>1320</v>
      </c>
      <c r="G16" s="113" t="s">
        <v>126</v>
      </c>
      <c r="H16" s="114">
        <v>75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145</v>
      </c>
      <c r="O16" s="286"/>
      <c r="P16" s="285"/>
      <c r="Q16" s="287"/>
      <c r="R16" s="73">
        <f>H32/U16</f>
        <v>0.46258503401360546</v>
      </c>
      <c r="S16" s="74">
        <f>H32/(U16-U5)</f>
        <v>0.6071428571428571</v>
      </c>
      <c r="T16" s="74">
        <f>C32/U16</f>
        <v>70.639455782312922</v>
      </c>
      <c r="U16" s="74">
        <f>SUM(U5:U15)</f>
        <v>36.75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260">
        <v>11420</v>
      </c>
      <c r="C17" s="17" t="s">
        <v>310</v>
      </c>
      <c r="D17" s="193" t="s">
        <v>311</v>
      </c>
      <c r="E17" s="171" t="s">
        <v>91</v>
      </c>
      <c r="F17" s="57">
        <v>1330</v>
      </c>
      <c r="G17" s="112" t="s">
        <v>102</v>
      </c>
      <c r="H17" s="114"/>
      <c r="I17" s="115">
        <v>95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145</v>
      </c>
      <c r="O17" s="286"/>
      <c r="P17" s="285"/>
      <c r="Q17" s="28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260">
        <v>11421</v>
      </c>
      <c r="C18" s="17" t="s">
        <v>314</v>
      </c>
      <c r="D18" s="193" t="s">
        <v>315</v>
      </c>
      <c r="E18" s="171" t="s">
        <v>92</v>
      </c>
      <c r="F18" s="57">
        <v>1335</v>
      </c>
      <c r="G18" s="19" t="s">
        <v>44</v>
      </c>
      <c r="H18" s="114">
        <v>20</v>
      </c>
      <c r="I18" s="115"/>
      <c r="J18" s="120" t="str">
        <f t="shared" si="1"/>
        <v>55</v>
      </c>
      <c r="K18" s="120" t="str">
        <f t="shared" si="2"/>
        <v>0</v>
      </c>
      <c r="L18" s="121"/>
      <c r="M18" s="121"/>
      <c r="N18" s="124" t="s">
        <v>145</v>
      </c>
      <c r="O18" s="286">
        <v>202208026</v>
      </c>
      <c r="P18" s="285"/>
      <c r="Q18" s="28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260">
        <v>11422</v>
      </c>
      <c r="C19" s="17" t="s">
        <v>316</v>
      </c>
      <c r="D19" s="193" t="s">
        <v>317</v>
      </c>
      <c r="E19" s="171" t="s">
        <v>91</v>
      </c>
      <c r="F19" s="57">
        <v>1440</v>
      </c>
      <c r="G19" s="112" t="s">
        <v>102</v>
      </c>
      <c r="H19" s="114"/>
      <c r="I19" s="115">
        <v>95.95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145</v>
      </c>
      <c r="O19" s="286"/>
      <c r="P19" s="285"/>
      <c r="Q19" s="285"/>
      <c r="R19" s="84" t="s">
        <v>45</v>
      </c>
      <c r="S19" s="85">
        <f>COUNT(L5:M29,L37:M61,L69:M93)</f>
        <v>2</v>
      </c>
      <c r="T19" s="107">
        <f>SUM(L5:M29,L37:M61,L69:M93)</f>
        <v>854.75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260">
        <v>11423</v>
      </c>
      <c r="C20" s="17" t="s">
        <v>318</v>
      </c>
      <c r="D20" s="193" t="s">
        <v>319</v>
      </c>
      <c r="E20" s="171" t="s">
        <v>92</v>
      </c>
      <c r="F20" s="57">
        <v>1455</v>
      </c>
      <c r="G20" s="112" t="s">
        <v>113</v>
      </c>
      <c r="H20" s="114">
        <v>150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145</v>
      </c>
      <c r="O20" s="354"/>
      <c r="P20" s="355"/>
      <c r="Q20" s="35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260">
        <v>11424</v>
      </c>
      <c r="C21" s="17" t="s">
        <v>320</v>
      </c>
      <c r="D21" s="193" t="s">
        <v>321</v>
      </c>
      <c r="E21" s="171" t="s">
        <v>92</v>
      </c>
      <c r="F21" s="57">
        <v>1500</v>
      </c>
      <c r="G21" s="19" t="s">
        <v>102</v>
      </c>
      <c r="H21" s="114">
        <v>95</v>
      </c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145</v>
      </c>
      <c r="O21" s="286"/>
      <c r="P21" s="285"/>
      <c r="Q21" s="28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261">
        <v>11425</v>
      </c>
      <c r="C22" s="262" t="s">
        <v>324</v>
      </c>
      <c r="D22" s="263" t="s">
        <v>325</v>
      </c>
      <c r="E22" s="264" t="s">
        <v>91</v>
      </c>
      <c r="F22" s="265">
        <v>1520</v>
      </c>
      <c r="G22" s="266" t="s">
        <v>328</v>
      </c>
      <c r="H22" s="272"/>
      <c r="I22" s="272">
        <v>420</v>
      </c>
      <c r="J22" s="269" t="str">
        <f t="shared" si="1"/>
        <v>0</v>
      </c>
      <c r="K22" s="269" t="str">
        <f t="shared" si="2"/>
        <v>0</v>
      </c>
      <c r="L22" s="269"/>
      <c r="M22" s="269">
        <v>375</v>
      </c>
      <c r="N22" s="271" t="s">
        <v>145</v>
      </c>
      <c r="O22" s="361" t="s">
        <v>326</v>
      </c>
      <c r="P22" s="362"/>
      <c r="Q22" s="363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260">
        <v>11426</v>
      </c>
      <c r="C23" s="126" t="s">
        <v>322</v>
      </c>
      <c r="D23" s="197" t="s">
        <v>323</v>
      </c>
      <c r="E23" s="171" t="s">
        <v>91</v>
      </c>
      <c r="F23" s="166">
        <v>1555</v>
      </c>
      <c r="G23" s="155" t="s">
        <v>102</v>
      </c>
      <c r="H23" s="80">
        <v>95</v>
      </c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145</v>
      </c>
      <c r="O23" s="153"/>
      <c r="P23" s="154"/>
      <c r="Q23" s="149"/>
      <c r="R23" s="104"/>
      <c r="S23" s="105"/>
      <c r="T23" s="105"/>
      <c r="U23" s="106"/>
      <c r="X23" s="352"/>
      <c r="Y23" s="353"/>
      <c r="Z23" s="353"/>
    </row>
    <row r="24" spans="1:44" ht="16.5" customHeight="1" thickBot="1" x14ac:dyDescent="0.35">
      <c r="A24" s="125">
        <v>20</v>
      </c>
      <c r="B24" s="260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6"/>
      <c r="P24" s="285"/>
      <c r="Q24" s="28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260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6"/>
      <c r="P25" s="285"/>
      <c r="Q25" s="287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56">
        <f>((C32+(R26+S26+T26)*0.5))</f>
        <v>2596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260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6"/>
      <c r="P26" s="285"/>
      <c r="Q26" s="287"/>
      <c r="R26" s="103">
        <f>R25*37.5</f>
        <v>0</v>
      </c>
      <c r="S26" s="93">
        <f>S25*41.5</f>
        <v>0</v>
      </c>
      <c r="T26" s="93">
        <f>T25*50</f>
        <v>0</v>
      </c>
      <c r="U26" s="35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260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6"/>
      <c r="P27" s="285"/>
      <c r="Q27" s="287"/>
      <c r="R27" s="349" t="s">
        <v>56</v>
      </c>
      <c r="S27" s="350"/>
      <c r="T27" s="350"/>
      <c r="U27" s="351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255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6"/>
      <c r="P28" s="285"/>
      <c r="Q28" s="287"/>
      <c r="R28" s="342"/>
      <c r="S28" s="343"/>
      <c r="T28" s="344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256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9"/>
      <c r="P29" s="330"/>
      <c r="Q29" s="331"/>
      <c r="R29" s="332"/>
      <c r="S29" s="333"/>
      <c r="T29" s="334"/>
      <c r="U29" s="140"/>
      <c r="X29" s="14">
        <v>3</v>
      </c>
      <c r="Z29" s="45"/>
      <c r="AE29" s="39"/>
    </row>
    <row r="30" spans="1:44" ht="16.5" customHeight="1" thickBot="1" x14ac:dyDescent="0.35">
      <c r="A30" s="335" t="s">
        <v>48</v>
      </c>
      <c r="B30" s="336"/>
      <c r="C30" s="336"/>
      <c r="D30" s="336"/>
      <c r="E30" s="337"/>
      <c r="F30" s="336"/>
      <c r="G30" s="336"/>
      <c r="H30" s="201">
        <f t="shared" ref="H30:M30" si="3">SUM(H5:H29)</f>
        <v>1335</v>
      </c>
      <c r="I30" s="96">
        <f>SUM(I5:I29)</f>
        <v>1126.9000000000001</v>
      </c>
      <c r="J30" s="96">
        <f>J5+J6+J7+J8+J9+J10+J11+J12+J13+J14+J15+J16+J18+J19+J17+J20+J22+J23+J21+J24+J25+J26+J27+J28+J29</f>
        <v>55</v>
      </c>
      <c r="K30" s="96">
        <f>K5+K6+K7+K8+K9+K10+K11+K12+K13+K14+K15+K16+K18+K19+K17+K20+K22+K23+K21+K24+K25+K26+K27+K28+K29</f>
        <v>79.099999999999994</v>
      </c>
      <c r="L30" s="97">
        <f t="shared" si="3"/>
        <v>0</v>
      </c>
      <c r="M30" s="97">
        <f t="shared" si="3"/>
        <v>854.75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8"/>
      <c r="S30" s="338"/>
      <c r="T30" s="339"/>
      <c r="U30" s="141"/>
      <c r="X30" s="14">
        <v>4</v>
      </c>
      <c r="Z30" s="45"/>
      <c r="AD30" s="46"/>
    </row>
    <row r="31" spans="1:44" x14ac:dyDescent="0.3">
      <c r="A31" s="340" t="s">
        <v>16</v>
      </c>
      <c r="B31" s="341"/>
      <c r="C31" s="341"/>
      <c r="D31" s="341"/>
      <c r="E31" s="341"/>
      <c r="F31" s="341"/>
      <c r="G31" s="341"/>
      <c r="H31" s="202">
        <f t="shared" ref="H31:J31" si="4">H30+H62+H94</f>
        <v>1335</v>
      </c>
      <c r="I31" s="94">
        <f t="shared" si="4"/>
        <v>1126.9000000000001</v>
      </c>
      <c r="J31" s="94">
        <f t="shared" si="4"/>
        <v>55</v>
      </c>
      <c r="K31" s="94">
        <f>K30+K62+K94</f>
        <v>79.099999999999994</v>
      </c>
      <c r="L31" s="88">
        <f>L30+L62+L94</f>
        <v>0</v>
      </c>
      <c r="M31" s="88">
        <f>M30+M62+M94</f>
        <v>854.75</v>
      </c>
      <c r="N31" s="207">
        <f>COUNT(H5:H29,H37:H61,H69:H93)</f>
        <v>11</v>
      </c>
      <c r="O31" s="95">
        <f>COUNT(I5:I29,I37:I61,I69:I93)</f>
        <v>7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1</v>
      </c>
      <c r="R31" s="89" t="s">
        <v>83</v>
      </c>
      <c r="S31" s="102">
        <f>H31+L31-U28-U29-U30</f>
        <v>1335</v>
      </c>
      <c r="T31" s="325">
        <f>H31+I31+L31+M31</f>
        <v>3316.65</v>
      </c>
      <c r="U31" s="326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45" t="s">
        <v>55</v>
      </c>
      <c r="B32" s="346"/>
      <c r="C32" s="98">
        <f>H31+I31+J31+K31</f>
        <v>2596</v>
      </c>
      <c r="D32" s="186"/>
      <c r="E32" s="98"/>
      <c r="F32" s="347" t="s">
        <v>53</v>
      </c>
      <c r="G32" s="347"/>
      <c r="H32" s="100">
        <f>COUNT(B7:B29,B37:B61,B69:B93)</f>
        <v>17</v>
      </c>
      <c r="I32" s="348" t="s">
        <v>54</v>
      </c>
      <c r="J32" s="348"/>
      <c r="K32" s="99">
        <f>C32/H32</f>
        <v>152.70588235294119</v>
      </c>
      <c r="L32" s="208"/>
      <c r="M32" s="208"/>
      <c r="N32" s="208">
        <f>H31/C32</f>
        <v>0.51425269645608629</v>
      </c>
      <c r="O32" s="208">
        <f>I31/C32</f>
        <v>0.43409090909090914</v>
      </c>
      <c r="P32" s="208">
        <f>K31/C32</f>
        <v>3.0469953775038517E-2</v>
      </c>
      <c r="Q32" s="101">
        <f>J31/C32</f>
        <v>2.1186440677966101E-2</v>
      </c>
      <c r="R32" s="90" t="s">
        <v>82</v>
      </c>
      <c r="S32" s="203">
        <f>I31+M31</f>
        <v>1981.65</v>
      </c>
      <c r="T32" s="327"/>
      <c r="U32" s="328"/>
      <c r="V32" s="39"/>
      <c r="W32" s="39"/>
      <c r="X32" s="48" t="s">
        <v>27</v>
      </c>
      <c r="Y32" s="48"/>
      <c r="Z32" s="47">
        <f>I31</f>
        <v>1126.9000000000001</v>
      </c>
    </row>
    <row r="33" spans="1:33" ht="17.25" thickBot="1" x14ac:dyDescent="0.35">
      <c r="A33" s="279" t="s">
        <v>24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320"/>
      <c r="U33" s="321"/>
      <c r="X33" s="49" t="s">
        <v>29</v>
      </c>
      <c r="Y33" s="49"/>
      <c r="Z33" s="50">
        <f>SUM(Z31:Z32)</f>
        <v>-1618.1</v>
      </c>
      <c r="AG33" s="35"/>
    </row>
    <row r="34" spans="1:33" ht="17.25" thickBot="1" x14ac:dyDescent="0.35">
      <c r="A34" s="319" t="str">
        <f>A2</f>
        <v>1 - 10 - 2022</v>
      </c>
      <c r="B34" s="320"/>
      <c r="C34" s="320"/>
      <c r="D34" s="320"/>
      <c r="E34" s="320"/>
      <c r="F34" s="320"/>
      <c r="G34" s="321"/>
      <c r="H34" s="322" t="s">
        <v>49</v>
      </c>
      <c r="I34" s="323"/>
      <c r="J34" s="319" t="str">
        <f>J2</f>
        <v>SUNNY</v>
      </c>
      <c r="K34" s="321"/>
      <c r="L34" s="323" t="s">
        <v>50</v>
      </c>
      <c r="M34" s="324"/>
      <c r="N34" s="322"/>
      <c r="O34" s="320" t="str">
        <f>O2</f>
        <v>JOHN</v>
      </c>
      <c r="P34" s="320"/>
      <c r="Q34" s="321"/>
      <c r="R34" s="323" t="s">
        <v>51</v>
      </c>
      <c r="S34" s="322"/>
      <c r="T34" s="311">
        <f>T2</f>
        <v>5</v>
      </c>
      <c r="U34" s="31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54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2" t="s">
        <v>8</v>
      </c>
      <c r="P36" s="312"/>
      <c r="Q36" s="31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257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6"/>
      <c r="P37" s="285"/>
      <c r="Q37" s="287"/>
      <c r="R37" s="51"/>
      <c r="S37" s="52"/>
      <c r="T37" s="52"/>
      <c r="U37" s="61"/>
    </row>
    <row r="38" spans="1:33" x14ac:dyDescent="0.3">
      <c r="A38" s="118">
        <f>A37+1</f>
        <v>27</v>
      </c>
      <c r="B38" s="258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3"/>
      <c r="P38" s="314"/>
      <c r="Q38" s="315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257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6"/>
      <c r="P39" s="285"/>
      <c r="Q39" s="287"/>
      <c r="R39" s="70"/>
      <c r="S39" s="13"/>
      <c r="T39" s="12"/>
      <c r="U39" s="63"/>
    </row>
    <row r="40" spans="1:33" x14ac:dyDescent="0.3">
      <c r="A40" s="118">
        <f t="shared" si="7"/>
        <v>29</v>
      </c>
      <c r="B40" s="258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6"/>
      <c r="P40" s="317"/>
      <c r="Q40" s="318"/>
      <c r="R40" s="69"/>
      <c r="S40" s="62"/>
      <c r="T40" s="62"/>
      <c r="U40" s="63"/>
    </row>
    <row r="41" spans="1:33" x14ac:dyDescent="0.3">
      <c r="A41" s="118">
        <f t="shared" si="7"/>
        <v>30</v>
      </c>
      <c r="B41" s="257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6"/>
      <c r="P41" s="317"/>
      <c r="Q41" s="318"/>
      <c r="R41" s="71"/>
      <c r="S41" s="64"/>
      <c r="T41" s="64"/>
      <c r="U41" s="65"/>
    </row>
    <row r="42" spans="1:33" x14ac:dyDescent="0.3">
      <c r="A42" s="118">
        <f t="shared" si="7"/>
        <v>31</v>
      </c>
      <c r="B42" s="258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8"/>
      <c r="P42" s="309"/>
      <c r="Q42" s="310"/>
      <c r="R42" s="71"/>
      <c r="S42" s="64"/>
      <c r="T42" s="64"/>
      <c r="U42" s="65"/>
    </row>
    <row r="43" spans="1:33" x14ac:dyDescent="0.3">
      <c r="A43" s="118">
        <f t="shared" si="7"/>
        <v>32</v>
      </c>
      <c r="B43" s="257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6"/>
      <c r="P43" s="285"/>
      <c r="Q43" s="287"/>
      <c r="R43" s="69"/>
      <c r="S43" s="62"/>
      <c r="T43" s="62"/>
      <c r="U43" s="63"/>
    </row>
    <row r="44" spans="1:33" x14ac:dyDescent="0.3">
      <c r="A44" s="118">
        <f t="shared" si="7"/>
        <v>33</v>
      </c>
      <c r="B44" s="258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6"/>
      <c r="P44" s="285"/>
      <c r="Q44" s="287"/>
      <c r="R44" s="5"/>
      <c r="S44" s="62"/>
      <c r="T44" s="62"/>
      <c r="U44" s="63"/>
    </row>
    <row r="45" spans="1:33" x14ac:dyDescent="0.3">
      <c r="A45" s="118">
        <f t="shared" si="7"/>
        <v>34</v>
      </c>
      <c r="B45" s="257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6"/>
      <c r="P45" s="285"/>
      <c r="Q45" s="287"/>
      <c r="R45" s="5"/>
      <c r="S45" s="62"/>
      <c r="T45" s="62"/>
      <c r="U45" s="63"/>
    </row>
    <row r="46" spans="1:33" x14ac:dyDescent="0.3">
      <c r="A46" s="118">
        <f t="shared" si="7"/>
        <v>35</v>
      </c>
      <c r="B46" s="258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6"/>
      <c r="P46" s="285"/>
      <c r="Q46" s="287"/>
      <c r="R46" s="5"/>
      <c r="S46" s="62"/>
      <c r="T46" s="62"/>
      <c r="U46" s="63"/>
    </row>
    <row r="47" spans="1:33" x14ac:dyDescent="0.3">
      <c r="A47" s="118">
        <f t="shared" si="7"/>
        <v>36</v>
      </c>
      <c r="B47" s="257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6"/>
      <c r="P47" s="285"/>
      <c r="Q47" s="287"/>
      <c r="R47" s="5"/>
      <c r="S47" s="62"/>
      <c r="T47" s="62"/>
      <c r="U47" s="63"/>
    </row>
    <row r="48" spans="1:33" x14ac:dyDescent="0.3">
      <c r="A48" s="118">
        <f t="shared" si="7"/>
        <v>37</v>
      </c>
      <c r="B48" s="258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6"/>
      <c r="P48" s="285"/>
      <c r="Q48" s="287"/>
      <c r="R48" s="5"/>
      <c r="S48" s="62"/>
      <c r="T48" s="62"/>
      <c r="U48" s="63"/>
    </row>
    <row r="49" spans="1:21" x14ac:dyDescent="0.3">
      <c r="A49" s="118">
        <f t="shared" si="7"/>
        <v>38</v>
      </c>
      <c r="B49" s="258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6"/>
      <c r="P49" s="285"/>
      <c r="Q49" s="287"/>
      <c r="R49" s="5"/>
      <c r="S49" s="62"/>
      <c r="T49" s="66"/>
      <c r="U49" s="63"/>
    </row>
    <row r="50" spans="1:21" x14ac:dyDescent="0.3">
      <c r="A50" s="118">
        <f t="shared" si="7"/>
        <v>39</v>
      </c>
      <c r="B50" s="258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6"/>
      <c r="P50" s="285"/>
      <c r="Q50" s="287"/>
      <c r="R50" s="5"/>
      <c r="S50" s="62"/>
      <c r="T50" s="66"/>
      <c r="U50" s="63"/>
    </row>
    <row r="51" spans="1:21" x14ac:dyDescent="0.3">
      <c r="A51" s="118">
        <f t="shared" si="7"/>
        <v>40</v>
      </c>
      <c r="B51" s="258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6"/>
      <c r="P51" s="285"/>
      <c r="Q51" s="285"/>
      <c r="R51" s="5"/>
      <c r="S51" s="62"/>
      <c r="T51" s="66"/>
      <c r="U51" s="63"/>
    </row>
    <row r="52" spans="1:21" x14ac:dyDescent="0.3">
      <c r="A52" s="118">
        <f t="shared" si="7"/>
        <v>41</v>
      </c>
      <c r="B52" s="258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6"/>
      <c r="P52" s="285"/>
      <c r="Q52" s="285"/>
      <c r="R52" s="72"/>
      <c r="S52" s="59"/>
      <c r="T52" s="67"/>
      <c r="U52" s="68"/>
    </row>
    <row r="53" spans="1:21" x14ac:dyDescent="0.3">
      <c r="A53" s="118">
        <f t="shared" si="7"/>
        <v>42</v>
      </c>
      <c r="B53" s="258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07"/>
      <c r="P53" s="286"/>
      <c r="Q53" s="286"/>
      <c r="R53" s="72"/>
      <c r="S53" s="59"/>
      <c r="T53" s="67"/>
      <c r="U53" s="68"/>
    </row>
    <row r="54" spans="1:21" x14ac:dyDescent="0.3">
      <c r="A54" s="118">
        <f t="shared" si="7"/>
        <v>43</v>
      </c>
      <c r="B54" s="258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07"/>
      <c r="P54" s="286"/>
      <c r="Q54" s="286"/>
      <c r="R54" s="72"/>
      <c r="S54" s="59"/>
      <c r="T54" s="67"/>
      <c r="U54" s="68"/>
    </row>
    <row r="55" spans="1:21" x14ac:dyDescent="0.3">
      <c r="A55" s="118">
        <f t="shared" si="7"/>
        <v>44</v>
      </c>
      <c r="B55" s="258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07"/>
      <c r="P55" s="286"/>
      <c r="Q55" s="286"/>
      <c r="R55" s="72"/>
      <c r="S55" s="59"/>
      <c r="T55" s="67"/>
      <c r="U55" s="68"/>
    </row>
    <row r="56" spans="1:21" x14ac:dyDescent="0.3">
      <c r="A56" s="118">
        <f t="shared" si="7"/>
        <v>45</v>
      </c>
      <c r="B56" s="258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5"/>
      <c r="P56" s="285"/>
      <c r="Q56" s="285"/>
      <c r="R56" s="72"/>
      <c r="S56" s="59"/>
      <c r="T56" s="67"/>
      <c r="U56" s="68"/>
    </row>
    <row r="57" spans="1:21" x14ac:dyDescent="0.3">
      <c r="A57" s="118">
        <f t="shared" si="7"/>
        <v>46</v>
      </c>
      <c r="B57" s="258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6"/>
      <c r="P57" s="285"/>
      <c r="Q57" s="285"/>
      <c r="R57" s="72"/>
      <c r="S57" s="59"/>
      <c r="T57" s="59"/>
      <c r="U57" s="68"/>
    </row>
    <row r="58" spans="1:21" x14ac:dyDescent="0.3">
      <c r="A58" s="118">
        <f t="shared" si="7"/>
        <v>47</v>
      </c>
      <c r="B58" s="258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5"/>
      <c r="P58" s="285"/>
      <c r="Q58" s="285"/>
      <c r="R58" s="72"/>
      <c r="S58" s="59"/>
      <c r="T58" s="59"/>
      <c r="U58" s="68"/>
    </row>
    <row r="59" spans="1:21" x14ac:dyDescent="0.3">
      <c r="A59" s="118">
        <f t="shared" si="7"/>
        <v>48</v>
      </c>
      <c r="B59" s="258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5"/>
      <c r="P59" s="285"/>
      <c r="Q59" s="285"/>
      <c r="R59" s="72"/>
      <c r="S59" s="59"/>
      <c r="T59" s="59"/>
      <c r="U59" s="68"/>
    </row>
    <row r="60" spans="1:21" x14ac:dyDescent="0.3">
      <c r="A60" s="118">
        <f t="shared" si="7"/>
        <v>49</v>
      </c>
      <c r="B60" s="258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6"/>
      <c r="P60" s="285"/>
      <c r="Q60" s="28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58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88"/>
      <c r="P61" s="289"/>
      <c r="Q61" s="290"/>
      <c r="R61" s="72"/>
      <c r="S61" s="59"/>
      <c r="T61" s="59"/>
      <c r="U61" s="68"/>
    </row>
    <row r="62" spans="1:21" x14ac:dyDescent="0.3">
      <c r="A62" s="291" t="s">
        <v>48</v>
      </c>
      <c r="B62" s="292"/>
      <c r="C62" s="292"/>
      <c r="D62" s="292"/>
      <c r="E62" s="292"/>
      <c r="F62" s="292"/>
      <c r="G62" s="292"/>
      <c r="H62" s="292">
        <f t="shared" ref="H62:M62" si="8">SUM(H37:H61)</f>
        <v>0</v>
      </c>
      <c r="I62" s="298">
        <f t="shared" si="8"/>
        <v>0</v>
      </c>
      <c r="J62" s="298">
        <f>J61+J60+J59+J58+J57+J56+J55+J54+J53+J52+J51+J50+J49+J48+J47+J46+J45+J44+J43+J42+J41+J40+J39+J38+J37</f>
        <v>0</v>
      </c>
      <c r="K62" s="298">
        <f>K61+K60+K59+K58+K57+K56+K55+K54+K53+K52+K51+K50+K49+K48+K47+K46+K45+K44+K43+K42+K41+K40+K39+K38+K37</f>
        <v>0</v>
      </c>
      <c r="L62" s="301">
        <f t="shared" si="8"/>
        <v>0</v>
      </c>
      <c r="M62" s="304">
        <f t="shared" si="8"/>
        <v>0</v>
      </c>
      <c r="N62" s="273"/>
      <c r="O62" s="274"/>
      <c r="P62" s="274"/>
      <c r="Q62" s="275"/>
      <c r="R62" s="5"/>
      <c r="S62" s="6"/>
      <c r="T62" s="7"/>
      <c r="U62" s="8"/>
    </row>
    <row r="63" spans="1:21" ht="17.25" thickBot="1" x14ac:dyDescent="0.35">
      <c r="A63" s="294"/>
      <c r="B63" s="295"/>
      <c r="C63" s="295"/>
      <c r="D63" s="295"/>
      <c r="E63" s="295"/>
      <c r="F63" s="295"/>
      <c r="G63" s="295"/>
      <c r="H63" s="295"/>
      <c r="I63" s="299"/>
      <c r="J63" s="299"/>
      <c r="K63" s="299"/>
      <c r="L63" s="302"/>
      <c r="M63" s="305"/>
      <c r="N63" s="276"/>
      <c r="O63" s="277"/>
      <c r="P63" s="277"/>
      <c r="Q63" s="278"/>
      <c r="R63" s="1"/>
      <c r="S63" s="2"/>
      <c r="T63" s="3"/>
      <c r="U63" s="4"/>
    </row>
    <row r="64" spans="1:21" ht="17.25" thickBot="1" x14ac:dyDescent="0.35">
      <c r="A64" s="296"/>
      <c r="B64" s="297"/>
      <c r="C64" s="297"/>
      <c r="D64" s="297"/>
      <c r="E64" s="297"/>
      <c r="F64" s="297"/>
      <c r="G64" s="297"/>
      <c r="H64" s="297"/>
      <c r="I64" s="300"/>
      <c r="J64" s="300"/>
      <c r="K64" s="300"/>
      <c r="L64" s="303"/>
      <c r="M64" s="306"/>
      <c r="N64" s="279"/>
      <c r="O64" s="280"/>
      <c r="P64" s="280"/>
      <c r="Q64" s="281"/>
      <c r="R64" s="282" t="s">
        <v>17</v>
      </c>
      <c r="S64" s="283"/>
      <c r="T64" s="283"/>
      <c r="U64" s="284"/>
    </row>
    <row r="65" spans="1:21" ht="17.25" thickBot="1" x14ac:dyDescent="0.35">
      <c r="A65" s="319" t="s">
        <v>24</v>
      </c>
      <c r="B65" s="320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0"/>
      <c r="T65" s="320"/>
      <c r="U65" s="321"/>
    </row>
    <row r="66" spans="1:21" ht="17.25" thickBot="1" x14ac:dyDescent="0.35">
      <c r="A66" s="319" t="str">
        <f>A34</f>
        <v>1 - 10 - 2022</v>
      </c>
      <c r="B66" s="320"/>
      <c r="C66" s="320"/>
      <c r="D66" s="320"/>
      <c r="E66" s="320"/>
      <c r="F66" s="320"/>
      <c r="G66" s="321"/>
      <c r="H66" s="322" t="s">
        <v>49</v>
      </c>
      <c r="I66" s="323"/>
      <c r="J66" s="319" t="str">
        <f>J34</f>
        <v>SUNNY</v>
      </c>
      <c r="K66" s="321"/>
      <c r="L66" s="323" t="s">
        <v>50</v>
      </c>
      <c r="M66" s="324"/>
      <c r="N66" s="322"/>
      <c r="O66" s="320" t="str">
        <f>O34</f>
        <v>JOHN</v>
      </c>
      <c r="P66" s="320"/>
      <c r="Q66" s="321"/>
      <c r="R66" s="323" t="s">
        <v>51</v>
      </c>
      <c r="S66" s="322"/>
      <c r="T66" s="311">
        <f>T34</f>
        <v>5</v>
      </c>
      <c r="U66" s="31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54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2" t="s">
        <v>8</v>
      </c>
      <c r="P68" s="312"/>
      <c r="Q68" s="31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58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6"/>
      <c r="P69" s="285"/>
      <c r="Q69" s="287"/>
      <c r="R69" s="51"/>
      <c r="S69" s="52"/>
      <c r="T69" s="52"/>
      <c r="U69" s="61"/>
    </row>
    <row r="70" spans="1:21" x14ac:dyDescent="0.3">
      <c r="A70" s="118">
        <f>A69+1</f>
        <v>52</v>
      </c>
      <c r="B70" s="258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3"/>
      <c r="P70" s="314"/>
      <c r="Q70" s="315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58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6"/>
      <c r="P71" s="285"/>
      <c r="Q71" s="28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58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6"/>
      <c r="P72" s="317"/>
      <c r="Q72" s="31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58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6"/>
      <c r="P73" s="317"/>
      <c r="Q73" s="31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58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8"/>
      <c r="P74" s="309"/>
      <c r="Q74" s="310"/>
      <c r="R74" s="71"/>
      <c r="S74" s="64"/>
      <c r="T74" s="64"/>
      <c r="U74" s="65"/>
    </row>
    <row r="75" spans="1:21" x14ac:dyDescent="0.3">
      <c r="A75" s="118">
        <f t="shared" si="11"/>
        <v>57</v>
      </c>
      <c r="B75" s="258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6"/>
      <c r="P75" s="285"/>
      <c r="Q75" s="28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58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6"/>
      <c r="P76" s="285"/>
      <c r="Q76" s="287"/>
      <c r="R76" s="5"/>
      <c r="S76" s="62"/>
      <c r="T76" s="62"/>
      <c r="U76" s="63"/>
    </row>
    <row r="77" spans="1:21" x14ac:dyDescent="0.3">
      <c r="A77" s="118">
        <f t="shared" si="11"/>
        <v>59</v>
      </c>
      <c r="B77" s="258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6"/>
      <c r="P77" s="285"/>
      <c r="Q77" s="287"/>
      <c r="R77" s="5"/>
      <c r="S77" s="62"/>
      <c r="T77" s="62"/>
      <c r="U77" s="63"/>
    </row>
    <row r="78" spans="1:21" x14ac:dyDescent="0.3">
      <c r="A78" s="118">
        <f t="shared" si="11"/>
        <v>60</v>
      </c>
      <c r="B78" s="258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6"/>
      <c r="P78" s="285"/>
      <c r="Q78" s="287"/>
      <c r="R78" s="5"/>
      <c r="S78" s="62"/>
      <c r="T78" s="62"/>
      <c r="U78" s="63"/>
    </row>
    <row r="79" spans="1:21" x14ac:dyDescent="0.3">
      <c r="A79" s="118">
        <f t="shared" si="11"/>
        <v>61</v>
      </c>
      <c r="B79" s="258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6"/>
      <c r="P79" s="285"/>
      <c r="Q79" s="287"/>
      <c r="R79" s="5"/>
      <c r="S79" s="62"/>
      <c r="T79" s="62"/>
      <c r="U79" s="63"/>
    </row>
    <row r="80" spans="1:21" x14ac:dyDescent="0.3">
      <c r="A80" s="118">
        <f t="shared" si="11"/>
        <v>62</v>
      </c>
      <c r="B80" s="258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6"/>
      <c r="P80" s="285"/>
      <c r="Q80" s="287"/>
      <c r="R80" s="5"/>
      <c r="S80" s="62"/>
      <c r="T80" s="62"/>
      <c r="U80" s="63"/>
    </row>
    <row r="81" spans="1:21" x14ac:dyDescent="0.3">
      <c r="A81" s="118">
        <f t="shared" si="11"/>
        <v>63</v>
      </c>
      <c r="B81" s="258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6"/>
      <c r="P81" s="285"/>
      <c r="Q81" s="287"/>
      <c r="R81" s="5"/>
      <c r="S81" s="62"/>
      <c r="T81" s="66"/>
      <c r="U81" s="63"/>
    </row>
    <row r="82" spans="1:21" x14ac:dyDescent="0.3">
      <c r="A82" s="118">
        <f t="shared" si="11"/>
        <v>64</v>
      </c>
      <c r="B82" s="258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6"/>
      <c r="P82" s="285"/>
      <c r="Q82" s="287"/>
      <c r="R82" s="5"/>
      <c r="S82" s="62"/>
      <c r="T82" s="66"/>
      <c r="U82" s="63"/>
    </row>
    <row r="83" spans="1:21" x14ac:dyDescent="0.3">
      <c r="A83" s="118">
        <f t="shared" si="11"/>
        <v>65</v>
      </c>
      <c r="B83" s="258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6"/>
      <c r="P83" s="285"/>
      <c r="Q83" s="285"/>
      <c r="R83" s="5"/>
      <c r="S83" s="62"/>
      <c r="T83" s="66"/>
      <c r="U83" s="63"/>
    </row>
    <row r="84" spans="1:21" x14ac:dyDescent="0.3">
      <c r="A84" s="118">
        <f t="shared" si="11"/>
        <v>66</v>
      </c>
      <c r="B84" s="258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6"/>
      <c r="P84" s="285"/>
      <c r="Q84" s="28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58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07"/>
      <c r="P85" s="286"/>
      <c r="Q85" s="286"/>
      <c r="R85" s="72"/>
      <c r="S85" s="59"/>
      <c r="T85" s="67"/>
      <c r="U85" s="68"/>
    </row>
    <row r="86" spans="1:21" x14ac:dyDescent="0.3">
      <c r="A86" s="118">
        <f t="shared" si="11"/>
        <v>68</v>
      </c>
      <c r="B86" s="258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07"/>
      <c r="P86" s="286"/>
      <c r="Q86" s="286"/>
      <c r="R86" s="72"/>
      <c r="S86" s="59"/>
      <c r="T86" s="67"/>
      <c r="U86" s="68"/>
    </row>
    <row r="87" spans="1:21" x14ac:dyDescent="0.3">
      <c r="A87" s="118">
        <f t="shared" si="11"/>
        <v>69</v>
      </c>
      <c r="B87" s="258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07"/>
      <c r="P87" s="286"/>
      <c r="Q87" s="286"/>
      <c r="R87" s="72"/>
      <c r="S87" s="59"/>
      <c r="T87" s="67"/>
      <c r="U87" s="68"/>
    </row>
    <row r="88" spans="1:21" x14ac:dyDescent="0.3">
      <c r="A88" s="118">
        <f t="shared" si="11"/>
        <v>70</v>
      </c>
      <c r="B88" s="258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5"/>
      <c r="P88" s="285"/>
      <c r="Q88" s="28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58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6"/>
      <c r="P89" s="285"/>
      <c r="Q89" s="28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58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5"/>
      <c r="P90" s="285"/>
      <c r="Q90" s="28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58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5"/>
      <c r="P91" s="285"/>
      <c r="Q91" s="28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58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6"/>
      <c r="P92" s="285"/>
      <c r="Q92" s="28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58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88"/>
      <c r="P93" s="289"/>
      <c r="Q93" s="290"/>
      <c r="R93" s="72"/>
      <c r="S93" s="59"/>
      <c r="T93" s="59"/>
      <c r="U93" s="68"/>
    </row>
    <row r="94" spans="1:21" x14ac:dyDescent="0.3">
      <c r="A94" s="291" t="s">
        <v>48</v>
      </c>
      <c r="B94" s="292"/>
      <c r="C94" s="292"/>
      <c r="D94" s="292"/>
      <c r="E94" s="293"/>
      <c r="F94" s="292"/>
      <c r="G94" s="292"/>
      <c r="H94" s="292">
        <f t="shared" ref="H94:M94" si="12">SUM(H69:H93)</f>
        <v>0</v>
      </c>
      <c r="I94" s="298">
        <f t="shared" si="12"/>
        <v>0</v>
      </c>
      <c r="J94" s="298">
        <f>J93+J92+J91+J90+J89+J88+J87+J86+J85+J84+J83+J82+J81+J80+J79+J78+J77+J76+J75+J74+J73+J72+J71+J70+J69</f>
        <v>0</v>
      </c>
      <c r="K94" s="298">
        <f>K93+K92+K91+K90+K89+K88+K87+K86+K85+K84+K83+K82+K81+K80+K79+K78+K77+K76+K75+K74+K73+K72+K71+K70+K69</f>
        <v>0</v>
      </c>
      <c r="L94" s="301">
        <f t="shared" si="12"/>
        <v>0</v>
      </c>
      <c r="M94" s="304">
        <f t="shared" si="12"/>
        <v>0</v>
      </c>
      <c r="N94" s="273"/>
      <c r="O94" s="274"/>
      <c r="P94" s="274"/>
      <c r="Q94" s="275"/>
      <c r="R94" s="5"/>
      <c r="S94" s="6"/>
      <c r="T94" s="7"/>
      <c r="U94" s="8"/>
    </row>
    <row r="95" spans="1:21" ht="17.25" thickBot="1" x14ac:dyDescent="0.35">
      <c r="A95" s="294"/>
      <c r="B95" s="295"/>
      <c r="C95" s="295"/>
      <c r="D95" s="295"/>
      <c r="E95" s="295"/>
      <c r="F95" s="295"/>
      <c r="G95" s="295"/>
      <c r="H95" s="295"/>
      <c r="I95" s="299"/>
      <c r="J95" s="299"/>
      <c r="K95" s="299"/>
      <c r="L95" s="302"/>
      <c r="M95" s="305"/>
      <c r="N95" s="276"/>
      <c r="O95" s="277"/>
      <c r="P95" s="277"/>
      <c r="Q95" s="278"/>
      <c r="R95" s="1"/>
      <c r="S95" s="2"/>
      <c r="T95" s="3"/>
      <c r="U95" s="4"/>
    </row>
    <row r="96" spans="1:21" ht="17.25" thickBot="1" x14ac:dyDescent="0.35">
      <c r="A96" s="296"/>
      <c r="B96" s="297"/>
      <c r="C96" s="297"/>
      <c r="D96" s="297"/>
      <c r="E96" s="297"/>
      <c r="F96" s="297"/>
      <c r="G96" s="297"/>
      <c r="H96" s="297"/>
      <c r="I96" s="300"/>
      <c r="J96" s="300"/>
      <c r="K96" s="300"/>
      <c r="L96" s="303"/>
      <c r="M96" s="306"/>
      <c r="N96" s="279"/>
      <c r="O96" s="280"/>
      <c r="P96" s="280"/>
      <c r="Q96" s="281"/>
      <c r="R96" s="282" t="s">
        <v>52</v>
      </c>
      <c r="S96" s="283"/>
      <c r="T96" s="283"/>
      <c r="U96" s="284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4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I19" sqref="I19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19" t="s">
        <v>77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1"/>
    </row>
    <row r="2" spans="1:44" ht="17.25" thickBot="1" x14ac:dyDescent="0.35">
      <c r="A2" s="319" t="s">
        <v>327</v>
      </c>
      <c r="B2" s="320"/>
      <c r="C2" s="320"/>
      <c r="D2" s="320"/>
      <c r="E2" s="320"/>
      <c r="F2" s="320"/>
      <c r="G2" s="321"/>
      <c r="H2" s="322" t="s">
        <v>49</v>
      </c>
      <c r="I2" s="323"/>
      <c r="J2" s="319" t="s">
        <v>199</v>
      </c>
      <c r="K2" s="321"/>
      <c r="L2" s="323" t="s">
        <v>96</v>
      </c>
      <c r="M2" s="324"/>
      <c r="N2" s="322"/>
      <c r="O2" s="320" t="s">
        <v>145</v>
      </c>
      <c r="P2" s="320"/>
      <c r="Q2" s="321"/>
      <c r="R2" s="323" t="s">
        <v>51</v>
      </c>
      <c r="S2" s="322"/>
      <c r="T2" s="311">
        <v>5</v>
      </c>
      <c r="U2" s="31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2" t="s">
        <v>8</v>
      </c>
      <c r="P4" s="312"/>
      <c r="Q4" s="31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735">
        <v>1</v>
      </c>
      <c r="B5" s="736">
        <v>11427</v>
      </c>
      <c r="C5" s="737" t="s">
        <v>329</v>
      </c>
      <c r="D5" s="738" t="s">
        <v>330</v>
      </c>
      <c r="E5" s="264" t="s">
        <v>92</v>
      </c>
      <c r="F5" s="739">
        <v>1110</v>
      </c>
      <c r="G5" s="736" t="s">
        <v>331</v>
      </c>
      <c r="H5" s="269"/>
      <c r="I5" s="269"/>
      <c r="J5" s="269" t="str">
        <f>IF(G5="RSL","55","0")</f>
        <v>0</v>
      </c>
      <c r="K5" s="269">
        <v>50</v>
      </c>
      <c r="L5" s="270"/>
      <c r="M5" s="270">
        <v>375</v>
      </c>
      <c r="N5" s="271" t="s">
        <v>145</v>
      </c>
      <c r="O5" s="740" t="s">
        <v>352</v>
      </c>
      <c r="P5" s="741"/>
      <c r="Q5" s="742"/>
      <c r="R5" s="32" t="s">
        <v>145</v>
      </c>
      <c r="S5" s="30">
        <v>0.35416666666666669</v>
      </c>
      <c r="T5" s="31">
        <v>0.70833333333333337</v>
      </c>
      <c r="U5" s="83">
        <f t="shared" ref="U5:U15" si="0">(T5-S5)*24</f>
        <v>8.5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11428</v>
      </c>
      <c r="C6" s="58" t="s">
        <v>332</v>
      </c>
      <c r="D6" s="190" t="s">
        <v>335</v>
      </c>
      <c r="E6" s="171" t="s">
        <v>91</v>
      </c>
      <c r="F6" s="161">
        <v>1110</v>
      </c>
      <c r="G6" s="109" t="s">
        <v>102</v>
      </c>
      <c r="H6" s="82">
        <v>95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145</v>
      </c>
      <c r="O6" s="313"/>
      <c r="P6" s="314"/>
      <c r="Q6" s="315"/>
      <c r="R6" s="122" t="s">
        <v>160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11429</v>
      </c>
      <c r="C7" s="58" t="s">
        <v>333</v>
      </c>
      <c r="D7" s="190" t="s">
        <v>334</v>
      </c>
      <c r="E7" s="171" t="s">
        <v>91</v>
      </c>
      <c r="F7" s="161">
        <v>1130</v>
      </c>
      <c r="G7" s="109" t="s">
        <v>183</v>
      </c>
      <c r="H7" s="82">
        <v>300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145</v>
      </c>
      <c r="O7" s="286"/>
      <c r="P7" s="285"/>
      <c r="Q7" s="287"/>
      <c r="R7" s="25" t="s">
        <v>147</v>
      </c>
      <c r="S7" s="30">
        <v>0.41666666666666669</v>
      </c>
      <c r="T7" s="31">
        <v>0.59375</v>
      </c>
      <c r="U7" s="83">
        <f t="shared" si="0"/>
        <v>4.25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11430</v>
      </c>
      <c r="C8" s="26" t="s">
        <v>336</v>
      </c>
      <c r="D8" s="190" t="s">
        <v>337</v>
      </c>
      <c r="E8" s="171" t="s">
        <v>91</v>
      </c>
      <c r="F8" s="161">
        <v>1145</v>
      </c>
      <c r="G8" s="109" t="s">
        <v>113</v>
      </c>
      <c r="H8" s="82"/>
      <c r="I8" s="115">
        <v>121.2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145</v>
      </c>
      <c r="O8" s="316" t="s">
        <v>209</v>
      </c>
      <c r="P8" s="317"/>
      <c r="Q8" s="318"/>
      <c r="R8" s="25"/>
      <c r="S8" s="30">
        <v>0.63541666666666663</v>
      </c>
      <c r="T8" s="31">
        <v>0.70833333333333337</v>
      </c>
      <c r="U8" s="83">
        <f t="shared" si="0"/>
        <v>1.7500000000000018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11431</v>
      </c>
      <c r="C9" s="54" t="s">
        <v>348</v>
      </c>
      <c r="D9" s="191" t="s">
        <v>338</v>
      </c>
      <c r="E9" s="171" t="s">
        <v>91</v>
      </c>
      <c r="F9" s="162">
        <v>1215</v>
      </c>
      <c r="G9" s="110" t="s">
        <v>102</v>
      </c>
      <c r="H9" s="82"/>
      <c r="I9" s="82">
        <v>95.95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145</v>
      </c>
      <c r="O9" s="316"/>
      <c r="P9" s="317"/>
      <c r="Q9" s="318"/>
      <c r="R9" s="25" t="s">
        <v>148</v>
      </c>
      <c r="S9" s="30">
        <v>0.42708333333333331</v>
      </c>
      <c r="T9" s="31">
        <v>0.70833333333333337</v>
      </c>
      <c r="U9" s="83">
        <f t="shared" si="0"/>
        <v>6.7500000000000018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11432</v>
      </c>
      <c r="C10" s="27" t="s">
        <v>339</v>
      </c>
      <c r="D10" s="192" t="s">
        <v>340</v>
      </c>
      <c r="E10" s="171" t="s">
        <v>92</v>
      </c>
      <c r="F10" s="163">
        <v>1240</v>
      </c>
      <c r="G10" s="111" t="s">
        <v>126</v>
      </c>
      <c r="H10" s="114"/>
      <c r="I10" s="116">
        <v>75.75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145</v>
      </c>
      <c r="O10" s="308"/>
      <c r="P10" s="309"/>
      <c r="Q10" s="310"/>
      <c r="R10" s="25" t="s">
        <v>284</v>
      </c>
      <c r="S10" s="30">
        <v>0.44791666666666669</v>
      </c>
      <c r="T10" s="31">
        <v>0.70833333333333337</v>
      </c>
      <c r="U10" s="83">
        <f t="shared" si="0"/>
        <v>6.25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11433</v>
      </c>
      <c r="C11" s="17" t="s">
        <v>341</v>
      </c>
      <c r="D11" s="193" t="s">
        <v>342</v>
      </c>
      <c r="E11" s="171" t="s">
        <v>92</v>
      </c>
      <c r="F11" s="57">
        <v>1245</v>
      </c>
      <c r="G11" s="112" t="s">
        <v>113</v>
      </c>
      <c r="H11" s="114"/>
      <c r="I11" s="115">
        <v>131.30000000000001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145</v>
      </c>
      <c r="O11" s="286"/>
      <c r="P11" s="285"/>
      <c r="Q11" s="287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11434</v>
      </c>
      <c r="C12" s="55" t="s">
        <v>343</v>
      </c>
      <c r="D12" s="194" t="s">
        <v>344</v>
      </c>
      <c r="E12" s="171" t="s">
        <v>92</v>
      </c>
      <c r="F12" s="163">
        <v>1250</v>
      </c>
      <c r="G12" s="110" t="s">
        <v>102</v>
      </c>
      <c r="H12" s="114">
        <v>95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145</v>
      </c>
      <c r="O12" s="286"/>
      <c r="P12" s="285"/>
      <c r="Q12" s="28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743">
        <v>9</v>
      </c>
      <c r="B13" s="736">
        <v>11435</v>
      </c>
      <c r="C13" s="262" t="s">
        <v>345</v>
      </c>
      <c r="D13" s="263" t="s">
        <v>346</v>
      </c>
      <c r="E13" s="264" t="s">
        <v>92</v>
      </c>
      <c r="F13" s="265">
        <v>1320</v>
      </c>
      <c r="G13" s="266" t="s">
        <v>139</v>
      </c>
      <c r="H13" s="267"/>
      <c r="I13" s="268"/>
      <c r="J13" s="269" t="str">
        <f t="shared" si="1"/>
        <v>0</v>
      </c>
      <c r="K13" s="269">
        <v>79.16</v>
      </c>
      <c r="L13" s="270"/>
      <c r="M13" s="270">
        <v>475</v>
      </c>
      <c r="N13" s="271" t="s">
        <v>145</v>
      </c>
      <c r="O13" s="361" t="s">
        <v>353</v>
      </c>
      <c r="P13" s="362"/>
      <c r="Q13" s="363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11436</v>
      </c>
      <c r="C14" s="56" t="s">
        <v>347</v>
      </c>
      <c r="D14" s="195" t="s">
        <v>349</v>
      </c>
      <c r="E14" s="171" t="s">
        <v>91</v>
      </c>
      <c r="F14" s="164">
        <v>1330</v>
      </c>
      <c r="G14" s="113" t="s">
        <v>126</v>
      </c>
      <c r="H14" s="114"/>
      <c r="I14" s="116">
        <v>55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145</v>
      </c>
      <c r="O14" s="286"/>
      <c r="P14" s="285"/>
      <c r="Q14" s="28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11437</v>
      </c>
      <c r="C15" s="56" t="s">
        <v>350</v>
      </c>
      <c r="D15" s="195" t="s">
        <v>351</v>
      </c>
      <c r="E15" s="171" t="s">
        <v>92</v>
      </c>
      <c r="F15" s="164">
        <v>1505</v>
      </c>
      <c r="G15" s="113" t="s">
        <v>102</v>
      </c>
      <c r="H15" s="114"/>
      <c r="I15" s="115">
        <v>95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145</v>
      </c>
      <c r="O15" s="286"/>
      <c r="P15" s="285"/>
      <c r="Q15" s="28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11438</v>
      </c>
      <c r="C16" s="56" t="s">
        <v>354</v>
      </c>
      <c r="D16" s="195" t="s">
        <v>355</v>
      </c>
      <c r="E16" s="171" t="s">
        <v>92</v>
      </c>
      <c r="F16" s="164">
        <v>1515</v>
      </c>
      <c r="G16" s="113" t="s">
        <v>102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2" t="s">
        <v>160</v>
      </c>
      <c r="O16" s="286"/>
      <c r="P16" s="285"/>
      <c r="Q16" s="287"/>
      <c r="R16" s="73">
        <f>H32/U16</f>
        <v>0.38356164383561642</v>
      </c>
      <c r="S16" s="74">
        <f>H32/(U16-U5)</f>
        <v>0.5</v>
      </c>
      <c r="T16" s="74">
        <f>C32/U16</f>
        <v>38.859178082191782</v>
      </c>
      <c r="U16" s="74">
        <f>SUM(U5:U15)</f>
        <v>36.5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11439</v>
      </c>
      <c r="C17" s="17" t="s">
        <v>356</v>
      </c>
      <c r="D17" s="193" t="s">
        <v>357</v>
      </c>
      <c r="E17" s="171" t="s">
        <v>91</v>
      </c>
      <c r="F17" s="57">
        <v>1555</v>
      </c>
      <c r="G17" s="112" t="s">
        <v>126</v>
      </c>
      <c r="H17" s="114">
        <v>75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145</v>
      </c>
      <c r="O17" s="286"/>
      <c r="P17" s="285"/>
      <c r="Q17" s="28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11440</v>
      </c>
      <c r="C18" s="17" t="s">
        <v>358</v>
      </c>
      <c r="D18" s="193" t="s">
        <v>359</v>
      </c>
      <c r="E18" s="171" t="s">
        <v>91</v>
      </c>
      <c r="F18" s="57">
        <v>1615</v>
      </c>
      <c r="G18" s="19" t="s">
        <v>126</v>
      </c>
      <c r="H18" s="114"/>
      <c r="I18" s="744">
        <v>55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145</v>
      </c>
      <c r="O18" s="286"/>
      <c r="P18" s="285"/>
      <c r="Q18" s="28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86"/>
      <c r="P19" s="285"/>
      <c r="Q19" s="285"/>
      <c r="R19" s="84" t="s">
        <v>45</v>
      </c>
      <c r="S19" s="85">
        <f>COUNT(L5:M29,L37:M61,L69:M93)</f>
        <v>2</v>
      </c>
      <c r="T19" s="107">
        <f>SUM(L5:M29,L37:M61,L69:M93)</f>
        <v>850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54"/>
      <c r="P20" s="355"/>
      <c r="Q20" s="35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86"/>
      <c r="P21" s="285"/>
      <c r="Q21" s="28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86"/>
      <c r="P22" s="285"/>
      <c r="Q22" s="28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2"/>
      <c r="Y23" s="353"/>
      <c r="Z23" s="353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6"/>
      <c r="P24" s="285"/>
      <c r="Q24" s="28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6"/>
      <c r="P25" s="285"/>
      <c r="Q25" s="287"/>
      <c r="R25" s="91">
        <f>COUNTIF(G5:G29,"GV1")+COUNTIF(G37:G61,"GV1")+COUNTIF(G69:G93,"GV1")</f>
        <v>1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56">
        <f>((C32+(R26+S26+T26)*0.5))</f>
        <v>1437.1100000000001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6"/>
      <c r="P26" s="285"/>
      <c r="Q26" s="287"/>
      <c r="R26" s="103">
        <f>R25*37.5</f>
        <v>37.5</v>
      </c>
      <c r="S26" s="93">
        <f>S25*41.5</f>
        <v>0</v>
      </c>
      <c r="T26" s="93">
        <f>T25*50</f>
        <v>0</v>
      </c>
      <c r="U26" s="357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6"/>
      <c r="P27" s="285"/>
      <c r="Q27" s="287"/>
      <c r="R27" s="349" t="s">
        <v>56</v>
      </c>
      <c r="S27" s="350"/>
      <c r="T27" s="350"/>
      <c r="U27" s="351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6"/>
      <c r="P28" s="285"/>
      <c r="Q28" s="287"/>
      <c r="R28" s="342"/>
      <c r="S28" s="343"/>
      <c r="T28" s="344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29"/>
      <c r="P29" s="330"/>
      <c r="Q29" s="331"/>
      <c r="R29" s="332"/>
      <c r="S29" s="333"/>
      <c r="T29" s="334"/>
      <c r="U29" s="140"/>
      <c r="X29" s="14">
        <v>3</v>
      </c>
      <c r="Z29" s="45"/>
      <c r="AE29" s="39"/>
    </row>
    <row r="30" spans="1:44" ht="16.5" customHeight="1" thickBot="1" x14ac:dyDescent="0.35">
      <c r="A30" s="335" t="s">
        <v>48</v>
      </c>
      <c r="B30" s="336"/>
      <c r="C30" s="336"/>
      <c r="D30" s="336"/>
      <c r="E30" s="337"/>
      <c r="F30" s="336"/>
      <c r="G30" s="336"/>
      <c r="H30" s="201">
        <f t="shared" ref="H30:M30" si="3">SUM(H5:H29)</f>
        <v>660</v>
      </c>
      <c r="I30" s="96">
        <f>SUM(I5:I29)</f>
        <v>629.20000000000005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129.16</v>
      </c>
      <c r="L30" s="97">
        <f t="shared" si="3"/>
        <v>0</v>
      </c>
      <c r="M30" s="97">
        <f t="shared" si="3"/>
        <v>850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38"/>
      <c r="S30" s="338"/>
      <c r="T30" s="339"/>
      <c r="U30" s="141"/>
      <c r="X30" s="14">
        <v>4</v>
      </c>
      <c r="Z30" s="45"/>
      <c r="AD30" s="46"/>
    </row>
    <row r="31" spans="1:44" x14ac:dyDescent="0.3">
      <c r="A31" s="340" t="s">
        <v>16</v>
      </c>
      <c r="B31" s="341"/>
      <c r="C31" s="341"/>
      <c r="D31" s="341"/>
      <c r="E31" s="341"/>
      <c r="F31" s="341"/>
      <c r="G31" s="341"/>
      <c r="H31" s="202">
        <f t="shared" ref="H31:J31" si="4">H30+H62+H94</f>
        <v>660</v>
      </c>
      <c r="I31" s="94">
        <f t="shared" si="4"/>
        <v>629.20000000000005</v>
      </c>
      <c r="J31" s="94">
        <f t="shared" si="4"/>
        <v>0</v>
      </c>
      <c r="K31" s="94">
        <f>K30+K62+K94</f>
        <v>129.16</v>
      </c>
      <c r="L31" s="88">
        <f>L30+L62+L94</f>
        <v>0</v>
      </c>
      <c r="M31" s="88">
        <f>M30+M62+M94</f>
        <v>850</v>
      </c>
      <c r="N31" s="207">
        <f>COUNT(H5:H29,H37:H61,H69:H93)</f>
        <v>5</v>
      </c>
      <c r="O31" s="95">
        <f>COUNT(I5:I29,I37:I61,I69:I93)</f>
        <v>7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660</v>
      </c>
      <c r="T31" s="325">
        <f>H31+I31+L31+M31</f>
        <v>2139.1999999999998</v>
      </c>
      <c r="U31" s="326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45" t="s">
        <v>55</v>
      </c>
      <c r="B32" s="346"/>
      <c r="C32" s="98">
        <f>H31+I31+J31+K31</f>
        <v>1418.3600000000001</v>
      </c>
      <c r="D32" s="186"/>
      <c r="E32" s="98"/>
      <c r="F32" s="347" t="s">
        <v>53</v>
      </c>
      <c r="G32" s="347"/>
      <c r="H32" s="100">
        <f>COUNT(B5:B29,B37:B61,B69:B93)</f>
        <v>14</v>
      </c>
      <c r="I32" s="348" t="s">
        <v>54</v>
      </c>
      <c r="J32" s="348"/>
      <c r="K32" s="99">
        <f>C32/H32</f>
        <v>101.31142857142858</v>
      </c>
      <c r="L32" s="208"/>
      <c r="M32" s="208"/>
      <c r="N32" s="208">
        <f>H31/C32</f>
        <v>0.46532615132970467</v>
      </c>
      <c r="O32" s="208">
        <f>I31/C32</f>
        <v>0.44361093093431853</v>
      </c>
      <c r="P32" s="208">
        <f>K31/C32</f>
        <v>9.1062917735976745E-2</v>
      </c>
      <c r="Q32" s="101">
        <f>J31/C32</f>
        <v>0</v>
      </c>
      <c r="R32" s="90" t="s">
        <v>82</v>
      </c>
      <c r="S32" s="203">
        <f>I31+M31</f>
        <v>1479.2</v>
      </c>
      <c r="T32" s="327"/>
      <c r="U32" s="328"/>
      <c r="V32" s="39"/>
      <c r="W32" s="39"/>
      <c r="X32" s="48" t="s">
        <v>27</v>
      </c>
      <c r="Y32" s="48"/>
      <c r="Z32" s="47">
        <f>I31</f>
        <v>629.20000000000005</v>
      </c>
    </row>
    <row r="33" spans="1:33" ht="17.25" thickBot="1" x14ac:dyDescent="0.35">
      <c r="A33" s="279" t="s">
        <v>24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320"/>
      <c r="U33" s="321"/>
      <c r="X33" s="49" t="s">
        <v>29</v>
      </c>
      <c r="Y33" s="49"/>
      <c r="Z33" s="50">
        <f>SUM(Z31:Z32)</f>
        <v>-2115.8000000000002</v>
      </c>
      <c r="AG33" s="35"/>
    </row>
    <row r="34" spans="1:33" ht="17.25" thickBot="1" x14ac:dyDescent="0.35">
      <c r="A34" s="319" t="str">
        <f>A2</f>
        <v>2-10-2022</v>
      </c>
      <c r="B34" s="320"/>
      <c r="C34" s="320"/>
      <c r="D34" s="320"/>
      <c r="E34" s="320"/>
      <c r="F34" s="320"/>
      <c r="G34" s="321"/>
      <c r="H34" s="322" t="s">
        <v>49</v>
      </c>
      <c r="I34" s="323"/>
      <c r="J34" s="319" t="str">
        <f>J2</f>
        <v>SUNNY</v>
      </c>
      <c r="K34" s="321"/>
      <c r="L34" s="323" t="s">
        <v>50</v>
      </c>
      <c r="M34" s="324"/>
      <c r="N34" s="322"/>
      <c r="O34" s="320" t="str">
        <f>O2</f>
        <v>JOHN</v>
      </c>
      <c r="P34" s="320"/>
      <c r="Q34" s="321"/>
      <c r="R34" s="323" t="s">
        <v>51</v>
      </c>
      <c r="S34" s="322"/>
      <c r="T34" s="311">
        <f>T2</f>
        <v>5</v>
      </c>
      <c r="U34" s="31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2" t="s">
        <v>8</v>
      </c>
      <c r="P36" s="312"/>
      <c r="Q36" s="31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6"/>
      <c r="P37" s="285"/>
      <c r="Q37" s="287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3"/>
      <c r="P38" s="314"/>
      <c r="Q38" s="315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6"/>
      <c r="P39" s="285"/>
      <c r="Q39" s="287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6"/>
      <c r="P40" s="317"/>
      <c r="Q40" s="31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6"/>
      <c r="P41" s="317"/>
      <c r="Q41" s="31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8"/>
      <c r="P42" s="309"/>
      <c r="Q42" s="310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6"/>
      <c r="P43" s="285"/>
      <c r="Q43" s="287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6"/>
      <c r="P44" s="285"/>
      <c r="Q44" s="28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6"/>
      <c r="P45" s="285"/>
      <c r="Q45" s="287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6"/>
      <c r="P46" s="285"/>
      <c r="Q46" s="28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6"/>
      <c r="P47" s="285"/>
      <c r="Q47" s="287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6"/>
      <c r="P48" s="285"/>
      <c r="Q48" s="287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6"/>
      <c r="P49" s="285"/>
      <c r="Q49" s="287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6"/>
      <c r="P50" s="285"/>
      <c r="Q50" s="287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6"/>
      <c r="P51" s="285"/>
      <c r="Q51" s="28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6"/>
      <c r="P52" s="285"/>
      <c r="Q52" s="28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07"/>
      <c r="P53" s="286"/>
      <c r="Q53" s="286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07"/>
      <c r="P54" s="286"/>
      <c r="Q54" s="286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07"/>
      <c r="P55" s="286"/>
      <c r="Q55" s="286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5"/>
      <c r="P56" s="285"/>
      <c r="Q56" s="28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6"/>
      <c r="P57" s="285"/>
      <c r="Q57" s="28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5"/>
      <c r="P58" s="285"/>
      <c r="Q58" s="28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5"/>
      <c r="P59" s="285"/>
      <c r="Q59" s="28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6"/>
      <c r="P60" s="285"/>
      <c r="Q60" s="28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88"/>
      <c r="P61" s="289"/>
      <c r="Q61" s="290"/>
      <c r="R61" s="72"/>
      <c r="S61" s="59"/>
      <c r="T61" s="59"/>
      <c r="U61" s="68"/>
    </row>
    <row r="62" spans="1:21" x14ac:dyDescent="0.3">
      <c r="A62" s="291" t="s">
        <v>48</v>
      </c>
      <c r="B62" s="292"/>
      <c r="C62" s="292"/>
      <c r="D62" s="292"/>
      <c r="E62" s="292"/>
      <c r="F62" s="292"/>
      <c r="G62" s="292"/>
      <c r="H62" s="292">
        <f t="shared" ref="H62:M62" si="8">SUM(H37:H61)</f>
        <v>0</v>
      </c>
      <c r="I62" s="298">
        <f t="shared" si="8"/>
        <v>0</v>
      </c>
      <c r="J62" s="298">
        <f>J61+J60+J59+J58+J57+J56+J55+J54+J53+J52+J51+J50+J49+J48+J47+J46+J45+J44+J43+J42+J41+J40+J39+J38+J37</f>
        <v>0</v>
      </c>
      <c r="K62" s="298">
        <f>K61+K60+K59+K58+K57+K56+K55+K54+K53+K52+K51+K50+K49+K48+K47+K46+K45+K44+K43+K42+K41+K40+K39+K38+K37</f>
        <v>0</v>
      </c>
      <c r="L62" s="301">
        <f t="shared" si="8"/>
        <v>0</v>
      </c>
      <c r="M62" s="304">
        <f t="shared" si="8"/>
        <v>0</v>
      </c>
      <c r="N62" s="273"/>
      <c r="O62" s="274"/>
      <c r="P62" s="274"/>
      <c r="Q62" s="275"/>
      <c r="R62" s="5"/>
      <c r="S62" s="6"/>
      <c r="T62" s="7"/>
      <c r="U62" s="8"/>
    </row>
    <row r="63" spans="1:21" ht="17.25" thickBot="1" x14ac:dyDescent="0.35">
      <c r="A63" s="294"/>
      <c r="B63" s="295"/>
      <c r="C63" s="295"/>
      <c r="D63" s="295"/>
      <c r="E63" s="295"/>
      <c r="F63" s="295"/>
      <c r="G63" s="295"/>
      <c r="H63" s="295"/>
      <c r="I63" s="299"/>
      <c r="J63" s="299"/>
      <c r="K63" s="299"/>
      <c r="L63" s="302"/>
      <c r="M63" s="305"/>
      <c r="N63" s="276"/>
      <c r="O63" s="277"/>
      <c r="P63" s="277"/>
      <c r="Q63" s="278"/>
      <c r="R63" s="1"/>
      <c r="S63" s="2"/>
      <c r="T63" s="3"/>
      <c r="U63" s="4"/>
    </row>
    <row r="64" spans="1:21" ht="17.25" thickBot="1" x14ac:dyDescent="0.35">
      <c r="A64" s="296"/>
      <c r="B64" s="297"/>
      <c r="C64" s="297"/>
      <c r="D64" s="297"/>
      <c r="E64" s="297"/>
      <c r="F64" s="297"/>
      <c r="G64" s="297"/>
      <c r="H64" s="297"/>
      <c r="I64" s="300"/>
      <c r="J64" s="300"/>
      <c r="K64" s="300"/>
      <c r="L64" s="303"/>
      <c r="M64" s="306"/>
      <c r="N64" s="279"/>
      <c r="O64" s="280"/>
      <c r="P64" s="280"/>
      <c r="Q64" s="281"/>
      <c r="R64" s="282" t="s">
        <v>17</v>
      </c>
      <c r="S64" s="283"/>
      <c r="T64" s="283"/>
      <c r="U64" s="284"/>
    </row>
    <row r="65" spans="1:21" ht="17.25" thickBot="1" x14ac:dyDescent="0.35">
      <c r="A65" s="319" t="s">
        <v>24</v>
      </c>
      <c r="B65" s="320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0"/>
      <c r="T65" s="320"/>
      <c r="U65" s="321"/>
    </row>
    <row r="66" spans="1:21" ht="17.25" thickBot="1" x14ac:dyDescent="0.35">
      <c r="A66" s="319" t="str">
        <f>A34</f>
        <v>2-10-2022</v>
      </c>
      <c r="B66" s="320"/>
      <c r="C66" s="320"/>
      <c r="D66" s="320"/>
      <c r="E66" s="320"/>
      <c r="F66" s="320"/>
      <c r="G66" s="321"/>
      <c r="H66" s="322" t="s">
        <v>49</v>
      </c>
      <c r="I66" s="323"/>
      <c r="J66" s="319" t="str">
        <f>J34</f>
        <v>SUNNY</v>
      </c>
      <c r="K66" s="321"/>
      <c r="L66" s="323" t="s">
        <v>50</v>
      </c>
      <c r="M66" s="324"/>
      <c r="N66" s="322"/>
      <c r="O66" s="320" t="str">
        <f>O34</f>
        <v>JOHN</v>
      </c>
      <c r="P66" s="320"/>
      <c r="Q66" s="321"/>
      <c r="R66" s="323" t="s">
        <v>51</v>
      </c>
      <c r="S66" s="322"/>
      <c r="T66" s="311">
        <f>T34</f>
        <v>5</v>
      </c>
      <c r="U66" s="31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2" t="s">
        <v>8</v>
      </c>
      <c r="P68" s="312"/>
      <c r="Q68" s="31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6"/>
      <c r="P69" s="285"/>
      <c r="Q69" s="287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3"/>
      <c r="P70" s="314"/>
      <c r="Q70" s="315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6"/>
      <c r="P71" s="285"/>
      <c r="Q71" s="28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6"/>
      <c r="P72" s="317"/>
      <c r="Q72" s="31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6"/>
      <c r="P73" s="317"/>
      <c r="Q73" s="31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8"/>
      <c r="P74" s="309"/>
      <c r="Q74" s="310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6"/>
      <c r="P75" s="285"/>
      <c r="Q75" s="28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6"/>
      <c r="P76" s="285"/>
      <c r="Q76" s="287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6"/>
      <c r="P77" s="285"/>
      <c r="Q77" s="287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6"/>
      <c r="P78" s="285"/>
      <c r="Q78" s="287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6"/>
      <c r="P79" s="285"/>
      <c r="Q79" s="287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6"/>
      <c r="P80" s="285"/>
      <c r="Q80" s="287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6"/>
      <c r="P81" s="285"/>
      <c r="Q81" s="287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6"/>
      <c r="P82" s="285"/>
      <c r="Q82" s="287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6"/>
      <c r="P83" s="285"/>
      <c r="Q83" s="28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6"/>
      <c r="P84" s="285"/>
      <c r="Q84" s="28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07"/>
      <c r="P85" s="286"/>
      <c r="Q85" s="286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07"/>
      <c r="P86" s="286"/>
      <c r="Q86" s="286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07"/>
      <c r="P87" s="286"/>
      <c r="Q87" s="286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5"/>
      <c r="P88" s="285"/>
      <c r="Q88" s="28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6"/>
      <c r="P89" s="285"/>
      <c r="Q89" s="28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5"/>
      <c r="P90" s="285"/>
      <c r="Q90" s="28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5"/>
      <c r="P91" s="285"/>
      <c r="Q91" s="28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6"/>
      <c r="P92" s="285"/>
      <c r="Q92" s="28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88"/>
      <c r="P93" s="289"/>
      <c r="Q93" s="290"/>
      <c r="R93" s="72"/>
      <c r="S93" s="59"/>
      <c r="T93" s="59"/>
      <c r="U93" s="68"/>
    </row>
    <row r="94" spans="1:21" x14ac:dyDescent="0.3">
      <c r="A94" s="291" t="s">
        <v>48</v>
      </c>
      <c r="B94" s="292"/>
      <c r="C94" s="292"/>
      <c r="D94" s="292"/>
      <c r="E94" s="293"/>
      <c r="F94" s="292"/>
      <c r="G94" s="292"/>
      <c r="H94" s="292">
        <f t="shared" ref="H94:M94" si="12">SUM(H69:H93)</f>
        <v>0</v>
      </c>
      <c r="I94" s="298">
        <f t="shared" si="12"/>
        <v>0</v>
      </c>
      <c r="J94" s="298">
        <f>J93+J92+J91+J90+J89+J88+J87+J86+J85+J84+J83+J82+J81+J80+J79+J78+J77+J76+J75+J74+J73+J72+J71+J70+J69</f>
        <v>0</v>
      </c>
      <c r="K94" s="298">
        <f>K93+K92+K91+K90+K89+K88+K87+K86+K85+K84+K83+K82+K81+K80+K79+K78+K77+K76+K75+K74+K73+K72+K71+K70+K69</f>
        <v>0</v>
      </c>
      <c r="L94" s="301">
        <f t="shared" si="12"/>
        <v>0</v>
      </c>
      <c r="M94" s="304">
        <f t="shared" si="12"/>
        <v>0</v>
      </c>
      <c r="N94" s="273"/>
      <c r="O94" s="274"/>
      <c r="P94" s="274"/>
      <c r="Q94" s="275"/>
      <c r="R94" s="5"/>
      <c r="S94" s="6"/>
      <c r="T94" s="7"/>
      <c r="U94" s="8"/>
    </row>
    <row r="95" spans="1:21" ht="17.25" thickBot="1" x14ac:dyDescent="0.35">
      <c r="A95" s="294"/>
      <c r="B95" s="295"/>
      <c r="C95" s="295"/>
      <c r="D95" s="295"/>
      <c r="E95" s="295"/>
      <c r="F95" s="295"/>
      <c r="G95" s="295"/>
      <c r="H95" s="295"/>
      <c r="I95" s="299"/>
      <c r="J95" s="299"/>
      <c r="K95" s="299"/>
      <c r="L95" s="302"/>
      <c r="M95" s="305"/>
      <c r="N95" s="276"/>
      <c r="O95" s="277"/>
      <c r="P95" s="277"/>
      <c r="Q95" s="278"/>
      <c r="R95" s="1"/>
      <c r="S95" s="2"/>
      <c r="T95" s="3"/>
      <c r="U95" s="4"/>
    </row>
    <row r="96" spans="1:21" ht="17.25" thickBot="1" x14ac:dyDescent="0.35">
      <c r="A96" s="296"/>
      <c r="B96" s="297"/>
      <c r="C96" s="297"/>
      <c r="D96" s="297"/>
      <c r="E96" s="297"/>
      <c r="F96" s="297"/>
      <c r="G96" s="297"/>
      <c r="H96" s="297"/>
      <c r="I96" s="300"/>
      <c r="J96" s="300"/>
      <c r="K96" s="300"/>
      <c r="L96" s="303"/>
      <c r="M96" s="306"/>
      <c r="N96" s="279"/>
      <c r="O96" s="280"/>
      <c r="P96" s="280"/>
      <c r="Q96" s="281"/>
      <c r="R96" s="282" t="s">
        <v>52</v>
      </c>
      <c r="S96" s="283"/>
      <c r="T96" s="283"/>
      <c r="U96" s="284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30" workbookViewId="0">
      <selection activeCell="V36" sqref="V36:Z36"/>
    </sheetView>
  </sheetViews>
  <sheetFormatPr defaultColWidth="9" defaultRowHeight="16.5" x14ac:dyDescent="0.3"/>
  <cols>
    <col min="1" max="477" width="2.625" style="14" customWidth="1"/>
    <col min="478" max="16384" width="9" style="14"/>
  </cols>
  <sheetData>
    <row r="1" spans="1:30" ht="32.25" customHeight="1" x14ac:dyDescent="0.3">
      <c r="A1" s="592"/>
      <c r="B1" s="592"/>
      <c r="C1" s="592"/>
      <c r="D1" s="592"/>
      <c r="E1" s="591" t="s">
        <v>59</v>
      </c>
      <c r="F1" s="591"/>
      <c r="G1" s="591"/>
      <c r="H1" s="591" t="s">
        <v>60</v>
      </c>
      <c r="I1" s="591"/>
      <c r="J1" s="591"/>
      <c r="K1" s="591"/>
      <c r="L1" s="591" t="s">
        <v>61</v>
      </c>
      <c r="M1" s="591"/>
      <c r="N1" s="591"/>
      <c r="O1" s="591"/>
      <c r="P1" s="591"/>
      <c r="Q1" s="591" t="s">
        <v>62</v>
      </c>
      <c r="R1" s="591"/>
      <c r="S1" s="591"/>
      <c r="T1" s="591"/>
      <c r="U1" s="591"/>
      <c r="V1" s="591" t="s">
        <v>63</v>
      </c>
      <c r="W1" s="591"/>
      <c r="X1" s="591"/>
      <c r="Y1" s="591"/>
      <c r="Z1" s="591"/>
      <c r="AA1" s="591" t="s">
        <v>64</v>
      </c>
      <c r="AB1" s="591"/>
      <c r="AC1" s="591"/>
      <c r="AD1" s="591"/>
    </row>
    <row r="2" spans="1:30" ht="20.100000000000001" customHeight="1" x14ac:dyDescent="0.3">
      <c r="A2" s="672" t="s">
        <v>66</v>
      </c>
      <c r="B2" s="483" t="s">
        <v>57</v>
      </c>
      <c r="C2" s="483"/>
      <c r="D2" s="507"/>
      <c r="E2" s="507">
        <f>MON!N31</f>
        <v>7</v>
      </c>
      <c r="F2" s="507"/>
      <c r="G2" s="507"/>
      <c r="H2" s="476">
        <f>MON!S31</f>
        <v>670</v>
      </c>
      <c r="I2" s="476"/>
      <c r="J2" s="476"/>
      <c r="K2" s="476"/>
      <c r="L2" s="477">
        <f>MON!N32</f>
        <v>0.27836520684196753</v>
      </c>
      <c r="M2" s="477"/>
      <c r="N2" s="477"/>
      <c r="O2" s="477"/>
      <c r="P2" s="477"/>
      <c r="Q2" s="537">
        <f>SUM(E2:G5)</f>
        <v>20</v>
      </c>
      <c r="R2" s="538"/>
      <c r="S2" s="538"/>
      <c r="T2" s="538"/>
      <c r="U2" s="539"/>
      <c r="V2" s="602">
        <f>SUM(H2,H3,H5)</f>
        <v>2227.75</v>
      </c>
      <c r="W2" s="603"/>
      <c r="X2" s="603"/>
      <c r="Y2" s="603"/>
      <c r="Z2" s="604"/>
      <c r="AA2" s="611">
        <f>V2/Q2</f>
        <v>111.3875</v>
      </c>
      <c r="AB2" s="612"/>
      <c r="AC2" s="612"/>
      <c r="AD2" s="613"/>
    </row>
    <row r="3" spans="1:30" ht="20.100000000000001" customHeight="1" x14ac:dyDescent="0.3">
      <c r="A3" s="673"/>
      <c r="B3" s="483" t="s">
        <v>58</v>
      </c>
      <c r="C3" s="483"/>
      <c r="D3" s="507"/>
      <c r="E3" s="507">
        <f>MON!O31</f>
        <v>7</v>
      </c>
      <c r="F3" s="507"/>
      <c r="G3" s="507"/>
      <c r="H3" s="476">
        <f>MON!S32</f>
        <v>1337.75</v>
      </c>
      <c r="I3" s="476"/>
      <c r="J3" s="476"/>
      <c r="K3" s="476"/>
      <c r="L3" s="477">
        <f>MON!O32</f>
        <v>0.55579560515349558</v>
      </c>
      <c r="M3" s="477"/>
      <c r="N3" s="477"/>
      <c r="O3" s="477"/>
      <c r="P3" s="477"/>
      <c r="Q3" s="540"/>
      <c r="R3" s="541"/>
      <c r="S3" s="541"/>
      <c r="T3" s="541"/>
      <c r="U3" s="542"/>
      <c r="V3" s="605"/>
      <c r="W3" s="606"/>
      <c r="X3" s="606"/>
      <c r="Y3" s="606"/>
      <c r="Z3" s="607"/>
      <c r="AA3" s="614"/>
      <c r="AB3" s="615"/>
      <c r="AC3" s="615"/>
      <c r="AD3" s="616"/>
    </row>
    <row r="4" spans="1:30" ht="20.100000000000001" customHeight="1" x14ac:dyDescent="0.3">
      <c r="A4" s="673"/>
      <c r="B4" s="483" t="s">
        <v>45</v>
      </c>
      <c r="C4" s="483"/>
      <c r="D4" s="507"/>
      <c r="E4" s="507">
        <f>MON!P31</f>
        <v>2</v>
      </c>
      <c r="F4" s="507"/>
      <c r="G4" s="507"/>
      <c r="H4" s="476">
        <f>MON!K31</f>
        <v>179.16</v>
      </c>
      <c r="I4" s="476"/>
      <c r="J4" s="476"/>
      <c r="K4" s="476"/>
      <c r="L4" s="477">
        <f>MON!P32</f>
        <v>7.4435687250458057E-2</v>
      </c>
      <c r="M4" s="477"/>
      <c r="N4" s="477"/>
      <c r="O4" s="477"/>
      <c r="P4" s="477"/>
      <c r="Q4" s="540"/>
      <c r="R4" s="541"/>
      <c r="S4" s="541"/>
      <c r="T4" s="541"/>
      <c r="U4" s="542"/>
      <c r="V4" s="605"/>
      <c r="W4" s="606"/>
      <c r="X4" s="606"/>
      <c r="Y4" s="606"/>
      <c r="Z4" s="607"/>
      <c r="AA4" s="614"/>
      <c r="AB4" s="615"/>
      <c r="AC4" s="615"/>
      <c r="AD4" s="616"/>
    </row>
    <row r="5" spans="1:30" ht="20.100000000000001" customHeight="1" x14ac:dyDescent="0.3">
      <c r="A5" s="673"/>
      <c r="B5" s="481" t="s">
        <v>65</v>
      </c>
      <c r="C5" s="482"/>
      <c r="D5" s="483"/>
      <c r="E5" s="481">
        <f>MON!Q31</f>
        <v>4</v>
      </c>
      <c r="F5" s="482"/>
      <c r="G5" s="483"/>
      <c r="H5" s="529">
        <f>MON!J31</f>
        <v>220</v>
      </c>
      <c r="I5" s="530"/>
      <c r="J5" s="530"/>
      <c r="K5" s="531"/>
      <c r="L5" s="532">
        <f>MON!Q32</f>
        <v>9.1403500754078881E-2</v>
      </c>
      <c r="M5" s="533"/>
      <c r="N5" s="533"/>
      <c r="O5" s="533"/>
      <c r="P5" s="534"/>
      <c r="Q5" s="543"/>
      <c r="R5" s="544"/>
      <c r="S5" s="544"/>
      <c r="T5" s="544"/>
      <c r="U5" s="545"/>
      <c r="V5" s="608"/>
      <c r="W5" s="609"/>
      <c r="X5" s="609"/>
      <c r="Y5" s="609"/>
      <c r="Z5" s="610"/>
      <c r="AA5" s="617"/>
      <c r="AB5" s="618"/>
      <c r="AC5" s="618"/>
      <c r="AD5" s="619"/>
    </row>
    <row r="6" spans="1:30" ht="20.100000000000001" customHeight="1" x14ac:dyDescent="0.3">
      <c r="A6" s="674"/>
      <c r="B6" s="481" t="s">
        <v>94</v>
      </c>
      <c r="C6" s="482"/>
      <c r="D6" s="483"/>
      <c r="E6" s="481">
        <f>MON!U16</f>
        <v>35.25</v>
      </c>
      <c r="F6" s="482"/>
      <c r="G6" s="483"/>
      <c r="H6" s="529" t="s">
        <v>95</v>
      </c>
      <c r="I6" s="530"/>
      <c r="J6" s="530"/>
      <c r="K6" s="531"/>
      <c r="L6" s="585">
        <f>MON!T2</f>
        <v>4</v>
      </c>
      <c r="M6" s="586"/>
      <c r="N6" s="586"/>
      <c r="O6" s="586"/>
      <c r="P6" s="587"/>
      <c r="Q6" s="588"/>
      <c r="R6" s="589"/>
      <c r="S6" s="589"/>
      <c r="T6" s="589"/>
      <c r="U6" s="590"/>
      <c r="V6" s="693"/>
      <c r="W6" s="694"/>
      <c r="X6" s="694"/>
      <c r="Y6" s="694"/>
      <c r="Z6" s="695"/>
      <c r="AA6" s="696"/>
      <c r="AB6" s="697"/>
      <c r="AC6" s="697"/>
      <c r="AD6" s="698"/>
    </row>
    <row r="7" spans="1:30" ht="20.100000000000001" customHeight="1" x14ac:dyDescent="0.3">
      <c r="A7" s="675" t="s">
        <v>67</v>
      </c>
      <c r="B7" s="499" t="s">
        <v>57</v>
      </c>
      <c r="C7" s="499"/>
      <c r="D7" s="500"/>
      <c r="E7" s="500">
        <f>TUE!N31</f>
        <v>9</v>
      </c>
      <c r="F7" s="500"/>
      <c r="G7" s="500"/>
      <c r="H7" s="478">
        <f>TUE!S31</f>
        <v>650</v>
      </c>
      <c r="I7" s="478"/>
      <c r="J7" s="478"/>
      <c r="K7" s="478"/>
      <c r="L7" s="491">
        <f>TUE!N32</f>
        <v>0.36642426292350189</v>
      </c>
      <c r="M7" s="492"/>
      <c r="N7" s="492"/>
      <c r="O7" s="492"/>
      <c r="P7" s="493"/>
      <c r="Q7" s="567">
        <f>SUM(E7:G10)</f>
        <v>15</v>
      </c>
      <c r="R7" s="568"/>
      <c r="S7" s="568"/>
      <c r="T7" s="568"/>
      <c r="U7" s="569"/>
      <c r="V7" s="593">
        <f>SUM(H7,H8,H10)</f>
        <v>1773.9</v>
      </c>
      <c r="W7" s="594"/>
      <c r="X7" s="594"/>
      <c r="Y7" s="594"/>
      <c r="Z7" s="595"/>
      <c r="AA7" s="620">
        <f>V7/Q7</f>
        <v>118.26</v>
      </c>
      <c r="AB7" s="621"/>
      <c r="AC7" s="621"/>
      <c r="AD7" s="622"/>
    </row>
    <row r="8" spans="1:30" ht="20.100000000000001" customHeight="1" x14ac:dyDescent="0.3">
      <c r="A8" s="676"/>
      <c r="B8" s="499" t="s">
        <v>58</v>
      </c>
      <c r="C8" s="499"/>
      <c r="D8" s="500"/>
      <c r="E8" s="500">
        <f>TUE!O31</f>
        <v>5</v>
      </c>
      <c r="F8" s="500"/>
      <c r="G8" s="500"/>
      <c r="H8" s="478">
        <f>TUE!S32</f>
        <v>1068.9000000000001</v>
      </c>
      <c r="I8" s="478"/>
      <c r="J8" s="478"/>
      <c r="K8" s="478"/>
      <c r="L8" s="491">
        <f>TUE!O32</f>
        <v>0.6025706071368172</v>
      </c>
      <c r="M8" s="492"/>
      <c r="N8" s="492"/>
      <c r="O8" s="492"/>
      <c r="P8" s="493"/>
      <c r="Q8" s="570"/>
      <c r="R8" s="571"/>
      <c r="S8" s="571"/>
      <c r="T8" s="571"/>
      <c r="U8" s="572"/>
      <c r="V8" s="596"/>
      <c r="W8" s="597"/>
      <c r="X8" s="597"/>
      <c r="Y8" s="597"/>
      <c r="Z8" s="598"/>
      <c r="AA8" s="623"/>
      <c r="AB8" s="624"/>
      <c r="AC8" s="624"/>
      <c r="AD8" s="625"/>
    </row>
    <row r="9" spans="1:30" ht="20.100000000000001" customHeight="1" x14ac:dyDescent="0.3">
      <c r="A9" s="676"/>
      <c r="B9" s="499" t="s">
        <v>45</v>
      </c>
      <c r="C9" s="499"/>
      <c r="D9" s="500"/>
      <c r="E9" s="500">
        <f>TUE!P31</f>
        <v>0</v>
      </c>
      <c r="F9" s="500"/>
      <c r="G9" s="500"/>
      <c r="H9" s="478">
        <f>TUE!K31</f>
        <v>0</v>
      </c>
      <c r="I9" s="478"/>
      <c r="J9" s="478"/>
      <c r="K9" s="478"/>
      <c r="L9" s="491">
        <f>TUE!P32</f>
        <v>0</v>
      </c>
      <c r="M9" s="492"/>
      <c r="N9" s="492"/>
      <c r="O9" s="492"/>
      <c r="P9" s="493"/>
      <c r="Q9" s="570"/>
      <c r="R9" s="571"/>
      <c r="S9" s="571"/>
      <c r="T9" s="571"/>
      <c r="U9" s="572"/>
      <c r="V9" s="596"/>
      <c r="W9" s="597"/>
      <c r="X9" s="597"/>
      <c r="Y9" s="597"/>
      <c r="Z9" s="598"/>
      <c r="AA9" s="623"/>
      <c r="AB9" s="624"/>
      <c r="AC9" s="624"/>
      <c r="AD9" s="625"/>
    </row>
    <row r="10" spans="1:30" ht="20.100000000000001" customHeight="1" x14ac:dyDescent="0.3">
      <c r="A10" s="676"/>
      <c r="B10" s="535" t="s">
        <v>65</v>
      </c>
      <c r="C10" s="536"/>
      <c r="D10" s="499"/>
      <c r="E10" s="535">
        <f>TUE!Q31</f>
        <v>1</v>
      </c>
      <c r="F10" s="536"/>
      <c r="G10" s="499"/>
      <c r="H10" s="508">
        <f>TUE!J31</f>
        <v>55</v>
      </c>
      <c r="I10" s="509"/>
      <c r="J10" s="509"/>
      <c r="K10" s="510"/>
      <c r="L10" s="491">
        <f>TUE!Q32</f>
        <v>3.1005129939680926E-2</v>
      </c>
      <c r="M10" s="492"/>
      <c r="N10" s="492"/>
      <c r="O10" s="492"/>
      <c r="P10" s="493"/>
      <c r="Q10" s="573"/>
      <c r="R10" s="574"/>
      <c r="S10" s="574"/>
      <c r="T10" s="574"/>
      <c r="U10" s="575"/>
      <c r="V10" s="599"/>
      <c r="W10" s="600"/>
      <c r="X10" s="600"/>
      <c r="Y10" s="600"/>
      <c r="Z10" s="601"/>
      <c r="AA10" s="626"/>
      <c r="AB10" s="627"/>
      <c r="AC10" s="627"/>
      <c r="AD10" s="628"/>
    </row>
    <row r="11" spans="1:30" ht="20.100000000000001" customHeight="1" x14ac:dyDescent="0.3">
      <c r="A11" s="677"/>
      <c r="B11" s="535" t="s">
        <v>94</v>
      </c>
      <c r="C11" s="536"/>
      <c r="D11" s="499"/>
      <c r="E11" s="535">
        <f>TUE!U16</f>
        <v>33.5</v>
      </c>
      <c r="F11" s="536"/>
      <c r="G11" s="499"/>
      <c r="H11" s="508" t="s">
        <v>95</v>
      </c>
      <c r="I11" s="509"/>
      <c r="J11" s="509"/>
      <c r="K11" s="510"/>
      <c r="L11" s="699">
        <f>TUE!T2</f>
        <v>3</v>
      </c>
      <c r="M11" s="700"/>
      <c r="N11" s="700"/>
      <c r="O11" s="700"/>
      <c r="P11" s="701"/>
      <c r="Q11" s="702"/>
      <c r="R11" s="703"/>
      <c r="S11" s="703"/>
      <c r="T11" s="703"/>
      <c r="U11" s="704"/>
      <c r="V11" s="705"/>
      <c r="W11" s="706"/>
      <c r="X11" s="706"/>
      <c r="Y11" s="706"/>
      <c r="Z11" s="707"/>
      <c r="AA11" s="708"/>
      <c r="AB11" s="709"/>
      <c r="AC11" s="709"/>
      <c r="AD11" s="710"/>
    </row>
    <row r="12" spans="1:30" ht="20.100000000000001" customHeight="1" x14ac:dyDescent="0.3">
      <c r="A12" s="678" t="s">
        <v>68</v>
      </c>
      <c r="B12" s="484" t="s">
        <v>57</v>
      </c>
      <c r="C12" s="484"/>
      <c r="D12" s="295"/>
      <c r="E12" s="295">
        <f>WED!N31</f>
        <v>3</v>
      </c>
      <c r="F12" s="295"/>
      <c r="G12" s="295"/>
      <c r="H12" s="485">
        <f>WED!S31</f>
        <v>365</v>
      </c>
      <c r="I12" s="486"/>
      <c r="J12" s="486"/>
      <c r="K12" s="487"/>
      <c r="L12" s="488">
        <f>WED!N32</f>
        <v>0.28199482365666168</v>
      </c>
      <c r="M12" s="489"/>
      <c r="N12" s="489"/>
      <c r="O12" s="489"/>
      <c r="P12" s="490"/>
      <c r="Q12" s="546">
        <f>SUM(E12:G15)</f>
        <v>11</v>
      </c>
      <c r="R12" s="547"/>
      <c r="S12" s="547"/>
      <c r="T12" s="547"/>
      <c r="U12" s="548"/>
      <c r="V12" s="720">
        <f>SUM(H12,H13,H15)</f>
        <v>1294.3499999999999</v>
      </c>
      <c r="W12" s="721"/>
      <c r="X12" s="721"/>
      <c r="Y12" s="721"/>
      <c r="Z12" s="722"/>
      <c r="AA12" s="711">
        <f>V12/Q12</f>
        <v>117.66818181818181</v>
      </c>
      <c r="AB12" s="712"/>
      <c r="AC12" s="712"/>
      <c r="AD12" s="713"/>
    </row>
    <row r="13" spans="1:30" ht="20.100000000000001" customHeight="1" x14ac:dyDescent="0.3">
      <c r="A13" s="679"/>
      <c r="B13" s="484" t="s">
        <v>58</v>
      </c>
      <c r="C13" s="484"/>
      <c r="D13" s="295"/>
      <c r="E13" s="295">
        <f>WED!O31</f>
        <v>8</v>
      </c>
      <c r="F13" s="295"/>
      <c r="G13" s="295"/>
      <c r="H13" s="485">
        <f>WED!S32</f>
        <v>929.35</v>
      </c>
      <c r="I13" s="486"/>
      <c r="J13" s="486"/>
      <c r="K13" s="487"/>
      <c r="L13" s="488">
        <f>WED!O32</f>
        <v>0.71800517634333838</v>
      </c>
      <c r="M13" s="489"/>
      <c r="N13" s="489"/>
      <c r="O13" s="489"/>
      <c r="P13" s="490"/>
      <c r="Q13" s="549"/>
      <c r="R13" s="550"/>
      <c r="S13" s="550"/>
      <c r="T13" s="550"/>
      <c r="U13" s="551"/>
      <c r="V13" s="723"/>
      <c r="W13" s="724"/>
      <c r="X13" s="724"/>
      <c r="Y13" s="724"/>
      <c r="Z13" s="725"/>
      <c r="AA13" s="714"/>
      <c r="AB13" s="715"/>
      <c r="AC13" s="715"/>
      <c r="AD13" s="716"/>
    </row>
    <row r="14" spans="1:30" ht="20.100000000000001" customHeight="1" x14ac:dyDescent="0.3">
      <c r="A14" s="679"/>
      <c r="B14" s="484" t="s">
        <v>45</v>
      </c>
      <c r="C14" s="484"/>
      <c r="D14" s="295"/>
      <c r="E14" s="295">
        <f>WED!P31</f>
        <v>0</v>
      </c>
      <c r="F14" s="295"/>
      <c r="G14" s="295"/>
      <c r="H14" s="485">
        <f>WED!K31</f>
        <v>0</v>
      </c>
      <c r="I14" s="486"/>
      <c r="J14" s="486"/>
      <c r="K14" s="487"/>
      <c r="L14" s="488">
        <f>WED!P32</f>
        <v>0</v>
      </c>
      <c r="M14" s="489"/>
      <c r="N14" s="489"/>
      <c r="O14" s="489"/>
      <c r="P14" s="490"/>
      <c r="Q14" s="549"/>
      <c r="R14" s="550"/>
      <c r="S14" s="550"/>
      <c r="T14" s="550"/>
      <c r="U14" s="551"/>
      <c r="V14" s="723"/>
      <c r="W14" s="724"/>
      <c r="X14" s="724"/>
      <c r="Y14" s="724"/>
      <c r="Z14" s="725"/>
      <c r="AA14" s="714"/>
      <c r="AB14" s="715"/>
      <c r="AC14" s="715"/>
      <c r="AD14" s="716"/>
    </row>
    <row r="15" spans="1:30" ht="20.100000000000001" customHeight="1" x14ac:dyDescent="0.3">
      <c r="A15" s="679"/>
      <c r="B15" s="501" t="s">
        <v>65</v>
      </c>
      <c r="C15" s="502"/>
      <c r="D15" s="484"/>
      <c r="E15" s="501">
        <f>WED!Q31</f>
        <v>0</v>
      </c>
      <c r="F15" s="502"/>
      <c r="G15" s="484"/>
      <c r="H15" s="485">
        <f>WED!J31</f>
        <v>0</v>
      </c>
      <c r="I15" s="486"/>
      <c r="J15" s="486"/>
      <c r="K15" s="487"/>
      <c r="L15" s="488">
        <f>WED!Q32</f>
        <v>0</v>
      </c>
      <c r="M15" s="489"/>
      <c r="N15" s="489"/>
      <c r="O15" s="489"/>
      <c r="P15" s="490"/>
      <c r="Q15" s="552"/>
      <c r="R15" s="553"/>
      <c r="S15" s="553"/>
      <c r="T15" s="553"/>
      <c r="U15" s="554"/>
      <c r="V15" s="726"/>
      <c r="W15" s="727"/>
      <c r="X15" s="727"/>
      <c r="Y15" s="727"/>
      <c r="Z15" s="728"/>
      <c r="AA15" s="717"/>
      <c r="AB15" s="718"/>
      <c r="AC15" s="718"/>
      <c r="AD15" s="719"/>
    </row>
    <row r="16" spans="1:30" ht="20.100000000000001" customHeight="1" x14ac:dyDescent="0.3">
      <c r="A16" s="680"/>
      <c r="B16" s="501" t="s">
        <v>94</v>
      </c>
      <c r="C16" s="502"/>
      <c r="D16" s="484"/>
      <c r="E16" s="501">
        <f>WED!U16</f>
        <v>25</v>
      </c>
      <c r="F16" s="502"/>
      <c r="G16" s="484"/>
      <c r="H16" s="485" t="s">
        <v>95</v>
      </c>
      <c r="I16" s="486"/>
      <c r="J16" s="486"/>
      <c r="K16" s="487"/>
      <c r="L16" s="504">
        <f>WED!T2</f>
        <v>4</v>
      </c>
      <c r="M16" s="505"/>
      <c r="N16" s="505"/>
      <c r="O16" s="505"/>
      <c r="P16" s="506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 x14ac:dyDescent="0.3">
      <c r="A17" s="681" t="s">
        <v>69</v>
      </c>
      <c r="B17" s="448" t="s">
        <v>57</v>
      </c>
      <c r="C17" s="448"/>
      <c r="D17" s="495"/>
      <c r="E17" s="495">
        <f>THU!N31</f>
        <v>5</v>
      </c>
      <c r="F17" s="495"/>
      <c r="G17" s="495"/>
      <c r="H17" s="503">
        <f>THU!S31</f>
        <v>435</v>
      </c>
      <c r="I17" s="503"/>
      <c r="J17" s="503"/>
      <c r="K17" s="503"/>
      <c r="L17" s="494">
        <f>THU!N32</f>
        <v>0.38701067615658363</v>
      </c>
      <c r="M17" s="494"/>
      <c r="N17" s="494"/>
      <c r="O17" s="494"/>
      <c r="P17" s="494"/>
      <c r="Q17" s="576">
        <f>SUM(E17:G20)</f>
        <v>13</v>
      </c>
      <c r="R17" s="577"/>
      <c r="S17" s="577"/>
      <c r="T17" s="577"/>
      <c r="U17" s="578"/>
      <c r="V17" s="520">
        <f>SUM(H17,H18,H20)</f>
        <v>886.7</v>
      </c>
      <c r="W17" s="521"/>
      <c r="X17" s="521"/>
      <c r="Y17" s="521"/>
      <c r="Z17" s="522"/>
      <c r="AA17" s="511">
        <f>V17/Q17</f>
        <v>68.207692307692312</v>
      </c>
      <c r="AB17" s="512"/>
      <c r="AC17" s="512"/>
      <c r="AD17" s="513"/>
    </row>
    <row r="18" spans="1:30" ht="20.100000000000001" customHeight="1" x14ac:dyDescent="0.3">
      <c r="A18" s="682"/>
      <c r="B18" s="448" t="s">
        <v>58</v>
      </c>
      <c r="C18" s="448"/>
      <c r="D18" s="495"/>
      <c r="E18" s="495">
        <f>THU!O31</f>
        <v>4</v>
      </c>
      <c r="F18" s="495"/>
      <c r="G18" s="495"/>
      <c r="H18" s="503">
        <f>THU!S32</f>
        <v>341.7</v>
      </c>
      <c r="I18" s="503"/>
      <c r="J18" s="503"/>
      <c r="K18" s="503"/>
      <c r="L18" s="494">
        <f>THU!O32</f>
        <v>0.3040035587188612</v>
      </c>
      <c r="M18" s="494"/>
      <c r="N18" s="494"/>
      <c r="O18" s="494"/>
      <c r="P18" s="494"/>
      <c r="Q18" s="579"/>
      <c r="R18" s="580"/>
      <c r="S18" s="580"/>
      <c r="T18" s="580"/>
      <c r="U18" s="581"/>
      <c r="V18" s="523"/>
      <c r="W18" s="524"/>
      <c r="X18" s="524"/>
      <c r="Y18" s="524"/>
      <c r="Z18" s="525"/>
      <c r="AA18" s="514"/>
      <c r="AB18" s="515"/>
      <c r="AC18" s="515"/>
      <c r="AD18" s="516"/>
    </row>
    <row r="19" spans="1:30" ht="20.100000000000001" customHeight="1" x14ac:dyDescent="0.3">
      <c r="A19" s="682"/>
      <c r="B19" s="448" t="s">
        <v>45</v>
      </c>
      <c r="C19" s="448"/>
      <c r="D19" s="495"/>
      <c r="E19" s="495">
        <f>THU!P31</f>
        <v>3</v>
      </c>
      <c r="F19" s="495"/>
      <c r="G19" s="495"/>
      <c r="H19" s="503">
        <f>THU!K31</f>
        <v>237.29999999999998</v>
      </c>
      <c r="I19" s="503"/>
      <c r="J19" s="503"/>
      <c r="K19" s="503"/>
      <c r="L19" s="494">
        <f>THU!P32</f>
        <v>0.21112099644128113</v>
      </c>
      <c r="M19" s="494"/>
      <c r="N19" s="494"/>
      <c r="O19" s="494"/>
      <c r="P19" s="494"/>
      <c r="Q19" s="579"/>
      <c r="R19" s="580"/>
      <c r="S19" s="580"/>
      <c r="T19" s="580"/>
      <c r="U19" s="581"/>
      <c r="V19" s="523"/>
      <c r="W19" s="524"/>
      <c r="X19" s="524"/>
      <c r="Y19" s="524"/>
      <c r="Z19" s="525"/>
      <c r="AA19" s="514"/>
      <c r="AB19" s="515"/>
      <c r="AC19" s="515"/>
      <c r="AD19" s="516"/>
    </row>
    <row r="20" spans="1:30" ht="20.100000000000001" customHeight="1" x14ac:dyDescent="0.3">
      <c r="A20" s="682"/>
      <c r="B20" s="446" t="s">
        <v>65</v>
      </c>
      <c r="C20" s="447"/>
      <c r="D20" s="448"/>
      <c r="E20" s="446">
        <f>THU!Q31</f>
        <v>1</v>
      </c>
      <c r="F20" s="447"/>
      <c r="G20" s="448"/>
      <c r="H20" s="440">
        <f>THU!J31</f>
        <v>110</v>
      </c>
      <c r="I20" s="441"/>
      <c r="J20" s="441"/>
      <c r="K20" s="442"/>
      <c r="L20" s="496">
        <f>THU!Q32</f>
        <v>9.7864768683274025E-2</v>
      </c>
      <c r="M20" s="497"/>
      <c r="N20" s="497"/>
      <c r="O20" s="497"/>
      <c r="P20" s="498"/>
      <c r="Q20" s="582"/>
      <c r="R20" s="583"/>
      <c r="S20" s="583"/>
      <c r="T20" s="583"/>
      <c r="U20" s="584"/>
      <c r="V20" s="526"/>
      <c r="W20" s="527"/>
      <c r="X20" s="527"/>
      <c r="Y20" s="527"/>
      <c r="Z20" s="528"/>
      <c r="AA20" s="517"/>
      <c r="AB20" s="518"/>
      <c r="AC20" s="518"/>
      <c r="AD20" s="519"/>
    </row>
    <row r="21" spans="1:30" ht="20.100000000000001" customHeight="1" x14ac:dyDescent="0.3">
      <c r="A21" s="683"/>
      <c r="B21" s="446" t="s">
        <v>94</v>
      </c>
      <c r="C21" s="447"/>
      <c r="D21" s="448"/>
      <c r="E21" s="446">
        <f>THU!U16</f>
        <v>38.75</v>
      </c>
      <c r="F21" s="447"/>
      <c r="G21" s="448"/>
      <c r="H21" s="440" t="s">
        <v>95</v>
      </c>
      <c r="I21" s="441"/>
      <c r="J21" s="441"/>
      <c r="K21" s="442"/>
      <c r="L21" s="405">
        <f>THU!T2</f>
        <v>5</v>
      </c>
      <c r="M21" s="406"/>
      <c r="N21" s="406"/>
      <c r="O21" s="406"/>
      <c r="P21" s="407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 x14ac:dyDescent="0.3">
      <c r="A22" s="684" t="s">
        <v>93</v>
      </c>
      <c r="B22" s="403" t="s">
        <v>57</v>
      </c>
      <c r="C22" s="403"/>
      <c r="D22" s="404"/>
      <c r="E22" s="404">
        <f>FRI!N31</f>
        <v>3</v>
      </c>
      <c r="F22" s="404"/>
      <c r="G22" s="404"/>
      <c r="H22" s="479">
        <f>FRI!S31</f>
        <v>225</v>
      </c>
      <c r="I22" s="479"/>
      <c r="J22" s="479"/>
      <c r="K22" s="479"/>
      <c r="L22" s="480">
        <f>FRI!N32</f>
        <v>0.21281023002421309</v>
      </c>
      <c r="M22" s="480"/>
      <c r="N22" s="480"/>
      <c r="O22" s="480"/>
      <c r="P22" s="480"/>
      <c r="Q22" s="458">
        <f>SUM(E22:G25)</f>
        <v>11</v>
      </c>
      <c r="R22" s="459"/>
      <c r="S22" s="459"/>
      <c r="T22" s="459"/>
      <c r="U22" s="460"/>
      <c r="V22" s="467">
        <f>SUM(H22,H23,H25)</f>
        <v>445</v>
      </c>
      <c r="W22" s="468"/>
      <c r="X22" s="468"/>
      <c r="Y22" s="468"/>
      <c r="Z22" s="469"/>
      <c r="AA22" s="411">
        <f>V22/Q22</f>
        <v>40.454545454545453</v>
      </c>
      <c r="AB22" s="412"/>
      <c r="AC22" s="412"/>
      <c r="AD22" s="413"/>
    </row>
    <row r="23" spans="1:30" ht="20.100000000000001" customHeight="1" x14ac:dyDescent="0.3">
      <c r="A23" s="685"/>
      <c r="B23" s="403" t="s">
        <v>58</v>
      </c>
      <c r="C23" s="403"/>
      <c r="D23" s="404"/>
      <c r="E23" s="404">
        <f>FRI!O31</f>
        <v>5</v>
      </c>
      <c r="F23" s="404"/>
      <c r="G23" s="404"/>
      <c r="H23" s="479">
        <f>FRI!IS32</f>
        <v>0</v>
      </c>
      <c r="I23" s="479"/>
      <c r="J23" s="479"/>
      <c r="K23" s="479"/>
      <c r="L23" s="480">
        <f>FRI!O32</f>
        <v>0.47191850786924938</v>
      </c>
      <c r="M23" s="480"/>
      <c r="N23" s="480"/>
      <c r="O23" s="480"/>
      <c r="P23" s="480"/>
      <c r="Q23" s="461"/>
      <c r="R23" s="462"/>
      <c r="S23" s="462"/>
      <c r="T23" s="462"/>
      <c r="U23" s="463"/>
      <c r="V23" s="470"/>
      <c r="W23" s="471"/>
      <c r="X23" s="471"/>
      <c r="Y23" s="471"/>
      <c r="Z23" s="472"/>
      <c r="AA23" s="414"/>
      <c r="AB23" s="415"/>
      <c r="AC23" s="415"/>
      <c r="AD23" s="416"/>
    </row>
    <row r="24" spans="1:30" ht="20.100000000000001" customHeight="1" x14ac:dyDescent="0.3">
      <c r="A24" s="685"/>
      <c r="B24" s="403" t="s">
        <v>45</v>
      </c>
      <c r="C24" s="403"/>
      <c r="D24" s="404"/>
      <c r="E24" s="404">
        <f>FRI!P31</f>
        <v>1</v>
      </c>
      <c r="F24" s="404"/>
      <c r="G24" s="404"/>
      <c r="H24" s="479">
        <f>FRI!K31</f>
        <v>113.33</v>
      </c>
      <c r="I24" s="479"/>
      <c r="J24" s="479"/>
      <c r="K24" s="479"/>
      <c r="L24" s="480">
        <f>FRI!P32</f>
        <v>0.10719014830508475</v>
      </c>
      <c r="M24" s="480"/>
      <c r="N24" s="480"/>
      <c r="O24" s="480"/>
      <c r="P24" s="480"/>
      <c r="Q24" s="461"/>
      <c r="R24" s="462"/>
      <c r="S24" s="462"/>
      <c r="T24" s="462"/>
      <c r="U24" s="463"/>
      <c r="V24" s="470"/>
      <c r="W24" s="471"/>
      <c r="X24" s="471"/>
      <c r="Y24" s="471"/>
      <c r="Z24" s="472"/>
      <c r="AA24" s="414"/>
      <c r="AB24" s="415"/>
      <c r="AC24" s="415"/>
      <c r="AD24" s="416"/>
    </row>
    <row r="25" spans="1:30" ht="20.100000000000001" customHeight="1" x14ac:dyDescent="0.3">
      <c r="A25" s="685"/>
      <c r="B25" s="449" t="s">
        <v>65</v>
      </c>
      <c r="C25" s="450"/>
      <c r="D25" s="403"/>
      <c r="E25" s="449">
        <f>FRI!Q31</f>
        <v>2</v>
      </c>
      <c r="F25" s="450"/>
      <c r="G25" s="403"/>
      <c r="H25" s="443">
        <f>FRI!J31</f>
        <v>220</v>
      </c>
      <c r="I25" s="444"/>
      <c r="J25" s="444"/>
      <c r="K25" s="445"/>
      <c r="L25" s="455">
        <f>FRI!Q32</f>
        <v>0.20808111380145278</v>
      </c>
      <c r="M25" s="456"/>
      <c r="N25" s="456"/>
      <c r="O25" s="456"/>
      <c r="P25" s="457"/>
      <c r="Q25" s="464"/>
      <c r="R25" s="465"/>
      <c r="S25" s="465"/>
      <c r="T25" s="465"/>
      <c r="U25" s="466"/>
      <c r="V25" s="473"/>
      <c r="W25" s="474"/>
      <c r="X25" s="474"/>
      <c r="Y25" s="474"/>
      <c r="Z25" s="475"/>
      <c r="AA25" s="417"/>
      <c r="AB25" s="418"/>
      <c r="AC25" s="418"/>
      <c r="AD25" s="419"/>
    </row>
    <row r="26" spans="1:30" ht="20.100000000000001" customHeight="1" x14ac:dyDescent="0.3">
      <c r="A26" s="686"/>
      <c r="B26" s="449" t="s">
        <v>94</v>
      </c>
      <c r="C26" s="450"/>
      <c r="D26" s="403"/>
      <c r="E26" s="449">
        <f>FRI!U16</f>
        <v>29.25</v>
      </c>
      <c r="F26" s="450"/>
      <c r="G26" s="403"/>
      <c r="H26" s="443" t="s">
        <v>95</v>
      </c>
      <c r="I26" s="444"/>
      <c r="J26" s="444"/>
      <c r="K26" s="445"/>
      <c r="L26" s="408">
        <f>FRI!T2</f>
        <v>4</v>
      </c>
      <c r="M26" s="409"/>
      <c r="N26" s="409"/>
      <c r="O26" s="409"/>
      <c r="P26" s="410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 x14ac:dyDescent="0.3">
      <c r="A27" s="687" t="s">
        <v>70</v>
      </c>
      <c r="B27" s="453" t="s">
        <v>57</v>
      </c>
      <c r="C27" s="453"/>
      <c r="D27" s="438"/>
      <c r="E27" s="438">
        <f>SAT!N31</f>
        <v>11</v>
      </c>
      <c r="F27" s="438"/>
      <c r="G27" s="438"/>
      <c r="H27" s="439">
        <f>SAT!S31</f>
        <v>1335</v>
      </c>
      <c r="I27" s="439"/>
      <c r="J27" s="439"/>
      <c r="K27" s="439"/>
      <c r="L27" s="454">
        <f>SAT!N32</f>
        <v>0.51425269645608629</v>
      </c>
      <c r="M27" s="454"/>
      <c r="N27" s="454"/>
      <c r="O27" s="454"/>
      <c r="P27" s="454"/>
      <c r="Q27" s="555">
        <f>SUM(E27:G30)</f>
        <v>20</v>
      </c>
      <c r="R27" s="556"/>
      <c r="S27" s="556"/>
      <c r="T27" s="556"/>
      <c r="U27" s="557"/>
      <c r="V27" s="429">
        <f>SUM(H27,H28,H30)</f>
        <v>3371.65</v>
      </c>
      <c r="W27" s="430"/>
      <c r="X27" s="430"/>
      <c r="Y27" s="430"/>
      <c r="Z27" s="431"/>
      <c r="AA27" s="420">
        <f>V27/Q27</f>
        <v>168.58250000000001</v>
      </c>
      <c r="AB27" s="421"/>
      <c r="AC27" s="421"/>
      <c r="AD27" s="422"/>
    </row>
    <row r="28" spans="1:30" ht="20.100000000000001" customHeight="1" x14ac:dyDescent="0.3">
      <c r="A28" s="688"/>
      <c r="B28" s="453" t="s">
        <v>58</v>
      </c>
      <c r="C28" s="453"/>
      <c r="D28" s="438"/>
      <c r="E28" s="438">
        <f>SAT!O31</f>
        <v>7</v>
      </c>
      <c r="F28" s="438"/>
      <c r="G28" s="438"/>
      <c r="H28" s="439">
        <f>SAT!S32</f>
        <v>1981.65</v>
      </c>
      <c r="I28" s="439"/>
      <c r="J28" s="439"/>
      <c r="K28" s="439"/>
      <c r="L28" s="454">
        <f>SAT!O32</f>
        <v>0.43409090909090914</v>
      </c>
      <c r="M28" s="454"/>
      <c r="N28" s="454"/>
      <c r="O28" s="454"/>
      <c r="P28" s="454"/>
      <c r="Q28" s="558"/>
      <c r="R28" s="559"/>
      <c r="S28" s="559"/>
      <c r="T28" s="559"/>
      <c r="U28" s="560"/>
      <c r="V28" s="432"/>
      <c r="W28" s="433"/>
      <c r="X28" s="433"/>
      <c r="Y28" s="433"/>
      <c r="Z28" s="434"/>
      <c r="AA28" s="423"/>
      <c r="AB28" s="424"/>
      <c r="AC28" s="424"/>
      <c r="AD28" s="425"/>
    </row>
    <row r="29" spans="1:30" ht="20.100000000000001" customHeight="1" x14ac:dyDescent="0.3">
      <c r="A29" s="688"/>
      <c r="B29" s="453" t="s">
        <v>45</v>
      </c>
      <c r="C29" s="453"/>
      <c r="D29" s="438"/>
      <c r="E29" s="438">
        <f>SAT!P31</f>
        <v>1</v>
      </c>
      <c r="F29" s="438"/>
      <c r="G29" s="438"/>
      <c r="H29" s="439">
        <f>SAT!K31</f>
        <v>79.099999999999994</v>
      </c>
      <c r="I29" s="439"/>
      <c r="J29" s="439"/>
      <c r="K29" s="439"/>
      <c r="L29" s="454">
        <f>SAT!P32</f>
        <v>3.0469953775038517E-2</v>
      </c>
      <c r="M29" s="454"/>
      <c r="N29" s="454"/>
      <c r="O29" s="454"/>
      <c r="P29" s="454"/>
      <c r="Q29" s="558"/>
      <c r="R29" s="559"/>
      <c r="S29" s="559"/>
      <c r="T29" s="559"/>
      <c r="U29" s="560"/>
      <c r="V29" s="432"/>
      <c r="W29" s="433"/>
      <c r="X29" s="433"/>
      <c r="Y29" s="433"/>
      <c r="Z29" s="434"/>
      <c r="AA29" s="423"/>
      <c r="AB29" s="424"/>
      <c r="AC29" s="424"/>
      <c r="AD29" s="425"/>
    </row>
    <row r="30" spans="1:30" ht="20.100000000000001" customHeight="1" x14ac:dyDescent="0.3">
      <c r="A30" s="688"/>
      <c r="B30" s="451" t="s">
        <v>65</v>
      </c>
      <c r="C30" s="452"/>
      <c r="D30" s="453"/>
      <c r="E30" s="451">
        <f>SAT!Q31</f>
        <v>1</v>
      </c>
      <c r="F30" s="452"/>
      <c r="G30" s="453"/>
      <c r="H30" s="732">
        <f>SAT!J31</f>
        <v>55</v>
      </c>
      <c r="I30" s="733"/>
      <c r="J30" s="733"/>
      <c r="K30" s="734"/>
      <c r="L30" s="564">
        <f>SAT!Q32</f>
        <v>2.1186440677966101E-2</v>
      </c>
      <c r="M30" s="565"/>
      <c r="N30" s="565"/>
      <c r="O30" s="565"/>
      <c r="P30" s="566"/>
      <c r="Q30" s="561"/>
      <c r="R30" s="562"/>
      <c r="S30" s="562"/>
      <c r="T30" s="562"/>
      <c r="U30" s="563"/>
      <c r="V30" s="435"/>
      <c r="W30" s="436"/>
      <c r="X30" s="436"/>
      <c r="Y30" s="436"/>
      <c r="Z30" s="437"/>
      <c r="AA30" s="426"/>
      <c r="AB30" s="427"/>
      <c r="AC30" s="427"/>
      <c r="AD30" s="428"/>
    </row>
    <row r="31" spans="1:30" ht="20.100000000000001" customHeight="1" x14ac:dyDescent="0.3">
      <c r="A31" s="689"/>
      <c r="B31" s="451" t="s">
        <v>94</v>
      </c>
      <c r="C31" s="452"/>
      <c r="D31" s="453"/>
      <c r="E31" s="451">
        <f>SAT!U16</f>
        <v>36.75</v>
      </c>
      <c r="F31" s="452"/>
      <c r="G31" s="453"/>
      <c r="H31" s="732" t="s">
        <v>95</v>
      </c>
      <c r="I31" s="733"/>
      <c r="J31" s="733"/>
      <c r="K31" s="734"/>
      <c r="L31" s="729">
        <f>SAT!T2</f>
        <v>5</v>
      </c>
      <c r="M31" s="730"/>
      <c r="N31" s="730"/>
      <c r="O31" s="730"/>
      <c r="P31" s="731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 x14ac:dyDescent="0.3">
      <c r="A32" s="690" t="s">
        <v>71</v>
      </c>
      <c r="B32" s="374" t="s">
        <v>57</v>
      </c>
      <c r="C32" s="375"/>
      <c r="D32" s="375"/>
      <c r="E32" s="375">
        <f>SUN!N31</f>
        <v>5</v>
      </c>
      <c r="F32" s="375"/>
      <c r="G32" s="375"/>
      <c r="H32" s="400">
        <f>SUN!S31</f>
        <v>660</v>
      </c>
      <c r="I32" s="400"/>
      <c r="J32" s="400"/>
      <c r="K32" s="400"/>
      <c r="L32" s="401">
        <f>SUN!N32</f>
        <v>0.46532615132970467</v>
      </c>
      <c r="M32" s="401"/>
      <c r="N32" s="401"/>
      <c r="O32" s="401"/>
      <c r="P32" s="401"/>
      <c r="Q32" s="402">
        <f>SUM(E32:G35)</f>
        <v>14</v>
      </c>
      <c r="R32" s="402"/>
      <c r="S32" s="402"/>
      <c r="T32" s="402"/>
      <c r="U32" s="402"/>
      <c r="V32" s="373">
        <f>SUM(H32,H33,H35)</f>
        <v>2139.1999999999998</v>
      </c>
      <c r="W32" s="373"/>
      <c r="X32" s="373"/>
      <c r="Y32" s="373"/>
      <c r="Z32" s="373"/>
      <c r="AA32" s="392">
        <f>V32/Q32</f>
        <v>152.79999999999998</v>
      </c>
      <c r="AB32" s="393"/>
      <c r="AC32" s="393"/>
      <c r="AD32" s="393"/>
    </row>
    <row r="33" spans="1:30" ht="20.100000000000001" customHeight="1" x14ac:dyDescent="0.3">
      <c r="A33" s="691"/>
      <c r="B33" s="374" t="s">
        <v>58</v>
      </c>
      <c r="C33" s="375"/>
      <c r="D33" s="375"/>
      <c r="E33" s="375">
        <f>SUN!O31</f>
        <v>7</v>
      </c>
      <c r="F33" s="375"/>
      <c r="G33" s="375"/>
      <c r="H33" s="400">
        <f>SUN!S32</f>
        <v>1479.2</v>
      </c>
      <c r="I33" s="400"/>
      <c r="J33" s="400"/>
      <c r="K33" s="400"/>
      <c r="L33" s="401">
        <f>SUN!O32</f>
        <v>0.44361093093431853</v>
      </c>
      <c r="M33" s="401"/>
      <c r="N33" s="401"/>
      <c r="O33" s="401"/>
      <c r="P33" s="401"/>
      <c r="Q33" s="402"/>
      <c r="R33" s="402"/>
      <c r="S33" s="402"/>
      <c r="T33" s="402"/>
      <c r="U33" s="402"/>
      <c r="V33" s="373"/>
      <c r="W33" s="373"/>
      <c r="X33" s="373"/>
      <c r="Y33" s="373"/>
      <c r="Z33" s="373"/>
      <c r="AA33" s="393"/>
      <c r="AB33" s="393"/>
      <c r="AC33" s="393"/>
      <c r="AD33" s="393"/>
    </row>
    <row r="34" spans="1:30" ht="20.100000000000001" customHeight="1" x14ac:dyDescent="0.3">
      <c r="A34" s="691"/>
      <c r="B34" s="374" t="s">
        <v>45</v>
      </c>
      <c r="C34" s="375"/>
      <c r="D34" s="375"/>
      <c r="E34" s="375">
        <f>SUN!P31</f>
        <v>2</v>
      </c>
      <c r="F34" s="375"/>
      <c r="G34" s="375"/>
      <c r="H34" s="400">
        <f>SUN!K31</f>
        <v>129.16</v>
      </c>
      <c r="I34" s="400"/>
      <c r="J34" s="400"/>
      <c r="K34" s="400"/>
      <c r="L34" s="401">
        <f>SUN!P32</f>
        <v>9.1062917735976745E-2</v>
      </c>
      <c r="M34" s="401"/>
      <c r="N34" s="401"/>
      <c r="O34" s="401"/>
      <c r="P34" s="401"/>
      <c r="Q34" s="402"/>
      <c r="R34" s="402"/>
      <c r="S34" s="402"/>
      <c r="T34" s="402"/>
      <c r="U34" s="402"/>
      <c r="V34" s="373"/>
      <c r="W34" s="373"/>
      <c r="X34" s="373"/>
      <c r="Y34" s="373"/>
      <c r="Z34" s="373"/>
      <c r="AA34" s="393"/>
      <c r="AB34" s="393"/>
      <c r="AC34" s="393"/>
      <c r="AD34" s="393"/>
    </row>
    <row r="35" spans="1:30" ht="20.100000000000001" customHeight="1" x14ac:dyDescent="0.3">
      <c r="A35" s="691"/>
      <c r="B35" s="374" t="s">
        <v>65</v>
      </c>
      <c r="C35" s="375"/>
      <c r="D35" s="375"/>
      <c r="E35" s="375">
        <f>SUN!Q31</f>
        <v>0</v>
      </c>
      <c r="F35" s="375"/>
      <c r="G35" s="375"/>
      <c r="H35" s="400">
        <f>SUN!J31</f>
        <v>0</v>
      </c>
      <c r="I35" s="400"/>
      <c r="J35" s="400"/>
      <c r="K35" s="400"/>
      <c r="L35" s="401">
        <f>SUN!Q32</f>
        <v>0</v>
      </c>
      <c r="M35" s="401"/>
      <c r="N35" s="401"/>
      <c r="O35" s="401"/>
      <c r="P35" s="401"/>
      <c r="Q35" s="402"/>
      <c r="R35" s="402"/>
      <c r="S35" s="402"/>
      <c r="T35" s="402"/>
      <c r="U35" s="402"/>
      <c r="V35" s="373"/>
      <c r="W35" s="373"/>
      <c r="X35" s="373"/>
      <c r="Y35" s="373"/>
      <c r="Z35" s="373"/>
      <c r="AA35" s="393"/>
      <c r="AB35" s="393"/>
      <c r="AC35" s="393"/>
      <c r="AD35" s="393"/>
    </row>
    <row r="36" spans="1:30" ht="20.100000000000001" customHeight="1" thickBot="1" x14ac:dyDescent="0.35">
      <c r="A36" s="692"/>
      <c r="B36" s="378" t="s">
        <v>94</v>
      </c>
      <c r="C36" s="379"/>
      <c r="D36" s="380"/>
      <c r="E36" s="378">
        <f>SUN!U16</f>
        <v>36.5</v>
      </c>
      <c r="F36" s="379"/>
      <c r="G36" s="380"/>
      <c r="H36" s="378" t="s">
        <v>95</v>
      </c>
      <c r="I36" s="379"/>
      <c r="J36" s="379"/>
      <c r="K36" s="380"/>
      <c r="L36" s="394">
        <f>SUN!T2</f>
        <v>5</v>
      </c>
      <c r="M36" s="395"/>
      <c r="N36" s="395"/>
      <c r="O36" s="395"/>
      <c r="P36" s="396"/>
      <c r="Q36" s="397"/>
      <c r="R36" s="398"/>
      <c r="S36" s="398"/>
      <c r="T36" s="398"/>
      <c r="U36" s="399"/>
      <c r="V36" s="381"/>
      <c r="W36" s="382"/>
      <c r="X36" s="382"/>
      <c r="Y36" s="382"/>
      <c r="Z36" s="383"/>
      <c r="AA36" s="384"/>
      <c r="AB36" s="385"/>
      <c r="AC36" s="385"/>
      <c r="AD36" s="386"/>
    </row>
    <row r="37" spans="1:30" ht="16.5" customHeight="1" x14ac:dyDescent="0.3">
      <c r="A37" s="364" t="s">
        <v>72</v>
      </c>
      <c r="B37" s="365"/>
      <c r="C37" s="365"/>
      <c r="D37" s="365"/>
      <c r="E37" s="365" t="s">
        <v>73</v>
      </c>
      <c r="F37" s="365"/>
      <c r="G37" s="365"/>
      <c r="H37" s="365"/>
      <c r="I37" s="365"/>
      <c r="J37" s="365"/>
      <c r="K37" s="365" t="s">
        <v>74</v>
      </c>
      <c r="L37" s="365"/>
      <c r="M37" s="365"/>
      <c r="N37" s="365"/>
      <c r="O37" s="365" t="s">
        <v>65</v>
      </c>
      <c r="P37" s="365"/>
      <c r="Q37" s="365"/>
      <c r="R37" s="365"/>
      <c r="S37" s="365"/>
      <c r="T37" s="365" t="s">
        <v>75</v>
      </c>
      <c r="U37" s="365"/>
      <c r="V37" s="365"/>
      <c r="W37" s="365"/>
      <c r="X37" s="365"/>
      <c r="Y37" s="365" t="s">
        <v>76</v>
      </c>
      <c r="Z37" s="365"/>
      <c r="AA37" s="365"/>
      <c r="AB37" s="365"/>
      <c r="AC37" s="365"/>
      <c r="AD37" s="376"/>
    </row>
    <row r="38" spans="1:30" ht="16.5" customHeight="1" x14ac:dyDescent="0.3">
      <c r="A38" s="366"/>
      <c r="B38" s="367"/>
      <c r="C38" s="367"/>
      <c r="D38" s="367"/>
      <c r="E38" s="367"/>
      <c r="F38" s="367"/>
      <c r="G38" s="367"/>
      <c r="H38" s="367"/>
      <c r="I38" s="367"/>
      <c r="J38" s="367"/>
      <c r="K38" s="367"/>
      <c r="L38" s="367"/>
      <c r="M38" s="367"/>
      <c r="N38" s="367"/>
      <c r="O38" s="367"/>
      <c r="P38" s="367"/>
      <c r="Q38" s="367"/>
      <c r="R38" s="367"/>
      <c r="S38" s="367"/>
      <c r="T38" s="367"/>
      <c r="U38" s="367"/>
      <c r="V38" s="367"/>
      <c r="W38" s="367"/>
      <c r="X38" s="367"/>
      <c r="Y38" s="367"/>
      <c r="Z38" s="367"/>
      <c r="AA38" s="367"/>
      <c r="AB38" s="367"/>
      <c r="AC38" s="367"/>
      <c r="AD38" s="377"/>
    </row>
    <row r="39" spans="1:30" ht="16.5" customHeight="1" x14ac:dyDescent="0.3">
      <c r="A39" s="368">
        <f>SUM(Q2:U35)</f>
        <v>104</v>
      </c>
      <c r="B39" s="369"/>
      <c r="C39" s="369"/>
      <c r="D39" s="369"/>
      <c r="E39" s="372">
        <f>SUM(V2:Z35)</f>
        <v>12138.55</v>
      </c>
      <c r="F39" s="369"/>
      <c r="G39" s="369"/>
      <c r="H39" s="369"/>
      <c r="I39" s="369"/>
      <c r="J39" s="369"/>
      <c r="K39" s="372">
        <f>E39/A39</f>
        <v>116.71682692307692</v>
      </c>
      <c r="L39" s="369"/>
      <c r="M39" s="369"/>
      <c r="N39" s="369"/>
      <c r="O39" s="369">
        <f>SUM(MON:SUN!Q31)</f>
        <v>9</v>
      </c>
      <c r="P39" s="369"/>
      <c r="Q39" s="369"/>
      <c r="R39" s="369"/>
      <c r="S39" s="369"/>
      <c r="T39" s="369">
        <f>SUM(MON:SUN!P31)</f>
        <v>9</v>
      </c>
      <c r="U39" s="369"/>
      <c r="V39" s="369"/>
      <c r="W39" s="369"/>
      <c r="X39" s="369"/>
      <c r="Y39" s="369">
        <f>SUM(MON:SUN!S19)</f>
        <v>4</v>
      </c>
      <c r="Z39" s="369"/>
      <c r="AA39" s="369"/>
      <c r="AB39" s="369"/>
      <c r="AC39" s="369"/>
      <c r="AD39" s="389"/>
    </row>
    <row r="40" spans="1:30" ht="16.5" customHeight="1" x14ac:dyDescent="0.3">
      <c r="A40" s="368"/>
      <c r="B40" s="369"/>
      <c r="C40" s="369"/>
      <c r="D40" s="369"/>
      <c r="E40" s="369"/>
      <c r="F40" s="369"/>
      <c r="G40" s="369"/>
      <c r="H40" s="369"/>
      <c r="I40" s="369"/>
      <c r="J40" s="369"/>
      <c r="K40" s="369"/>
      <c r="L40" s="369"/>
      <c r="M40" s="369"/>
      <c r="N40" s="369"/>
      <c r="O40" s="369"/>
      <c r="P40" s="369"/>
      <c r="Q40" s="369"/>
      <c r="R40" s="369"/>
      <c r="S40" s="369"/>
      <c r="T40" s="369"/>
      <c r="U40" s="369"/>
      <c r="V40" s="369"/>
      <c r="W40" s="369"/>
      <c r="X40" s="369"/>
      <c r="Y40" s="369"/>
      <c r="Z40" s="369"/>
      <c r="AA40" s="369"/>
      <c r="AB40" s="369"/>
      <c r="AC40" s="369"/>
      <c r="AD40" s="389"/>
    </row>
    <row r="41" spans="1:30" ht="16.5" customHeight="1" x14ac:dyDescent="0.3">
      <c r="A41" s="368"/>
      <c r="B41" s="369"/>
      <c r="C41" s="369"/>
      <c r="D41" s="369"/>
      <c r="E41" s="369"/>
      <c r="F41" s="369"/>
      <c r="G41" s="369"/>
      <c r="H41" s="369"/>
      <c r="I41" s="369"/>
      <c r="J41" s="369"/>
      <c r="K41" s="369"/>
      <c r="L41" s="369"/>
      <c r="M41" s="369"/>
      <c r="N41" s="369"/>
      <c r="O41" s="387">
        <f>SUM(MON:SUN!J31)</f>
        <v>660</v>
      </c>
      <c r="P41" s="387"/>
      <c r="Q41" s="387"/>
      <c r="R41" s="387"/>
      <c r="S41" s="387"/>
      <c r="T41" s="387">
        <f>SUM(MON:SUN!K31)</f>
        <v>738.05</v>
      </c>
      <c r="U41" s="387"/>
      <c r="V41" s="387"/>
      <c r="W41" s="387"/>
      <c r="X41" s="387"/>
      <c r="Y41" s="387">
        <f>SUM(MON:SUN!T19)</f>
        <v>1704.75</v>
      </c>
      <c r="Z41" s="387"/>
      <c r="AA41" s="387"/>
      <c r="AB41" s="387"/>
      <c r="AC41" s="387"/>
      <c r="AD41" s="390"/>
    </row>
    <row r="42" spans="1:30" ht="16.5" customHeight="1" thickBot="1" x14ac:dyDescent="0.35">
      <c r="A42" s="370"/>
      <c r="B42" s="371"/>
      <c r="C42" s="371"/>
      <c r="D42" s="371"/>
      <c r="E42" s="371"/>
      <c r="F42" s="371"/>
      <c r="G42" s="371"/>
      <c r="H42" s="371"/>
      <c r="I42" s="371"/>
      <c r="J42" s="371"/>
      <c r="K42" s="371"/>
      <c r="L42" s="371"/>
      <c r="M42" s="371"/>
      <c r="N42" s="371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388"/>
      <c r="AB42" s="388"/>
      <c r="AC42" s="388"/>
      <c r="AD42" s="391"/>
    </row>
    <row r="43" spans="1:30" ht="17.45" customHeight="1" x14ac:dyDescent="0.3">
      <c r="A43" s="647" t="s">
        <v>84</v>
      </c>
      <c r="B43" s="648"/>
      <c r="C43" s="648"/>
      <c r="D43" s="648"/>
      <c r="E43" s="649"/>
      <c r="F43" s="647" t="s">
        <v>85</v>
      </c>
      <c r="G43" s="648"/>
      <c r="H43" s="648"/>
      <c r="I43" s="648"/>
      <c r="J43" s="649"/>
      <c r="K43" s="647" t="s">
        <v>86</v>
      </c>
      <c r="L43" s="648"/>
      <c r="M43" s="648"/>
      <c r="N43" s="648"/>
      <c r="O43" s="649"/>
      <c r="P43" s="647" t="s">
        <v>87</v>
      </c>
      <c r="Q43" s="648"/>
      <c r="R43" s="648"/>
      <c r="S43" s="648"/>
      <c r="T43" s="649"/>
      <c r="U43" s="647" t="s">
        <v>90</v>
      </c>
      <c r="V43" s="648"/>
      <c r="W43" s="648"/>
      <c r="X43" s="648"/>
      <c r="Y43" s="649"/>
      <c r="Z43" s="653" t="s">
        <v>95</v>
      </c>
      <c r="AA43" s="654"/>
      <c r="AB43" s="654"/>
      <c r="AC43" s="654"/>
      <c r="AD43" s="655"/>
    </row>
    <row r="44" spans="1:30" ht="17.45" customHeight="1" x14ac:dyDescent="0.3">
      <c r="A44" s="650"/>
      <c r="B44" s="651"/>
      <c r="C44" s="651"/>
      <c r="D44" s="651"/>
      <c r="E44" s="652"/>
      <c r="F44" s="650"/>
      <c r="G44" s="651"/>
      <c r="H44" s="651"/>
      <c r="I44" s="651"/>
      <c r="J44" s="652"/>
      <c r="K44" s="650"/>
      <c r="L44" s="651"/>
      <c r="M44" s="651"/>
      <c r="N44" s="651"/>
      <c r="O44" s="652"/>
      <c r="P44" s="650"/>
      <c r="Q44" s="651"/>
      <c r="R44" s="651"/>
      <c r="S44" s="651"/>
      <c r="T44" s="652"/>
      <c r="U44" s="650"/>
      <c r="V44" s="651"/>
      <c r="W44" s="651"/>
      <c r="X44" s="651"/>
      <c r="Y44" s="652"/>
      <c r="Z44" s="656"/>
      <c r="AA44" s="657"/>
      <c r="AB44" s="657"/>
      <c r="AC44" s="657"/>
      <c r="AD44" s="658"/>
    </row>
    <row r="45" spans="1:30" x14ac:dyDescent="0.3">
      <c r="A45" s="659">
        <f>SUM(H2,H7,H12,H17,H22,H27,H32)</f>
        <v>4340</v>
      </c>
      <c r="B45" s="660"/>
      <c r="C45" s="660"/>
      <c r="D45" s="660"/>
      <c r="E45" s="661"/>
      <c r="F45" s="659">
        <f>SUM(,H3,H8,H13,H18,H23,H28,H33)</f>
        <v>7138.55</v>
      </c>
      <c r="G45" s="660"/>
      <c r="H45" s="660"/>
      <c r="I45" s="660"/>
      <c r="J45" s="661"/>
      <c r="K45" s="659">
        <f>SUM(H5,H10,H15,H20,H25,H30,H35)</f>
        <v>660</v>
      </c>
      <c r="L45" s="660"/>
      <c r="M45" s="660"/>
      <c r="N45" s="660"/>
      <c r="O45" s="661"/>
      <c r="P45" s="659">
        <f>SUM(H4,H9,H14,H19,H24,H29,H34)</f>
        <v>738.05</v>
      </c>
      <c r="Q45" s="660"/>
      <c r="R45" s="660"/>
      <c r="S45" s="660"/>
      <c r="T45" s="661"/>
      <c r="U45" s="668">
        <f>SUM(E6,E11,E16,E21,E26,E31,E36)</f>
        <v>235</v>
      </c>
      <c r="V45" s="660"/>
      <c r="W45" s="660"/>
      <c r="X45" s="660"/>
      <c r="Y45" s="661"/>
      <c r="Z45" s="668">
        <f>SUM(L6,L11,L16,L21,L26,L31,L36)</f>
        <v>30</v>
      </c>
      <c r="AA45" s="660"/>
      <c r="AB45" s="660"/>
      <c r="AC45" s="660"/>
      <c r="AD45" s="669"/>
    </row>
    <row r="46" spans="1:30" x14ac:dyDescent="0.3">
      <c r="A46" s="662"/>
      <c r="B46" s="663"/>
      <c r="C46" s="663"/>
      <c r="D46" s="663"/>
      <c r="E46" s="664"/>
      <c r="F46" s="662"/>
      <c r="G46" s="663"/>
      <c r="H46" s="663"/>
      <c r="I46" s="663"/>
      <c r="J46" s="664"/>
      <c r="K46" s="662"/>
      <c r="L46" s="663"/>
      <c r="M46" s="663"/>
      <c r="N46" s="663"/>
      <c r="O46" s="664"/>
      <c r="P46" s="662"/>
      <c r="Q46" s="663"/>
      <c r="R46" s="663"/>
      <c r="S46" s="663"/>
      <c r="T46" s="664"/>
      <c r="U46" s="662"/>
      <c r="V46" s="663"/>
      <c r="W46" s="663"/>
      <c r="X46" s="663"/>
      <c r="Y46" s="664"/>
      <c r="Z46" s="662"/>
      <c r="AA46" s="663"/>
      <c r="AB46" s="663"/>
      <c r="AC46" s="663"/>
      <c r="AD46" s="670"/>
    </row>
    <row r="47" spans="1:30" x14ac:dyDescent="0.3">
      <c r="A47" s="662"/>
      <c r="B47" s="663"/>
      <c r="C47" s="663"/>
      <c r="D47" s="663"/>
      <c r="E47" s="664"/>
      <c r="F47" s="662"/>
      <c r="G47" s="663"/>
      <c r="H47" s="663"/>
      <c r="I47" s="663"/>
      <c r="J47" s="664"/>
      <c r="K47" s="662"/>
      <c r="L47" s="663"/>
      <c r="M47" s="663"/>
      <c r="N47" s="663"/>
      <c r="O47" s="664"/>
      <c r="P47" s="662"/>
      <c r="Q47" s="663"/>
      <c r="R47" s="663"/>
      <c r="S47" s="663"/>
      <c r="T47" s="664"/>
      <c r="U47" s="662"/>
      <c r="V47" s="663"/>
      <c r="W47" s="663"/>
      <c r="X47" s="663"/>
      <c r="Y47" s="664"/>
      <c r="Z47" s="662"/>
      <c r="AA47" s="663"/>
      <c r="AB47" s="663"/>
      <c r="AC47" s="663"/>
      <c r="AD47" s="670"/>
    </row>
    <row r="48" spans="1:30" ht="17.25" thickBot="1" x14ac:dyDescent="0.35">
      <c r="A48" s="665"/>
      <c r="B48" s="666"/>
      <c r="C48" s="666"/>
      <c r="D48" s="666"/>
      <c r="E48" s="667"/>
      <c r="F48" s="665"/>
      <c r="G48" s="666"/>
      <c r="H48" s="666"/>
      <c r="I48" s="666"/>
      <c r="J48" s="667"/>
      <c r="K48" s="665"/>
      <c r="L48" s="666"/>
      <c r="M48" s="666"/>
      <c r="N48" s="666"/>
      <c r="O48" s="667"/>
      <c r="P48" s="665"/>
      <c r="Q48" s="666"/>
      <c r="R48" s="666"/>
      <c r="S48" s="666"/>
      <c r="T48" s="667"/>
      <c r="U48" s="665"/>
      <c r="V48" s="666"/>
      <c r="W48" s="666"/>
      <c r="X48" s="666"/>
      <c r="Y48" s="667"/>
      <c r="Z48" s="665"/>
      <c r="AA48" s="666"/>
      <c r="AB48" s="666"/>
      <c r="AC48" s="666"/>
      <c r="AD48" s="671"/>
    </row>
    <row r="49" spans="1:30" ht="17.45" customHeight="1" x14ac:dyDescent="0.3">
      <c r="A49" s="629">
        <f>A45/E39</f>
        <v>0.35753858574541442</v>
      </c>
      <c r="B49" s="630"/>
      <c r="C49" s="630"/>
      <c r="D49" s="630"/>
      <c r="E49" s="631"/>
      <c r="F49" s="629">
        <f>F45/E39</f>
        <v>0.58808918692924617</v>
      </c>
      <c r="G49" s="630"/>
      <c r="H49" s="630"/>
      <c r="I49" s="630"/>
      <c r="J49" s="631"/>
      <c r="K49" s="629">
        <f>K45/E39</f>
        <v>5.4372227325339521E-2</v>
      </c>
      <c r="L49" s="630"/>
      <c r="M49" s="630"/>
      <c r="N49" s="630"/>
      <c r="O49" s="631"/>
      <c r="P49" s="629">
        <f>P45/E39</f>
        <v>6.0802155117373989E-2</v>
      </c>
      <c r="Q49" s="630"/>
      <c r="R49" s="630"/>
      <c r="S49" s="630"/>
      <c r="T49" s="631"/>
      <c r="U49" s="638">
        <f>U45/7</f>
        <v>33.571428571428569</v>
      </c>
      <c r="V49" s="639"/>
      <c r="W49" s="639"/>
      <c r="X49" s="639"/>
      <c r="Y49" s="640"/>
      <c r="Z49" s="638">
        <f>U45/Z45</f>
        <v>7.833333333333333</v>
      </c>
      <c r="AA49" s="639"/>
      <c r="AB49" s="639"/>
      <c r="AC49" s="639"/>
      <c r="AD49" s="640"/>
    </row>
    <row r="50" spans="1:30" ht="17.45" customHeight="1" x14ac:dyDescent="0.3">
      <c r="A50" s="632"/>
      <c r="B50" s="633"/>
      <c r="C50" s="633"/>
      <c r="D50" s="633"/>
      <c r="E50" s="634"/>
      <c r="F50" s="632"/>
      <c r="G50" s="633"/>
      <c r="H50" s="633"/>
      <c r="I50" s="633"/>
      <c r="J50" s="634"/>
      <c r="K50" s="632"/>
      <c r="L50" s="633"/>
      <c r="M50" s="633"/>
      <c r="N50" s="633"/>
      <c r="O50" s="634"/>
      <c r="P50" s="632"/>
      <c r="Q50" s="633"/>
      <c r="R50" s="633"/>
      <c r="S50" s="633"/>
      <c r="T50" s="634"/>
      <c r="U50" s="641"/>
      <c r="V50" s="642"/>
      <c r="W50" s="642"/>
      <c r="X50" s="642"/>
      <c r="Y50" s="643"/>
      <c r="Z50" s="641"/>
      <c r="AA50" s="642"/>
      <c r="AB50" s="642"/>
      <c r="AC50" s="642"/>
      <c r="AD50" s="643"/>
    </row>
    <row r="51" spans="1:30" ht="17.45" customHeight="1" x14ac:dyDescent="0.3">
      <c r="A51" s="632"/>
      <c r="B51" s="633"/>
      <c r="C51" s="633"/>
      <c r="D51" s="633"/>
      <c r="E51" s="634"/>
      <c r="F51" s="632"/>
      <c r="G51" s="633"/>
      <c r="H51" s="633"/>
      <c r="I51" s="633"/>
      <c r="J51" s="634"/>
      <c r="K51" s="632"/>
      <c r="L51" s="633"/>
      <c r="M51" s="633"/>
      <c r="N51" s="633"/>
      <c r="O51" s="634"/>
      <c r="P51" s="632"/>
      <c r="Q51" s="633"/>
      <c r="R51" s="633"/>
      <c r="S51" s="633"/>
      <c r="T51" s="634"/>
      <c r="U51" s="641"/>
      <c r="V51" s="642"/>
      <c r="W51" s="642"/>
      <c r="X51" s="642"/>
      <c r="Y51" s="643"/>
      <c r="Z51" s="641"/>
      <c r="AA51" s="642"/>
      <c r="AB51" s="642"/>
      <c r="AC51" s="642"/>
      <c r="AD51" s="643"/>
    </row>
    <row r="52" spans="1:30" ht="18" customHeight="1" thickBot="1" x14ac:dyDescent="0.35">
      <c r="A52" s="635"/>
      <c r="B52" s="636"/>
      <c r="C52" s="636"/>
      <c r="D52" s="636"/>
      <c r="E52" s="637"/>
      <c r="F52" s="635"/>
      <c r="G52" s="636"/>
      <c r="H52" s="636"/>
      <c r="I52" s="636"/>
      <c r="J52" s="637"/>
      <c r="K52" s="635"/>
      <c r="L52" s="636"/>
      <c r="M52" s="636"/>
      <c r="N52" s="636"/>
      <c r="O52" s="637"/>
      <c r="P52" s="635"/>
      <c r="Q52" s="636"/>
      <c r="R52" s="636"/>
      <c r="S52" s="636"/>
      <c r="T52" s="637"/>
      <c r="U52" s="644"/>
      <c r="V52" s="645"/>
      <c r="W52" s="645"/>
      <c r="X52" s="645"/>
      <c r="Y52" s="646"/>
      <c r="Z52" s="644"/>
      <c r="AA52" s="645"/>
      <c r="AB52" s="645"/>
      <c r="AC52" s="645"/>
      <c r="AD52" s="646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08D9E0D2-E75F-4459-8B01-A9EFC1FC1752}"/>
</file>

<file path=customXml/itemProps2.xml><?xml version="1.0" encoding="utf-8"?>
<ds:datastoreItem xmlns:ds="http://schemas.openxmlformats.org/officeDocument/2006/customXml" ds:itemID="{FFDFCCF7-5898-4A18-8FF6-88B47584152A}"/>
</file>

<file path=customXml/itemProps3.xml><?xml version="1.0" encoding="utf-8"?>
<ds:datastoreItem xmlns:ds="http://schemas.openxmlformats.org/officeDocument/2006/customXml" ds:itemID="{697FC8CE-9CBB-496C-8130-82BFD52E7C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2022-09-28T21:37:38Z</cp:lastPrinted>
  <dcterms:created xsi:type="dcterms:W3CDTF">2011-11-24T03:16:40Z</dcterms:created>
  <dcterms:modified xsi:type="dcterms:W3CDTF">2022-10-02T06:17:42Z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