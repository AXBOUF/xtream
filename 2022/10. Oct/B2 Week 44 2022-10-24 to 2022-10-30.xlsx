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10. Oct\"/>
    </mc:Choice>
  </mc:AlternateContent>
  <xr:revisionPtr revIDLastSave="0" documentId="13_ncr:1_{E04BB8C3-C476-4A28-B7A6-850F670F6549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8" l="1"/>
  <c r="K62" i="3"/>
  <c r="H30" i="3"/>
  <c r="I30" i="3"/>
  <c r="J30" i="3"/>
  <c r="J31" i="3" s="1"/>
  <c r="K30" i="3"/>
  <c r="L30" i="3"/>
  <c r="M30" i="3"/>
  <c r="H31" i="3"/>
  <c r="I31" i="3"/>
  <c r="L31" i="3"/>
  <c r="M31" i="3"/>
  <c r="N31" i="3"/>
  <c r="O31" i="3"/>
  <c r="P31" i="3"/>
  <c r="Q31" i="3"/>
  <c r="H32" i="3"/>
  <c r="K31" i="3" l="1"/>
  <c r="C32" i="3"/>
  <c r="O32" i="3" s="1"/>
  <c r="Q32" i="3" l="1"/>
  <c r="P32" i="3"/>
  <c r="K32" i="3"/>
  <c r="N32" i="3"/>
  <c r="S32" i="3" l="1"/>
  <c r="H23" i="8" s="1"/>
  <c r="J14" i="5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J20" i="2"/>
  <c r="T19" i="2"/>
  <c r="S19" i="2"/>
  <c r="K19" i="2"/>
  <c r="J19" i="2"/>
  <c r="K18" i="2"/>
  <c r="J18" i="2"/>
  <c r="K17" i="2"/>
  <c r="J17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H30" i="1"/>
  <c r="K29" i="1"/>
  <c r="J29" i="1"/>
  <c r="K28" i="1"/>
  <c r="J28" i="1"/>
  <c r="K27" i="1"/>
  <c r="J27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6" i="1"/>
  <c r="U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J7" i="1"/>
  <c r="U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Z31" i="3"/>
  <c r="K29" i="3"/>
  <c r="J29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J21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J6" i="3"/>
  <c r="U5" i="3"/>
  <c r="K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J20" i="5"/>
  <c r="T19" i="5"/>
  <c r="S19" i="5"/>
  <c r="J19" i="5"/>
  <c r="K18" i="5"/>
  <c r="J18" i="5"/>
  <c r="K17" i="5"/>
  <c r="J17" i="5"/>
  <c r="J16" i="5"/>
  <c r="U15" i="5"/>
  <c r="K15" i="5"/>
  <c r="J15" i="5"/>
  <c r="U14" i="5"/>
  <c r="K14" i="5"/>
  <c r="U13" i="5"/>
  <c r="K13" i="5"/>
  <c r="J13" i="5"/>
  <c r="U12" i="5"/>
  <c r="K12" i="5"/>
  <c r="J12" i="5"/>
  <c r="U11" i="5"/>
  <c r="K11" i="5"/>
  <c r="J11" i="5"/>
  <c r="U10" i="5"/>
  <c r="J10" i="5"/>
  <c r="U9" i="5"/>
  <c r="K9" i="5"/>
  <c r="J9" i="5"/>
  <c r="U8" i="5"/>
  <c r="J8" i="5"/>
  <c r="U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J10" i="6"/>
  <c r="U9" i="6"/>
  <c r="K9" i="6"/>
  <c r="J9" i="6"/>
  <c r="U8" i="6"/>
  <c r="K8" i="6"/>
  <c r="J8" i="6"/>
  <c r="U7" i="6"/>
  <c r="K7" i="6"/>
  <c r="J7" i="6"/>
  <c r="U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62" i="2" l="1"/>
  <c r="J62" i="2"/>
  <c r="S32" i="2"/>
  <c r="H33" i="8" s="1"/>
  <c r="K30" i="2"/>
  <c r="J30" i="2"/>
  <c r="U16" i="2"/>
  <c r="R16" i="2" s="1"/>
  <c r="H31" i="1"/>
  <c r="J62" i="1"/>
  <c r="K62" i="1"/>
  <c r="S32" i="1"/>
  <c r="H28" i="8" s="1"/>
  <c r="K30" i="1"/>
  <c r="J30" i="1"/>
  <c r="S31" i="3"/>
  <c r="U16" i="1"/>
  <c r="R16" i="1" s="1"/>
  <c r="J62" i="3"/>
  <c r="U16" i="3"/>
  <c r="E26" i="8" s="1"/>
  <c r="J30" i="4"/>
  <c r="J31" i="4" s="1"/>
  <c r="K30" i="4"/>
  <c r="K31" i="4" s="1"/>
  <c r="U16" i="4"/>
  <c r="S16" i="4" s="1"/>
  <c r="K30" i="5"/>
  <c r="K31" i="5" s="1"/>
  <c r="S32" i="5"/>
  <c r="H13" i="8" s="1"/>
  <c r="J30" i="5"/>
  <c r="J31" i="5" s="1"/>
  <c r="U16" i="5"/>
  <c r="R16" i="5" s="1"/>
  <c r="K30" i="6"/>
  <c r="K31" i="6" s="1"/>
  <c r="S32" i="6"/>
  <c r="H8" i="8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S16" i="3"/>
  <c r="R16" i="3"/>
  <c r="H22" i="8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J31" i="2" l="1"/>
  <c r="H35" i="8" s="1"/>
  <c r="K31" i="2"/>
  <c r="H34" i="8" s="1"/>
  <c r="V32" i="8"/>
  <c r="E36" i="8"/>
  <c r="S16" i="2"/>
  <c r="J31" i="1"/>
  <c r="K31" i="1"/>
  <c r="E31" i="8"/>
  <c r="S16" i="1"/>
  <c r="T31" i="3"/>
  <c r="Z32" i="3"/>
  <c r="Z33" i="3" s="1"/>
  <c r="C32" i="4"/>
  <c r="P32" i="4" s="1"/>
  <c r="R16" i="4"/>
  <c r="S16" i="5"/>
  <c r="C32" i="5"/>
  <c r="O32" i="5" s="1"/>
  <c r="R16" i="6"/>
  <c r="S16" i="6"/>
  <c r="S31" i="7"/>
  <c r="H2" i="8" s="1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C32" i="2" l="1"/>
  <c r="O32" i="2" s="1"/>
  <c r="L33" i="8" s="1"/>
  <c r="C32" i="1"/>
  <c r="O32" i="1" s="1"/>
  <c r="L23" i="8"/>
  <c r="U25" i="4"/>
  <c r="N32" i="4"/>
  <c r="Q32" i="4"/>
  <c r="K32" i="4"/>
  <c r="O32" i="4"/>
  <c r="T16" i="4"/>
  <c r="T16" i="5"/>
  <c r="N32" i="5"/>
  <c r="P32" i="5"/>
  <c r="K32" i="5"/>
  <c r="Q32" i="5"/>
  <c r="U25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H25" i="8"/>
  <c r="V22" i="8" s="1"/>
  <c r="H14" i="8"/>
  <c r="H9" i="8"/>
  <c r="E30" i="8"/>
  <c r="E29" i="8"/>
  <c r="E28" i="8"/>
  <c r="E27" i="8"/>
  <c r="T16" i="2" l="1"/>
  <c r="P32" i="2"/>
  <c r="L34" i="8" s="1"/>
  <c r="U25" i="2"/>
  <c r="Q32" i="2"/>
  <c r="L35" i="8" s="1"/>
  <c r="K32" i="2"/>
  <c r="N32" i="2"/>
  <c r="L32" i="8" s="1"/>
  <c r="Q32" i="1"/>
  <c r="P32" i="1"/>
  <c r="T16" i="1"/>
  <c r="N32" i="1"/>
  <c r="K32" i="1"/>
  <c r="U25" i="1"/>
  <c r="L22" i="8"/>
  <c r="U25" i="3"/>
  <c r="L25" i="8"/>
  <c r="T16" i="3"/>
  <c r="L24" i="8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<sst xmlns="http://schemas.openxmlformats.org/spreadsheetml/2006/main" count="1859" uniqueCount="487">
  <si>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</si>
  <si>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</si>
  <si>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</si>
  <si>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</si>
  <si>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</si>
  <si>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</si>
  <si>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</si>
  <si>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</si>
  <si>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</si>
  <si>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</si>
  <si>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</si>
  <si>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</si>
  <si>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</si>
  <si>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</si>
  <si>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</si>
  <si>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</si>
  <si>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</si>
  <si>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</si>
  <si>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</si>
  <si>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</si>
  <si>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</si>
  <si>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</si>
  <si>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</si>
  <si>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</si>
  <si>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</si>
  <si>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</si>
  <si>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</si>
  <si>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</si>
  <si>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</si>
  <si>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</si>
  <si>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</si>
  <si>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</si>
  <si>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</si>
  <si>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</si>
  <si>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</si>
  <si>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</si>
  <si>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</si>
  <si>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</si>
  <si>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</si>
  <si>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</si>
  <si>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</si>
  <si>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</si>
  <si>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</si>
  <si>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</si>
  <si>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</si>
  <si>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</si>
  <si>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</si>
  <si>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</si>
  <si>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</si>
  <si>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</si>
  <si>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</si>
  <si>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</si>
  <si>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</si>
  <si>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</si>
  <si>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</si>
  <si>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</si>
  <si>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</si>
  <si>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</si>
  <si>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</si>
  <si>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</si>
  <si>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</si>
  <si>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</si>
  <si>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</si>
  <si>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</si>
  <si>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</si>
  <si>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</si>
  <si>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</si>
  <si>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</si>
  <si>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</si>
  <si>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</si>
  <si>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</si>
  <si>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</si>
  <si>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</si>
  <si>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</si>
  <si>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</si>
  <si>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</si>
  <si>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</si>
  <si>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</si>
  <si>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</si>
  <si>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</si>
  <si>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</si>
  <si>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</si>
  <si>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</si>
  <si>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</si>
  <si>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</si>
  <si>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</si>
  <si>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</si>
  <si>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</si>
  <si>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</si>
  <si>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</si>
  <si>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</si>
  <si>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</si>
  <si>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</si>
  <si>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</si>
  <si>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</si>
  <si>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</si>
  <si>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</si>
  <si>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24-10-2022</t>
    <phoneticPr fontId="5" type="noConversion"/>
  </si>
  <si>
    <t>CV14BN</t>
    <phoneticPr fontId="5" type="noConversion"/>
  </si>
  <si>
    <t>0416320199</t>
    <phoneticPr fontId="5" type="noConversion"/>
  </si>
  <si>
    <t>IN</t>
    <phoneticPr fontId="5" type="noConversion"/>
  </si>
  <si>
    <t>DJP71X</t>
    <phoneticPr fontId="5" type="noConversion"/>
  </si>
  <si>
    <t>0413174438</t>
    <phoneticPr fontId="5" type="noConversion"/>
  </si>
  <si>
    <t>X/ST</t>
    <phoneticPr fontId="5" type="noConversion"/>
  </si>
  <si>
    <t>EMJ32S</t>
    <phoneticPr fontId="5" type="noConversion"/>
  </si>
  <si>
    <t>0478844282</t>
    <phoneticPr fontId="5" type="noConversion"/>
  </si>
  <si>
    <t>D</t>
    <phoneticPr fontId="5" type="noConversion"/>
  </si>
  <si>
    <t>DVF41S</t>
    <phoneticPr fontId="5" type="noConversion"/>
  </si>
  <si>
    <t>0478540765</t>
    <phoneticPr fontId="5" type="noConversion"/>
  </si>
  <si>
    <t>202208064(D)</t>
    <phoneticPr fontId="5" type="noConversion"/>
  </si>
  <si>
    <t>CJL828</t>
    <phoneticPr fontId="5" type="noConversion"/>
  </si>
  <si>
    <t>0400127856</t>
    <phoneticPr fontId="5" type="noConversion"/>
  </si>
  <si>
    <t>PCL</t>
    <phoneticPr fontId="5" type="noConversion"/>
  </si>
  <si>
    <t>22103(1/6)</t>
    <phoneticPr fontId="5" type="noConversion"/>
  </si>
  <si>
    <t>BPF52S</t>
    <phoneticPr fontId="5" type="noConversion"/>
  </si>
  <si>
    <t>0458915078</t>
    <phoneticPr fontId="5" type="noConversion"/>
  </si>
  <si>
    <t>F/D</t>
    <phoneticPr fontId="5" type="noConversion"/>
  </si>
  <si>
    <t>JOHN</t>
    <phoneticPr fontId="5" type="noConversion"/>
  </si>
  <si>
    <t>HENDRA</t>
    <phoneticPr fontId="5" type="noConversion"/>
  </si>
  <si>
    <t>RAIN</t>
    <phoneticPr fontId="5" type="noConversion"/>
  </si>
  <si>
    <t>CS24GH</t>
    <phoneticPr fontId="5" type="noConversion"/>
  </si>
  <si>
    <t>0405388603</t>
    <phoneticPr fontId="5" type="noConversion"/>
  </si>
  <si>
    <t>IN/ST</t>
    <phoneticPr fontId="5" type="noConversion"/>
  </si>
  <si>
    <t>25-10-2022</t>
    <phoneticPr fontId="5" type="noConversion"/>
  </si>
  <si>
    <t>ARIANTO</t>
    <phoneticPr fontId="5" type="noConversion"/>
  </si>
  <si>
    <t>KUROSH</t>
    <phoneticPr fontId="5" type="noConversion"/>
  </si>
  <si>
    <t>VINNY</t>
    <phoneticPr fontId="5" type="noConversion"/>
  </si>
  <si>
    <t>CLOUDY</t>
    <phoneticPr fontId="5" type="noConversion"/>
  </si>
  <si>
    <t>S/D</t>
    <phoneticPr fontId="5" type="noConversion"/>
  </si>
  <si>
    <t>????</t>
    <phoneticPr fontId="5" type="noConversion"/>
  </si>
  <si>
    <t>DOCKET MISSING</t>
    <phoneticPr fontId="5" type="noConversion"/>
  </si>
  <si>
    <t>???</t>
    <phoneticPr fontId="5" type="noConversion"/>
  </si>
  <si>
    <t>PCS</t>
    <phoneticPr fontId="5" type="noConversion"/>
  </si>
  <si>
    <t>AIX070</t>
    <phoneticPr fontId="5" type="noConversion"/>
  </si>
  <si>
    <t>0413779278</t>
    <phoneticPr fontId="5" type="noConversion"/>
  </si>
  <si>
    <t>22064(1/6)</t>
    <phoneticPr fontId="5" type="noConversion"/>
  </si>
  <si>
    <t>GV1</t>
    <phoneticPr fontId="5" type="noConversion"/>
  </si>
  <si>
    <t>202793(6/6)</t>
    <phoneticPr fontId="5" type="noConversion"/>
  </si>
  <si>
    <t>CSH66H</t>
    <phoneticPr fontId="5" type="noConversion"/>
  </si>
  <si>
    <t>0401152550</t>
    <phoneticPr fontId="5" type="noConversion"/>
  </si>
  <si>
    <t>EOU73U</t>
    <phoneticPr fontId="5" type="noConversion"/>
  </si>
  <si>
    <t>0411571888</t>
    <phoneticPr fontId="5" type="noConversion"/>
  </si>
  <si>
    <t>DQW95H</t>
    <phoneticPr fontId="5" type="noConversion"/>
  </si>
  <si>
    <t>0490876826</t>
    <phoneticPr fontId="5" type="noConversion"/>
  </si>
  <si>
    <t>X</t>
    <phoneticPr fontId="5" type="noConversion"/>
  </si>
  <si>
    <t>DZC70W</t>
    <phoneticPr fontId="5" type="noConversion"/>
  </si>
  <si>
    <t>0402919656</t>
    <phoneticPr fontId="5" type="noConversion"/>
  </si>
  <si>
    <t>SKY5</t>
    <phoneticPr fontId="5" type="noConversion"/>
  </si>
  <si>
    <t>0406221111</t>
    <phoneticPr fontId="5" type="noConversion"/>
  </si>
  <si>
    <t>22060(2/6)</t>
    <phoneticPr fontId="5" type="noConversion"/>
  </si>
  <si>
    <t>BGS57V</t>
    <phoneticPr fontId="5" type="noConversion"/>
  </si>
  <si>
    <t>0439625178</t>
    <phoneticPr fontId="5" type="noConversion"/>
  </si>
  <si>
    <t>EIE92N</t>
    <phoneticPr fontId="5" type="noConversion"/>
  </si>
  <si>
    <t>0421136683</t>
    <phoneticPr fontId="5" type="noConversion"/>
  </si>
  <si>
    <t>BOY99D</t>
    <phoneticPr fontId="5" type="noConversion"/>
  </si>
  <si>
    <t>0432963498</t>
    <phoneticPr fontId="5" type="noConversion"/>
  </si>
  <si>
    <t>DVA41V</t>
    <phoneticPr fontId="5" type="noConversion"/>
  </si>
  <si>
    <t>0452006693</t>
    <phoneticPr fontId="5" type="noConversion"/>
  </si>
  <si>
    <t>CZC66M</t>
    <phoneticPr fontId="5" type="noConversion"/>
  </si>
  <si>
    <t>0401599199</t>
    <phoneticPr fontId="5" type="noConversion"/>
  </si>
  <si>
    <t>22065(1/6)</t>
    <phoneticPr fontId="5" type="noConversion"/>
  </si>
  <si>
    <t>26-10-2022</t>
    <phoneticPr fontId="5" type="noConversion"/>
  </si>
  <si>
    <t>SUNNY</t>
    <phoneticPr fontId="5" type="noConversion"/>
  </si>
  <si>
    <t>CDD12P</t>
    <phoneticPr fontId="5" type="noConversion"/>
  </si>
  <si>
    <t>0416934406</t>
    <phoneticPr fontId="5" type="noConversion"/>
  </si>
  <si>
    <t>H</t>
    <phoneticPr fontId="5" type="noConversion"/>
  </si>
  <si>
    <t>SAA333</t>
    <phoneticPr fontId="5" type="noConversion"/>
  </si>
  <si>
    <t>0418473469</t>
    <phoneticPr fontId="5" type="noConversion"/>
  </si>
  <si>
    <t>22033(5/6)</t>
    <phoneticPr fontId="5" type="noConversion"/>
  </si>
  <si>
    <t>EAE28E</t>
    <phoneticPr fontId="5" type="noConversion"/>
  </si>
  <si>
    <t>0406816699</t>
    <phoneticPr fontId="5" type="noConversion"/>
  </si>
  <si>
    <t>22050(1/6)</t>
    <phoneticPr fontId="5" type="noConversion"/>
  </si>
  <si>
    <t>ELX48C</t>
    <phoneticPr fontId="5" type="noConversion"/>
  </si>
  <si>
    <t>0404123089</t>
    <phoneticPr fontId="5" type="noConversion"/>
  </si>
  <si>
    <t>22104(1/6)</t>
    <phoneticPr fontId="5" type="noConversion"/>
  </si>
  <si>
    <t>DMJ87F</t>
    <phoneticPr fontId="5" type="noConversion"/>
  </si>
  <si>
    <t>0425373111</t>
    <phoneticPr fontId="5" type="noConversion"/>
  </si>
  <si>
    <t>22036(2/6)</t>
    <phoneticPr fontId="5" type="noConversion"/>
  </si>
  <si>
    <t>EIM54Y</t>
    <phoneticPr fontId="5" type="noConversion"/>
  </si>
  <si>
    <t>0409921951</t>
    <phoneticPr fontId="5" type="noConversion"/>
  </si>
  <si>
    <t>GTM59D</t>
    <phoneticPr fontId="5" type="noConversion"/>
  </si>
  <si>
    <t>0416377488</t>
    <phoneticPr fontId="5" type="noConversion"/>
  </si>
  <si>
    <t>KL777</t>
    <phoneticPr fontId="5" type="noConversion"/>
  </si>
  <si>
    <t>0418485685</t>
    <phoneticPr fontId="5" type="noConversion"/>
  </si>
  <si>
    <t>CLD21X</t>
    <phoneticPr fontId="5" type="noConversion"/>
  </si>
  <si>
    <t>0433797997</t>
    <phoneticPr fontId="5" type="noConversion"/>
  </si>
  <si>
    <t>EUD51Q</t>
    <phoneticPr fontId="5" type="noConversion"/>
  </si>
  <si>
    <t>0478104783</t>
    <phoneticPr fontId="5" type="noConversion"/>
  </si>
  <si>
    <t>202208012(X)</t>
    <phoneticPr fontId="5" type="noConversion"/>
  </si>
  <si>
    <t>NCF33Y</t>
    <phoneticPr fontId="5" type="noConversion"/>
  </si>
  <si>
    <t>0477706544</t>
    <phoneticPr fontId="5" type="noConversion"/>
  </si>
  <si>
    <t>EMW78E</t>
    <phoneticPr fontId="5" type="noConversion"/>
  </si>
  <si>
    <t>0417838814</t>
    <phoneticPr fontId="5" type="noConversion"/>
  </si>
  <si>
    <t>22066(1/6)</t>
    <phoneticPr fontId="5" type="noConversion"/>
  </si>
  <si>
    <t>CSN91W</t>
    <phoneticPr fontId="5" type="noConversion"/>
  </si>
  <si>
    <t>0423693121</t>
    <phoneticPr fontId="5" type="noConversion"/>
  </si>
  <si>
    <t>BEK15S</t>
    <phoneticPr fontId="5" type="noConversion"/>
  </si>
  <si>
    <t>0431499861</t>
    <phoneticPr fontId="5" type="noConversion"/>
  </si>
  <si>
    <t>EBT66A</t>
    <phoneticPr fontId="5" type="noConversion"/>
  </si>
  <si>
    <t>0434486312</t>
    <phoneticPr fontId="5" type="noConversion"/>
  </si>
  <si>
    <t>22045(4/6)</t>
    <phoneticPr fontId="5" type="noConversion"/>
  </si>
  <si>
    <t>DQG86M</t>
    <phoneticPr fontId="5" type="noConversion"/>
  </si>
  <si>
    <t>0411832570</t>
    <phoneticPr fontId="5" type="noConversion"/>
  </si>
  <si>
    <t>22049(1/6)</t>
    <phoneticPr fontId="5" type="noConversion"/>
  </si>
  <si>
    <t>YBK23Y</t>
    <phoneticPr fontId="5" type="noConversion"/>
  </si>
  <si>
    <t>0413181450</t>
    <phoneticPr fontId="5" type="noConversion"/>
  </si>
  <si>
    <t>22011(1/6)</t>
    <phoneticPr fontId="5" type="noConversion"/>
  </si>
  <si>
    <t>CN800</t>
    <phoneticPr fontId="5" type="noConversion"/>
  </si>
  <si>
    <t>0418882000</t>
    <phoneticPr fontId="5" type="noConversion"/>
  </si>
  <si>
    <t>ESS16F</t>
    <phoneticPr fontId="5" type="noConversion"/>
  </si>
  <si>
    <t>0414612112</t>
    <phoneticPr fontId="5" type="noConversion"/>
  </si>
  <si>
    <t>27-10-2022</t>
    <phoneticPr fontId="5" type="noConversion"/>
  </si>
  <si>
    <t>JUNIOR</t>
    <phoneticPr fontId="5" type="noConversion"/>
  </si>
  <si>
    <t>KEN838</t>
    <phoneticPr fontId="5" type="noConversion"/>
  </si>
  <si>
    <t>0412038383</t>
    <phoneticPr fontId="5" type="noConversion"/>
  </si>
  <si>
    <t>22012(4/6)</t>
    <phoneticPr fontId="5" type="noConversion"/>
  </si>
  <si>
    <t>ET068M</t>
    <phoneticPr fontId="5" type="noConversion"/>
  </si>
  <si>
    <t>0431133102</t>
    <phoneticPr fontId="5" type="noConversion"/>
  </si>
  <si>
    <t>ANDREW OCTEC</t>
    <phoneticPr fontId="5" type="noConversion"/>
  </si>
  <si>
    <t>EBZ40P</t>
    <phoneticPr fontId="5" type="noConversion"/>
  </si>
  <si>
    <t>0414242700</t>
    <phoneticPr fontId="5" type="noConversion"/>
  </si>
  <si>
    <t>W/O</t>
    <phoneticPr fontId="5" type="noConversion"/>
  </si>
  <si>
    <t>JOHN/HENDRA</t>
    <phoneticPr fontId="5" type="noConversion"/>
  </si>
  <si>
    <t>MIX</t>
    <phoneticPr fontId="5" type="noConversion"/>
  </si>
  <si>
    <t>YGG38Y</t>
    <phoneticPr fontId="5" type="noConversion"/>
  </si>
  <si>
    <t>0418240763</t>
    <phoneticPr fontId="5" type="noConversion"/>
  </si>
  <si>
    <t>DMF81L</t>
    <phoneticPr fontId="5" type="noConversion"/>
  </si>
  <si>
    <t>0403487749</t>
    <phoneticPr fontId="5" type="noConversion"/>
  </si>
  <si>
    <t>RMW236</t>
    <phoneticPr fontId="5" type="noConversion"/>
  </si>
  <si>
    <t>0401426992</t>
    <phoneticPr fontId="5" type="noConversion"/>
  </si>
  <si>
    <t>TAX</t>
    <phoneticPr fontId="5" type="noConversion"/>
  </si>
  <si>
    <t>BSM60Y</t>
    <phoneticPr fontId="5" type="noConversion"/>
  </si>
  <si>
    <t>0416737669</t>
    <phoneticPr fontId="5" type="noConversion"/>
  </si>
  <si>
    <t>5HZZ</t>
    <phoneticPr fontId="5" type="noConversion"/>
  </si>
  <si>
    <t>0435218955</t>
    <phoneticPr fontId="5" type="noConversion"/>
  </si>
  <si>
    <t>202208074(D)</t>
    <phoneticPr fontId="5" type="noConversion"/>
  </si>
  <si>
    <t>NCC95K</t>
    <phoneticPr fontId="5" type="noConversion"/>
  </si>
  <si>
    <t>0431103901</t>
    <phoneticPr fontId="5" type="noConversion"/>
  </si>
  <si>
    <t>GW888O</t>
    <phoneticPr fontId="5" type="noConversion"/>
  </si>
  <si>
    <t>0423393658</t>
    <phoneticPr fontId="5" type="noConversion"/>
  </si>
  <si>
    <t>ESZ30D</t>
    <phoneticPr fontId="5" type="noConversion"/>
  </si>
  <si>
    <t>0412811451</t>
    <phoneticPr fontId="5" type="noConversion"/>
  </si>
  <si>
    <t>DTL25N</t>
    <phoneticPr fontId="5" type="noConversion"/>
  </si>
  <si>
    <t>0423146753</t>
    <phoneticPr fontId="5" type="noConversion"/>
  </si>
  <si>
    <t>WBW</t>
    <phoneticPr fontId="5" type="noConversion"/>
  </si>
  <si>
    <t>9456000788</t>
    <phoneticPr fontId="5" type="noConversion"/>
  </si>
  <si>
    <t>202208007(D)</t>
    <phoneticPr fontId="5" type="noConversion"/>
  </si>
  <si>
    <t>EVI97Z</t>
    <phoneticPr fontId="5" type="noConversion"/>
  </si>
  <si>
    <t>0434743702</t>
    <phoneticPr fontId="5" type="noConversion"/>
  </si>
  <si>
    <t>DWO29D</t>
    <phoneticPr fontId="5" type="noConversion"/>
  </si>
  <si>
    <t>0409986984</t>
    <phoneticPr fontId="5" type="noConversion"/>
  </si>
  <si>
    <t>EGN56Z</t>
    <phoneticPr fontId="5" type="noConversion"/>
  </si>
  <si>
    <t>0491655190</t>
    <phoneticPr fontId="5" type="noConversion"/>
  </si>
  <si>
    <t>Z08</t>
    <phoneticPr fontId="5" type="noConversion"/>
  </si>
  <si>
    <t>0406237888</t>
    <phoneticPr fontId="5" type="noConversion"/>
  </si>
  <si>
    <t>BDR25W</t>
    <phoneticPr fontId="5" type="noConversion"/>
  </si>
  <si>
    <t>0421356777</t>
    <phoneticPr fontId="5" type="noConversion"/>
  </si>
  <si>
    <t>28 - 10 - 2022</t>
    <phoneticPr fontId="5" type="noConversion"/>
  </si>
  <si>
    <t>CHARLIE</t>
    <phoneticPr fontId="5" type="noConversion"/>
  </si>
  <si>
    <t>DARRYLEENNE OCTEC</t>
    <phoneticPr fontId="5" type="noConversion"/>
  </si>
  <si>
    <t>DWG02J</t>
    <phoneticPr fontId="5" type="noConversion"/>
  </si>
  <si>
    <t>0424504671</t>
    <phoneticPr fontId="5" type="noConversion"/>
  </si>
  <si>
    <t>202208095, 202208100(H)</t>
    <phoneticPr fontId="5" type="noConversion"/>
  </si>
  <si>
    <t>YKG80C</t>
    <phoneticPr fontId="5" type="noConversion"/>
  </si>
  <si>
    <t>0468470183</t>
    <phoneticPr fontId="5" type="noConversion"/>
  </si>
  <si>
    <t>22041(3/6)</t>
    <phoneticPr fontId="5" type="noConversion"/>
  </si>
  <si>
    <t>CKC333</t>
    <phoneticPr fontId="5" type="noConversion"/>
  </si>
  <si>
    <t>0411889693</t>
    <phoneticPr fontId="5" type="noConversion"/>
  </si>
  <si>
    <t>202208120(D)</t>
    <phoneticPr fontId="5" type="noConversion"/>
  </si>
  <si>
    <t>LOVE99</t>
    <phoneticPr fontId="5" type="noConversion"/>
  </si>
  <si>
    <t>0422492333</t>
    <phoneticPr fontId="5" type="noConversion"/>
  </si>
  <si>
    <t>22052(2/6)</t>
    <phoneticPr fontId="5" type="noConversion"/>
  </si>
  <si>
    <t>EHU67D</t>
    <phoneticPr fontId="5" type="noConversion"/>
  </si>
  <si>
    <t>0413116333</t>
    <phoneticPr fontId="5" type="noConversion"/>
  </si>
  <si>
    <t>D/ST</t>
    <phoneticPr fontId="5" type="noConversion"/>
  </si>
  <si>
    <t>NBX38A</t>
    <phoneticPr fontId="5" type="noConversion"/>
  </si>
  <si>
    <t>0435939757</t>
    <phoneticPr fontId="5" type="noConversion"/>
  </si>
  <si>
    <t>CMR85Z</t>
    <phoneticPr fontId="5" type="noConversion"/>
  </si>
  <si>
    <t>0411353150</t>
    <phoneticPr fontId="5" type="noConversion"/>
  </si>
  <si>
    <t>EEI98W</t>
    <phoneticPr fontId="5" type="noConversion"/>
  </si>
  <si>
    <t>0409959554</t>
    <phoneticPr fontId="5" type="noConversion"/>
  </si>
  <si>
    <t>DGE18N</t>
    <phoneticPr fontId="5" type="noConversion"/>
  </si>
  <si>
    <t>0449836667</t>
    <phoneticPr fontId="5" type="noConversion"/>
  </si>
  <si>
    <t>22039(3/6)</t>
    <phoneticPr fontId="5" type="noConversion"/>
  </si>
  <si>
    <t>DXH61N</t>
    <phoneticPr fontId="5" type="noConversion"/>
  </si>
  <si>
    <t>EKD79K</t>
    <phoneticPr fontId="5" type="noConversion"/>
  </si>
  <si>
    <t>0424074440</t>
    <phoneticPr fontId="5" type="noConversion"/>
  </si>
  <si>
    <t>CDP90V</t>
    <phoneticPr fontId="5" type="noConversion"/>
  </si>
  <si>
    <t>0428280222</t>
    <phoneticPr fontId="5" type="noConversion"/>
  </si>
  <si>
    <t>202208022(D)</t>
    <phoneticPr fontId="5" type="noConversion"/>
  </si>
  <si>
    <t>NBQ47P</t>
    <phoneticPr fontId="5" type="noConversion"/>
  </si>
  <si>
    <t>0478472706</t>
    <phoneticPr fontId="5" type="noConversion"/>
  </si>
  <si>
    <t>DD75Dg</t>
    <phoneticPr fontId="5" type="noConversion"/>
  </si>
  <si>
    <t>0414758461</t>
    <phoneticPr fontId="5" type="noConversion"/>
  </si>
  <si>
    <t>ID181</t>
    <phoneticPr fontId="5" type="noConversion"/>
  </si>
  <si>
    <t>0409342398</t>
    <phoneticPr fontId="5" type="noConversion"/>
  </si>
  <si>
    <t>DSW91J</t>
    <phoneticPr fontId="5" type="noConversion"/>
  </si>
  <si>
    <t>22030(3/6)</t>
    <phoneticPr fontId="5" type="noConversion"/>
  </si>
  <si>
    <t>YSY52)</t>
    <phoneticPr fontId="5" type="noConversion"/>
  </si>
  <si>
    <t>0405016017</t>
    <phoneticPr fontId="5" type="noConversion"/>
  </si>
  <si>
    <t>22017 (4/6)</t>
    <phoneticPr fontId="5" type="noConversion"/>
  </si>
  <si>
    <t>EWE18E</t>
    <phoneticPr fontId="5" type="noConversion"/>
  </si>
  <si>
    <t>0431394186</t>
    <phoneticPr fontId="5" type="noConversion"/>
  </si>
  <si>
    <t>DLJ96J</t>
    <phoneticPr fontId="5" type="noConversion"/>
  </si>
  <si>
    <t>0410051551</t>
    <phoneticPr fontId="5" type="noConversion"/>
  </si>
  <si>
    <t>22031(3/6)</t>
    <phoneticPr fontId="5" type="noConversion"/>
  </si>
  <si>
    <t>NBP82G</t>
    <phoneticPr fontId="5" type="noConversion"/>
  </si>
  <si>
    <t>0405660278</t>
    <phoneticPr fontId="5" type="noConversion"/>
  </si>
  <si>
    <t>ARQ59D</t>
    <phoneticPr fontId="5" type="noConversion"/>
  </si>
  <si>
    <t>0408626915</t>
    <phoneticPr fontId="5" type="noConversion"/>
  </si>
  <si>
    <t>LEATHER</t>
    <phoneticPr fontId="5" type="noConversion"/>
  </si>
  <si>
    <t>CNI28U</t>
    <phoneticPr fontId="5" type="noConversion"/>
  </si>
  <si>
    <t>0401888710</t>
    <phoneticPr fontId="5" type="noConversion"/>
  </si>
  <si>
    <t>KJD888</t>
    <phoneticPr fontId="5" type="noConversion"/>
  </si>
  <si>
    <t>0412822216</t>
    <phoneticPr fontId="5" type="noConversion"/>
  </si>
  <si>
    <t>202208092(D)</t>
    <phoneticPr fontId="5" type="noConversion"/>
  </si>
  <si>
    <t>NBZ55L</t>
    <phoneticPr fontId="5" type="noConversion"/>
  </si>
  <si>
    <t>0412404128</t>
    <phoneticPr fontId="5" type="noConversion"/>
  </si>
  <si>
    <t>22105(1/6)</t>
    <phoneticPr fontId="5" type="noConversion"/>
  </si>
  <si>
    <t>CKDI8</t>
    <phoneticPr fontId="5" type="noConversion"/>
  </si>
  <si>
    <t>0431155888</t>
    <phoneticPr fontId="5" type="noConversion"/>
  </si>
  <si>
    <t>DJD98Y</t>
    <phoneticPr fontId="5" type="noConversion"/>
  </si>
  <si>
    <t>0422876828</t>
    <phoneticPr fontId="5" type="noConversion"/>
  </si>
  <si>
    <t>22078(4/6)</t>
    <phoneticPr fontId="5" type="noConversion"/>
  </si>
  <si>
    <t>DP469</t>
    <phoneticPr fontId="5" type="noConversion"/>
  </si>
  <si>
    <t>0408417669</t>
    <phoneticPr fontId="5" type="noConversion"/>
  </si>
  <si>
    <t>DVJ23D</t>
    <phoneticPr fontId="5" type="noConversion"/>
  </si>
  <si>
    <t>0404468727</t>
    <phoneticPr fontId="5" type="noConversion"/>
  </si>
  <si>
    <t>88bMWM</t>
    <phoneticPr fontId="5" type="noConversion"/>
  </si>
  <si>
    <t>0479077545</t>
    <phoneticPr fontId="5" type="noConversion"/>
  </si>
  <si>
    <t>CDS89H</t>
    <phoneticPr fontId="5" type="noConversion"/>
  </si>
  <si>
    <t>0447514956</t>
    <phoneticPr fontId="5" type="noConversion"/>
  </si>
  <si>
    <t>EHGI96C</t>
    <phoneticPr fontId="5" type="noConversion"/>
  </si>
  <si>
    <t>0408228361</t>
    <phoneticPr fontId="5" type="noConversion"/>
  </si>
  <si>
    <t>KADAM</t>
    <phoneticPr fontId="5" type="noConversion"/>
  </si>
  <si>
    <t>29-10-2022</t>
    <phoneticPr fontId="5" type="noConversion"/>
  </si>
  <si>
    <t>202208072(D)</t>
    <phoneticPr fontId="5" type="noConversion"/>
  </si>
  <si>
    <t>SUVASH</t>
    <phoneticPr fontId="5" type="noConversion"/>
  </si>
  <si>
    <t>XS66</t>
    <phoneticPr fontId="5" type="noConversion"/>
  </si>
  <si>
    <t>0431875858</t>
    <phoneticPr fontId="5" type="noConversion"/>
  </si>
  <si>
    <t>22013(6/6),22106(NEW)</t>
    <phoneticPr fontId="5" type="noConversion"/>
  </si>
  <si>
    <t>MONA</t>
    <phoneticPr fontId="5" type="noConversion"/>
  </si>
  <si>
    <t>DARRYLENNE OCTEC</t>
    <phoneticPr fontId="5" type="noConversion"/>
  </si>
  <si>
    <t>EWF82C</t>
    <phoneticPr fontId="5" type="noConversion"/>
  </si>
  <si>
    <t>0413089789</t>
    <phoneticPr fontId="5" type="noConversion"/>
  </si>
  <si>
    <t>22080(2/6)</t>
    <phoneticPr fontId="5" type="noConversion"/>
  </si>
  <si>
    <t>DSY26Z</t>
    <phoneticPr fontId="5" type="noConversion"/>
  </si>
  <si>
    <t>0452212543</t>
    <phoneticPr fontId="5" type="noConversion"/>
  </si>
  <si>
    <t>22067(1/6)</t>
    <phoneticPr fontId="5" type="noConversion"/>
  </si>
  <si>
    <t>NBT65G</t>
    <phoneticPr fontId="5" type="noConversion"/>
  </si>
  <si>
    <t>0414523388</t>
    <phoneticPr fontId="5" type="noConversion"/>
  </si>
  <si>
    <t>CJP0908</t>
    <phoneticPr fontId="5" type="noConversion"/>
  </si>
  <si>
    <t>0449955451</t>
    <phoneticPr fontId="5" type="noConversion"/>
  </si>
  <si>
    <t>EOH77R</t>
    <phoneticPr fontId="5" type="noConversion"/>
  </si>
  <si>
    <t>0423498112</t>
    <phoneticPr fontId="5" type="noConversion"/>
  </si>
  <si>
    <t>DTU95D</t>
    <phoneticPr fontId="5" type="noConversion"/>
  </si>
  <si>
    <t>0411227289</t>
    <phoneticPr fontId="5" type="noConversion"/>
  </si>
  <si>
    <t>AR41MF</t>
    <phoneticPr fontId="5" type="noConversion"/>
  </si>
  <si>
    <t>0411702399</t>
    <phoneticPr fontId="5" type="noConversion"/>
  </si>
  <si>
    <t>CJ77GQ</t>
    <phoneticPr fontId="5" type="noConversion"/>
  </si>
  <si>
    <t>0455951393</t>
    <phoneticPr fontId="5" type="noConversion"/>
  </si>
  <si>
    <t>AL31ZC</t>
    <phoneticPr fontId="5" type="noConversion"/>
  </si>
  <si>
    <t>0423599726</t>
    <phoneticPr fontId="5" type="noConversion"/>
  </si>
  <si>
    <t>EGY78F</t>
    <phoneticPr fontId="5" type="noConversion"/>
  </si>
  <si>
    <t>0421257396</t>
    <phoneticPr fontId="5" type="noConversion"/>
  </si>
  <si>
    <t>22107(1/6)</t>
    <phoneticPr fontId="5" type="noConversion"/>
  </si>
  <si>
    <t>YIR28R</t>
    <phoneticPr fontId="5" type="noConversion"/>
  </si>
  <si>
    <t>0431742688</t>
    <phoneticPr fontId="5" type="noConversion"/>
  </si>
  <si>
    <t>22085(1/6)</t>
    <phoneticPr fontId="5" type="noConversion"/>
  </si>
  <si>
    <t>AAA35J</t>
    <phoneticPr fontId="5" type="noConversion"/>
  </si>
  <si>
    <t>0409226998</t>
    <phoneticPr fontId="5" type="noConversion"/>
  </si>
  <si>
    <t>202208024, 202207056, 202207055</t>
    <phoneticPr fontId="5" type="noConversion"/>
  </si>
  <si>
    <t>EAE79S</t>
    <phoneticPr fontId="5" type="noConversion"/>
  </si>
  <si>
    <t>0417676910</t>
    <phoneticPr fontId="5" type="noConversion"/>
  </si>
  <si>
    <t>DFE90M</t>
    <phoneticPr fontId="5" type="noConversion"/>
  </si>
  <si>
    <t>0420887860</t>
    <phoneticPr fontId="5" type="noConversion"/>
  </si>
  <si>
    <t>BPW61H</t>
    <phoneticPr fontId="5" type="noConversion"/>
  </si>
  <si>
    <t>0438199794</t>
    <phoneticPr fontId="5" type="noConversion"/>
  </si>
  <si>
    <t>NBW11S</t>
    <phoneticPr fontId="5" type="noConversion"/>
  </si>
  <si>
    <t>0438179648</t>
    <phoneticPr fontId="5" type="noConversion"/>
  </si>
  <si>
    <t>YJL63J</t>
    <phoneticPr fontId="5" type="noConversion"/>
  </si>
  <si>
    <t>0439979169</t>
    <phoneticPr fontId="5" type="noConversion"/>
  </si>
  <si>
    <t>EQL83R</t>
    <phoneticPr fontId="5" type="noConversion"/>
  </si>
  <si>
    <t>0401105428</t>
    <phoneticPr fontId="5" type="noConversion"/>
  </si>
  <si>
    <t>DZG76W</t>
    <phoneticPr fontId="5" type="noConversion"/>
  </si>
  <si>
    <t>0457853160</t>
    <phoneticPr fontId="5" type="noConversion"/>
  </si>
  <si>
    <t>DZ086Y</t>
    <phoneticPr fontId="5" type="noConversion"/>
  </si>
  <si>
    <t>0432421428</t>
    <phoneticPr fontId="5" type="noConversion"/>
  </si>
  <si>
    <t>22067(1/6)(H)</t>
    <phoneticPr fontId="5" type="noConversion"/>
  </si>
  <si>
    <t>DZS30K</t>
    <phoneticPr fontId="5" type="noConversion"/>
  </si>
  <si>
    <t>0478714504</t>
    <phoneticPr fontId="5" type="noConversion"/>
  </si>
  <si>
    <t>ELM13V</t>
    <phoneticPr fontId="5" type="noConversion"/>
  </si>
  <si>
    <t>0418620807</t>
    <phoneticPr fontId="5" type="noConversion"/>
  </si>
  <si>
    <t>ETV13N</t>
    <phoneticPr fontId="5" type="noConversion"/>
  </si>
  <si>
    <t>0421989969</t>
    <phoneticPr fontId="5" type="noConversion"/>
  </si>
  <si>
    <t>NBR79J</t>
    <phoneticPr fontId="5" type="noConversion"/>
  </si>
  <si>
    <t>0433273533</t>
    <phoneticPr fontId="5" type="noConversion"/>
  </si>
  <si>
    <t>NCF28W</t>
    <phoneticPr fontId="5" type="noConversion"/>
  </si>
  <si>
    <t>0419258622</t>
    <phoneticPr fontId="5" type="noConversion"/>
  </si>
  <si>
    <t>CSD72R</t>
    <phoneticPr fontId="5" type="noConversion"/>
  </si>
  <si>
    <t>0412963749</t>
    <phoneticPr fontId="5" type="noConversion"/>
  </si>
  <si>
    <t>ENX12C</t>
    <phoneticPr fontId="5" type="noConversion"/>
  </si>
  <si>
    <t>0433039533</t>
    <phoneticPr fontId="5" type="noConversion"/>
  </si>
  <si>
    <t>21122819(4/6)</t>
    <phoneticPr fontId="5" type="noConversion"/>
  </si>
  <si>
    <t>DSBS9R</t>
    <phoneticPr fontId="5" type="noConversion"/>
  </si>
  <si>
    <t>0421284405</t>
    <phoneticPr fontId="5" type="noConversion"/>
  </si>
  <si>
    <t>202208094(D)</t>
    <phoneticPr fontId="5" type="noConversion"/>
  </si>
  <si>
    <t>ELU64N</t>
    <phoneticPr fontId="5" type="noConversion"/>
  </si>
  <si>
    <t>0410539190</t>
    <phoneticPr fontId="5" type="noConversion"/>
  </si>
  <si>
    <t>ENGIN CLEAN</t>
    <phoneticPr fontId="5" type="noConversion"/>
  </si>
  <si>
    <t>XX172</t>
    <phoneticPr fontId="5" type="noConversion"/>
  </si>
  <si>
    <t>0452475726</t>
    <phoneticPr fontId="5" type="noConversion"/>
  </si>
  <si>
    <t>30-10-2022</t>
    <phoneticPr fontId="5" type="noConversion"/>
  </si>
  <si>
    <t>DLY06G</t>
    <phoneticPr fontId="5" type="noConversion"/>
  </si>
  <si>
    <t>0430020731</t>
    <phoneticPr fontId="5" type="noConversion"/>
  </si>
  <si>
    <t>244ZFO</t>
    <phoneticPr fontId="5" type="noConversion"/>
  </si>
  <si>
    <t>0477076667</t>
    <phoneticPr fontId="5" type="noConversion"/>
  </si>
  <si>
    <t>ERU31W</t>
    <phoneticPr fontId="5" type="noConversion"/>
  </si>
  <si>
    <t>0402233668</t>
    <phoneticPr fontId="5" type="noConversion"/>
  </si>
  <si>
    <t>ENZ36L</t>
    <phoneticPr fontId="5" type="noConversion"/>
  </si>
  <si>
    <t>0403920928</t>
    <phoneticPr fontId="5" type="noConversion"/>
  </si>
  <si>
    <t>ELL92E</t>
    <phoneticPr fontId="5" type="noConversion"/>
  </si>
  <si>
    <t>0437690298</t>
    <phoneticPr fontId="5" type="noConversion"/>
  </si>
  <si>
    <t>DTS61Q</t>
    <phoneticPr fontId="5" type="noConversion"/>
  </si>
  <si>
    <t>0432532777</t>
    <phoneticPr fontId="5" type="noConversion"/>
  </si>
  <si>
    <t>ECS07C</t>
    <phoneticPr fontId="5" type="noConversion"/>
  </si>
  <si>
    <t>0404113366</t>
    <phoneticPr fontId="5" type="noConversion"/>
  </si>
  <si>
    <t>MH1668</t>
    <phoneticPr fontId="5" type="noConversion"/>
  </si>
  <si>
    <t>0411622638</t>
    <phoneticPr fontId="5" type="noConversion"/>
  </si>
  <si>
    <t>202208017(D)</t>
    <phoneticPr fontId="5" type="noConversion"/>
  </si>
  <si>
    <t>EQH66Y</t>
    <phoneticPr fontId="5" type="noConversion"/>
  </si>
  <si>
    <t>0437146074</t>
    <phoneticPr fontId="5" type="noConversion"/>
  </si>
  <si>
    <t>EHC70R</t>
    <phoneticPr fontId="5" type="noConversion"/>
  </si>
  <si>
    <t>0410688339</t>
    <phoneticPr fontId="5" type="noConversion"/>
  </si>
  <si>
    <t>DNX32J</t>
    <phoneticPr fontId="5" type="noConversion"/>
  </si>
  <si>
    <t>0430475688</t>
    <phoneticPr fontId="5" type="noConversion"/>
  </si>
  <si>
    <t>22010(4/6)</t>
    <phoneticPr fontId="5" type="noConversion"/>
  </si>
  <si>
    <t>EJX86P</t>
    <phoneticPr fontId="5" type="noConversion"/>
  </si>
  <si>
    <t>0433751771</t>
    <phoneticPr fontId="5" type="noConversion"/>
  </si>
  <si>
    <t>22108(1/6)</t>
    <phoneticPr fontId="5" type="noConversion"/>
  </si>
  <si>
    <t>MI55YO</t>
    <phoneticPr fontId="5" type="noConversion"/>
  </si>
  <si>
    <t>0404599665</t>
    <phoneticPr fontId="5" type="noConversion"/>
  </si>
  <si>
    <t>CWJ85B</t>
    <phoneticPr fontId="5" type="noConversion"/>
  </si>
  <si>
    <t>0413499652</t>
    <phoneticPr fontId="5" type="noConversion"/>
  </si>
  <si>
    <t>202816(4,5,6/6)</t>
    <phoneticPr fontId="5" type="noConversion"/>
  </si>
  <si>
    <t>KTM168</t>
    <phoneticPr fontId="5" type="noConversion"/>
  </si>
  <si>
    <t>0410583680</t>
    <phoneticPr fontId="5" type="noConversion"/>
  </si>
  <si>
    <t>202208061(D)</t>
    <phoneticPr fontId="5" type="noConversion"/>
  </si>
  <si>
    <t>EQS90A</t>
    <phoneticPr fontId="5" type="noConversion"/>
  </si>
  <si>
    <t>0421188008</t>
    <phoneticPr fontId="5" type="noConversion"/>
  </si>
  <si>
    <t>22017(6/6)</t>
    <phoneticPr fontId="5" type="noConversion"/>
  </si>
  <si>
    <t>CLC46G</t>
    <phoneticPr fontId="5" type="noConversion"/>
  </si>
  <si>
    <t>0408125268</t>
    <phoneticPr fontId="5" type="noConversion"/>
  </si>
  <si>
    <t>QY268</t>
    <phoneticPr fontId="5" type="noConversion"/>
  </si>
  <si>
    <t>0435198156</t>
    <phoneticPr fontId="5" type="noConversion"/>
  </si>
  <si>
    <t>22109(1/6)</t>
    <phoneticPr fontId="5" type="noConversion"/>
  </si>
  <si>
    <t>NCB09D</t>
    <phoneticPr fontId="5" type="noConversion"/>
  </si>
  <si>
    <t>0415795700</t>
    <phoneticPr fontId="5" type="noConversion"/>
  </si>
  <si>
    <t>DLE68K</t>
    <phoneticPr fontId="5" type="noConversion"/>
  </si>
  <si>
    <t>0426115098</t>
    <phoneticPr fontId="5" type="noConversion"/>
  </si>
  <si>
    <t>EUG68X</t>
    <phoneticPr fontId="5" type="noConversion"/>
  </si>
  <si>
    <t>0425853375</t>
    <phoneticPr fontId="5" type="noConversion"/>
  </si>
  <si>
    <t>202208063(X)</t>
    <phoneticPr fontId="5" type="noConversion"/>
  </si>
  <si>
    <t>CXJ58D</t>
    <phoneticPr fontId="5" type="noConversion"/>
  </si>
  <si>
    <t>0412688789</t>
    <phoneticPr fontId="5" type="noConversion"/>
  </si>
  <si>
    <t>CLD31N</t>
    <phoneticPr fontId="5" type="noConversion"/>
  </si>
  <si>
    <t>0414941551</t>
    <phoneticPr fontId="5" type="noConversion"/>
  </si>
  <si>
    <t>ELE30W</t>
    <phoneticPr fontId="5" type="noConversion"/>
  </si>
  <si>
    <t>0415799098</t>
    <phoneticPr fontId="5" type="noConversion"/>
  </si>
  <si>
    <t>CWO57R</t>
    <phoneticPr fontId="5" type="noConversion"/>
  </si>
  <si>
    <t>0416590988</t>
    <phoneticPr fontId="5" type="noConversion"/>
  </si>
  <si>
    <t>202757(6/6),22110(NEW)</t>
    <phoneticPr fontId="5" type="noConversion"/>
  </si>
  <si>
    <t>EIL50N</t>
    <phoneticPr fontId="5" type="noConversion"/>
  </si>
  <si>
    <t>0438875551</t>
    <phoneticPr fontId="5" type="noConversion"/>
  </si>
  <si>
    <t>NXC09L</t>
    <phoneticPr fontId="5" type="noConversion"/>
  </si>
  <si>
    <t>0419770701</t>
    <phoneticPr fontId="5" type="noConversion"/>
  </si>
  <si>
    <t>W/H</t>
    <phoneticPr fontId="5" type="noConversion"/>
  </si>
  <si>
    <t>X6X</t>
    <phoneticPr fontId="5" type="noConversion"/>
  </si>
  <si>
    <t>0409909090</t>
    <phoneticPr fontId="5" type="noConversion"/>
  </si>
  <si>
    <t>DAO82R</t>
    <phoneticPr fontId="5" type="noConversion"/>
  </si>
  <si>
    <t>0402841531</t>
    <phoneticPr fontId="5" type="noConversion"/>
  </si>
  <si>
    <t>22035(2/6)</t>
    <phoneticPr fontId="5" type="noConversion"/>
  </si>
  <si>
    <t>ERF72T</t>
    <phoneticPr fontId="5" type="noConversion"/>
  </si>
  <si>
    <t>0415922615</t>
    <phoneticPr fontId="5" type="noConversion"/>
  </si>
  <si>
    <t>20220805(W/O)</t>
    <phoneticPr fontId="5" type="noConversion"/>
  </si>
  <si>
    <t>EGN68A</t>
    <phoneticPr fontId="5" type="noConversion"/>
  </si>
  <si>
    <t>0402136008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</si>
</sst>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b/>
      <sz val="11"/>
      <color theme="5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9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49" fontId="25" fillId="14" borderId="2" xfId="4" applyNumberFormat="1" applyBorder="1" applyAlignment="1">
      <alignment horizontal="left" shrinkToFit="1"/>
    </xf>
    <xf numFmtId="0" fontId="25" fillId="14" borderId="62" xfId="4" applyBorder="1" applyAlignment="1">
      <alignment horizontal="center" shrinkToFit="1"/>
    </xf>
    <xf numFmtId="179" fontId="25" fillId="14" borderId="26" xfId="4" applyNumberFormat="1" applyBorder="1" applyAlignment="1">
      <alignment horizontal="left"/>
    </xf>
    <xf numFmtId="0" fontId="25" fillId="14" borderId="1" xfId="4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9" xfId="4" applyBorder="1" applyAlignment="1">
      <alignment horizontal="center" shrinkToFit="1"/>
    </xf>
    <xf numFmtId="0" fontId="25" fillId="14" borderId="1" xfId="4" applyBorder="1" applyAlignment="1">
      <alignment horizontal="left"/>
    </xf>
    <xf numFmtId="49" fontId="25" fillId="14" borderId="2" xfId="4" applyNumberFormat="1" applyBorder="1" applyAlignment="1">
      <alignment horizontal="left"/>
    </xf>
    <xf numFmtId="178" fontId="2" fillId="0" borderId="1" xfId="0" applyNumberFormat="1" applyFont="1" applyBorder="1" applyAlignment="1">
      <alignment horizontal="center" shrinkToFit="1"/>
    </xf>
    <xf numFmtId="0" fontId="25" fillId="14" borderId="9" xfId="4" applyBorder="1" applyAlignment="1">
      <alignment horizontal="center"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178" fontId="25" fillId="14" borderId="1" xfId="4" applyNumberFormat="1" applyBorder="1" applyAlignment="1">
      <alignment horizontal="center" shrinkToFit="1"/>
    </xf>
    <xf numFmtId="0" fontId="31" fillId="2" borderId="9" xfId="0" applyFont="1" applyFill="1" applyBorder="1" applyAlignment="1">
      <alignment shrinkToFit="1"/>
    </xf>
    <xf numFmtId="0" fontId="32" fillId="4" borderId="36" xfId="3" applyFont="1" applyAlignment="1">
      <alignment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33" fillId="2" borderId="9" xfId="0" applyFont="1" applyFill="1" applyBorder="1" applyAlignment="1">
      <alignment shrinkToFit="1"/>
    </xf>
    <xf numFmtId="178" fontId="1" fillId="6" borderId="4" xfId="0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25" fillId="14" borderId="26" xfId="4" applyBorder="1" applyAlignment="1">
      <alignment horizontal="left" shrinkToFit="1"/>
    </xf>
    <xf numFmtId="0" fontId="25" fillId="14" borderId="1" xfId="4" applyBorder="1" applyAlignment="1"/>
    <xf numFmtId="179" fontId="25" fillId="14" borderId="39" xfId="4" applyNumberFormat="1" applyBorder="1" applyAlignment="1">
      <alignment horizontal="left"/>
    </xf>
    <xf numFmtId="0" fontId="31" fillId="2" borderId="19" xfId="0" applyFont="1" applyFill="1" applyBorder="1" applyAlignment="1">
      <alignment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shrinkToFit="1"/>
    </xf>
    <xf numFmtId="0" fontId="25" fillId="14" borderId="2" xfId="4" applyBorder="1" applyAlignment="1">
      <alignment horizontal="center" vertical="center" shrinkToFit="1"/>
    </xf>
    <xf numFmtId="0" fontId="25" fillId="14" borderId="29" xfId="4" applyBorder="1" applyAlignment="1">
      <alignment horizontal="center" vertical="center" shrinkToFit="1"/>
    </xf>
    <xf numFmtId="0" fontId="25" fillId="14" borderId="17" xfId="4" applyBorder="1" applyAlignment="1">
      <alignment horizontal="center" vertical="center" shrinkToFit="1"/>
    </xf>
    <xf numFmtId="0" fontId="6" fillId="6" borderId="65" xfId="0" applyFont="1" applyFill="1" applyBorder="1" applyAlignment="1">
      <alignment horizontal="center" shrinkToFit="1"/>
    </xf>
    <xf numFmtId="0" fontId="6" fillId="6" borderId="64" xfId="0" applyFont="1" applyFill="1" applyBorder="1" applyAlignment="1">
      <alignment horizontal="center" shrinkToFit="1"/>
    </xf>
    <xf numFmtId="0" fontId="6" fillId="6" borderId="51" xfId="0" applyFont="1" applyFill="1" applyBorder="1" applyAlignment="1">
      <alignment horizontal="center" shrinkToFit="1"/>
    </xf>
    <xf numFmtId="0" fontId="6" fillId="6" borderId="37" xfId="0" applyFont="1" applyFill="1" applyBorder="1" applyAlignment="1">
      <alignment horizontal="center" shrinkToFit="1"/>
    </xf>
    <xf numFmtId="0" fontId="6" fillId="6" borderId="39" xfId="0" applyFont="1" applyFill="1" applyBorder="1" applyAlignment="1">
      <alignment horizontal="center" shrinkToFit="1"/>
    </xf>
    <xf numFmtId="0" fontId="6" fillId="6" borderId="42" xfId="0" applyFont="1" applyFill="1" applyBorder="1" applyAlignment="1">
      <alignment horizontal="center" shrinkToFit="1"/>
    </xf>
    <xf numFmtId="0" fontId="6" fillId="6" borderId="29" xfId="0" applyFont="1" applyFill="1" applyBorder="1" applyAlignment="1">
      <alignment horizontal="center" shrinkToFit="1"/>
    </xf>
    <xf numFmtId="0" fontId="6" fillId="6" borderId="26" xfId="0" applyFont="1" applyFill="1" applyBorder="1" applyAlignment="1">
      <alignment horizontal="center" shrinkToFit="1"/>
    </xf>
    <xf numFmtId="179" fontId="6" fillId="6" borderId="5" xfId="0" applyNumberFormat="1" applyFont="1" applyFill="1" applyBorder="1" applyAlignment="1">
      <alignment horizontal="center" shrinkToFit="1"/>
    </xf>
    <xf numFmtId="179" fontId="6" fillId="6" borderId="64" xfId="0" applyNumberFormat="1" applyFont="1" applyFill="1" applyBorder="1" applyAlignment="1">
      <alignment horizontal="center" shrinkToFit="1"/>
    </xf>
    <xf numFmtId="9" fontId="6" fillId="6" borderId="5" xfId="0" applyNumberFormat="1" applyFont="1" applyFill="1" applyBorder="1" applyAlignment="1">
      <alignment horizontal="center" shrinkToFit="1"/>
    </xf>
    <xf numFmtId="9" fontId="6" fillId="6" borderId="64" xfId="0" applyNumberFormat="1" applyFont="1" applyFill="1" applyBorder="1" applyAlignment="1">
      <alignment horizont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0" fontId="0" fillId="0" borderId="0" xfId="0"/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shrinkToFit="1"/>
    </xf>
    <xf numFmtId="49" fontId="25" fillId="14" borderId="29" xfId="4" applyNumberFormat="1" applyBorder="1" applyAlignment="1">
      <alignment shrinkToFit="1"/>
    </xf>
    <xf numFmtId="0" fontId="25" fillId="14" borderId="63" xfId="4" applyBorder="1" applyAlignment="1">
      <alignment horizontal="center" shrinkToFit="1"/>
    </xf>
    <xf numFmtId="0" fontId="25" fillId="14" borderId="5" xfId="4" applyBorder="1" applyAlignment="1">
      <alignment horizontal="center" shrinkToFit="1"/>
    </xf>
    <xf numFmtId="0" fontId="25" fillId="14" borderId="56" xfId="4" applyBorder="1" applyAlignment="1">
      <alignment horizontal="center" shrinkToFit="1"/>
    </xf>
    <xf numFmtId="0" fontId="25" fillId="14" borderId="49" xfId="4" applyBorder="1" applyAlignment="1">
      <alignment horizont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I12" sqref="I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97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119</v>
      </c>
      <c r="K2" s="303"/>
      <c r="L2" s="305" t="s">
        <v>96</v>
      </c>
      <c r="M2" s="306"/>
      <c r="N2" s="304"/>
      <c r="O2" s="302" t="s">
        <v>117</v>
      </c>
      <c r="P2" s="302"/>
      <c r="Q2" s="303"/>
      <c r="R2" s="305" t="s">
        <v>51</v>
      </c>
      <c r="S2" s="304"/>
      <c r="T2" s="307">
        <v>2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11" t="s">
        <v>8</v>
      </c>
      <c r="P4" s="311"/>
      <c r="Q4" s="311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11738</v>
      </c>
      <c r="C5" s="68" t="s">
        <v>98</v>
      </c>
      <c r="D5" s="200" t="s">
        <v>99</v>
      </c>
      <c r="E5" s="181" t="s">
        <v>92</v>
      </c>
      <c r="F5" s="170">
        <v>900</v>
      </c>
      <c r="G5" s="118" t="s">
        <v>100</v>
      </c>
      <c r="H5" s="91"/>
      <c r="I5" s="124">
        <v>65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118</v>
      </c>
      <c r="O5" s="312"/>
      <c r="P5" s="313"/>
      <c r="Q5" s="314"/>
      <c r="R5" s="33" t="s">
        <v>117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11739</v>
      </c>
      <c r="C6" s="67" t="s">
        <v>101</v>
      </c>
      <c r="D6" s="200" t="s">
        <v>102</v>
      </c>
      <c r="E6" s="181" t="s">
        <v>92</v>
      </c>
      <c r="F6" s="171">
        <v>910</v>
      </c>
      <c r="G6" s="118" t="s">
        <v>103</v>
      </c>
      <c r="H6" s="91">
        <v>320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117</v>
      </c>
      <c r="O6" s="315"/>
      <c r="P6" s="316"/>
      <c r="Q6" s="317"/>
      <c r="R6" s="18" t="s">
        <v>118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11740</v>
      </c>
      <c r="C7" s="67" t="s">
        <v>104</v>
      </c>
      <c r="D7" s="200" t="s">
        <v>105</v>
      </c>
      <c r="E7" s="181" t="s">
        <v>92</v>
      </c>
      <c r="F7" s="171">
        <v>1050</v>
      </c>
      <c r="G7" s="118" t="s">
        <v>106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117</v>
      </c>
      <c r="O7" s="318"/>
      <c r="P7" s="319"/>
      <c r="Q7" s="320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11741</v>
      </c>
      <c r="C8" s="27" t="s">
        <v>107</v>
      </c>
      <c r="D8" s="200" t="s">
        <v>108</v>
      </c>
      <c r="E8" s="181" t="s">
        <v>91</v>
      </c>
      <c r="F8" s="171">
        <v>1155</v>
      </c>
      <c r="G8" s="118" t="s">
        <v>44</v>
      </c>
      <c r="H8" s="91"/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117</v>
      </c>
      <c r="O8" s="321" t="s">
        <v>109</v>
      </c>
      <c r="P8" s="322"/>
      <c r="Q8" s="323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11742</v>
      </c>
      <c r="C9" s="268" t="s">
        <v>110</v>
      </c>
      <c r="D9" s="269" t="s">
        <v>111</v>
      </c>
      <c r="E9" s="270" t="s">
        <v>92</v>
      </c>
      <c r="F9" s="271">
        <v>1305</v>
      </c>
      <c r="G9" s="272" t="s">
        <v>112</v>
      </c>
      <c r="H9" s="273"/>
      <c r="I9" s="273"/>
      <c r="J9" s="273" t="str">
        <f t="shared" si="1"/>
        <v>0</v>
      </c>
      <c r="K9" s="273">
        <v>125</v>
      </c>
      <c r="L9" s="274">
        <v>750</v>
      </c>
      <c r="M9" s="274"/>
      <c r="N9" s="268" t="s">
        <v>117</v>
      </c>
      <c r="O9" s="324" t="s">
        <v>113</v>
      </c>
      <c r="P9" s="325"/>
      <c r="Q9" s="326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11743</v>
      </c>
      <c r="C10" s="28" t="s">
        <v>114</v>
      </c>
      <c r="D10" s="202" t="s">
        <v>115</v>
      </c>
      <c r="E10" s="181" t="s">
        <v>91</v>
      </c>
      <c r="F10" s="173">
        <v>1310</v>
      </c>
      <c r="G10" s="120" t="s">
        <v>116</v>
      </c>
      <c r="H10" s="123">
        <v>380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117</v>
      </c>
      <c r="O10" s="308"/>
      <c r="P10" s="309"/>
      <c r="Q10" s="310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11744</v>
      </c>
      <c r="C11" s="18" t="s">
        <v>120</v>
      </c>
      <c r="D11" s="203" t="s">
        <v>121</v>
      </c>
      <c r="E11" s="181" t="s">
        <v>92</v>
      </c>
      <c r="F11" s="66">
        <v>1545</v>
      </c>
      <c r="G11" s="121" t="s">
        <v>122</v>
      </c>
      <c r="H11" s="123"/>
      <c r="I11" s="124">
        <v>230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117</v>
      </c>
      <c r="O11" s="318"/>
      <c r="P11" s="319"/>
      <c r="Q11" s="32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8"/>
      <c r="P12" s="319"/>
      <c r="Q12" s="32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8"/>
      <c r="P13" s="319"/>
      <c r="Q13" s="32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8"/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8"/>
      <c r="P15" s="319"/>
      <c r="Q15" s="32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8"/>
      <c r="P16" s="319"/>
      <c r="Q16" s="320"/>
      <c r="R16" s="82">
        <f>H32/U16</f>
        <v>0.39436619718309857</v>
      </c>
      <c r="S16" s="83">
        <f>H32/(U16-U5)</f>
        <v>0.77777777777777779</v>
      </c>
      <c r="T16" s="83">
        <f>C32/U16</f>
        <v>70.422535211267601</v>
      </c>
      <c r="U16" s="83">
        <f>SUM(U5:U15)</f>
        <v>17.75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8"/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8"/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8"/>
      <c r="P19" s="319"/>
      <c r="Q19" s="319"/>
      <c r="R19" s="93" t="s">
        <v>45</v>
      </c>
      <c r="S19" s="94">
        <f>COUNT(L5:M29,L37:M61,L69:M93)</f>
        <v>1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9"/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8"/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8"/>
      <c r="P22" s="319"/>
      <c r="Q22" s="32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8"/>
      <c r="P25" s="319"/>
      <c r="Q25" s="32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1250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8"/>
      <c r="P26" s="319"/>
      <c r="Q26" s="320"/>
      <c r="R26" s="112">
        <f>R25*37.5</f>
        <v>0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8"/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8"/>
      <c r="P28" s="319"/>
      <c r="Q28" s="320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9"/>
      <c r="P29" s="350"/>
      <c r="Q29" s="351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5" t="s">
        <v>48</v>
      </c>
      <c r="B30" s="356"/>
      <c r="C30" s="356"/>
      <c r="D30" s="356"/>
      <c r="E30" s="357"/>
      <c r="F30" s="356"/>
      <c r="G30" s="356"/>
      <c r="H30" s="211">
        <f t="shared" ref="H30:M30" si="3">SUM(H5:H29)</f>
        <v>700</v>
      </c>
      <c r="I30" s="105">
        <f>SUM(I5:I29)</f>
        <v>370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125</v>
      </c>
      <c r="L30" s="106">
        <f t="shared" si="3"/>
        <v>750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0" t="s">
        <v>16</v>
      </c>
      <c r="B31" s="361"/>
      <c r="C31" s="361"/>
      <c r="D31" s="361"/>
      <c r="E31" s="361"/>
      <c r="F31" s="361"/>
      <c r="G31" s="361"/>
      <c r="H31" s="212">
        <f t="shared" ref="H31:J31" si="4">H30+H62+H94</f>
        <v>700</v>
      </c>
      <c r="I31" s="103">
        <f t="shared" si="4"/>
        <v>370</v>
      </c>
      <c r="J31" s="103">
        <f t="shared" si="4"/>
        <v>55</v>
      </c>
      <c r="K31" s="103">
        <f>K30+K62+K94</f>
        <v>125</v>
      </c>
      <c r="L31" s="97">
        <f>L30+L62+L94</f>
        <v>750</v>
      </c>
      <c r="M31" s="97">
        <f>M30+M62+M94</f>
        <v>0</v>
      </c>
      <c r="N31" s="217">
        <f>COUNT(H5:H29,H37:H61,H69:H93)</f>
        <v>2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1450</v>
      </c>
      <c r="T31" s="345">
        <f>H31+I31+L31+M31</f>
        <v>1820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36" t="s">
        <v>55</v>
      </c>
      <c r="B32" s="337"/>
      <c r="C32" s="107">
        <f>H31+I31+J31+K31</f>
        <v>1250</v>
      </c>
      <c r="D32" s="196"/>
      <c r="E32" s="107"/>
      <c r="F32" s="338" t="s">
        <v>53</v>
      </c>
      <c r="G32" s="338"/>
      <c r="H32" s="109">
        <f>COUNT(B5:B29,B37:B61,B69:B93)</f>
        <v>7</v>
      </c>
      <c r="I32" s="339" t="s">
        <v>54</v>
      </c>
      <c r="J32" s="339"/>
      <c r="K32" s="108">
        <f>C32/H32</f>
        <v>178.57142857142858</v>
      </c>
      <c r="L32" s="218"/>
      <c r="M32" s="218"/>
      <c r="N32" s="218">
        <f>H31/C32</f>
        <v>0.56000000000000005</v>
      </c>
      <c r="O32" s="218">
        <f>I31/C32</f>
        <v>0.29599999999999999</v>
      </c>
      <c r="P32" s="218">
        <f>K31/C32</f>
        <v>0.1</v>
      </c>
      <c r="Q32" s="110">
        <f>J31/C32</f>
        <v>4.3999999999999997E-2</v>
      </c>
      <c r="R32" s="99" t="s">
        <v>82</v>
      </c>
      <c r="S32" s="213">
        <f>I31+M31</f>
        <v>370</v>
      </c>
      <c r="T32" s="347"/>
      <c r="U32" s="348"/>
      <c r="V32" s="55"/>
      <c r="W32" s="55"/>
      <c r="X32" s="56" t="s">
        <v>27</v>
      </c>
      <c r="Y32" s="56"/>
      <c r="Z32" s="54">
        <f>I31</f>
        <v>370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-2375</v>
      </c>
      <c r="AE33" s="37"/>
      <c r="AF33" s="37"/>
      <c r="AG33" s="59"/>
      <c r="AH33" s="37"/>
    </row>
    <row r="34" spans="1:34" ht="17.25" thickBot="1" x14ac:dyDescent="0.35">
      <c r="A34" s="301" t="str">
        <f>A2</f>
        <v>24-10-2022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RAIN</v>
      </c>
      <c r="K34" s="303"/>
      <c r="L34" s="305" t="s">
        <v>50</v>
      </c>
      <c r="M34" s="306"/>
      <c r="N34" s="304"/>
      <c r="O34" s="302" t="str">
        <f>O2</f>
        <v>JOHN</v>
      </c>
      <c r="P34" s="302"/>
      <c r="Q34" s="303"/>
      <c r="R34" s="305" t="s">
        <v>51</v>
      </c>
      <c r="S34" s="304"/>
      <c r="T34" s="307">
        <f>T2</f>
        <v>2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11" t="s">
        <v>8</v>
      </c>
      <c r="P36" s="311"/>
      <c r="Q36" s="311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8"/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8"/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1"/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1"/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0</v>
      </c>
      <c r="I62" s="372">
        <f t="shared" si="8"/>
        <v>0</v>
      </c>
      <c r="J62" s="372">
        <f>J61+J60+J59+J58+J57+J56+J55+J54+J53+J52+J51+J50+J49+J48+J47+J46+J45+J44+J43+J42+J41+J40+J39+J38+J37</f>
        <v>0</v>
      </c>
      <c r="K62" s="372">
        <f>K61+K60+K59+K58+K57+K56+K55+K54+K53+K52+K51+K50+K49+K48+K47+K46+K45+K44+K43+K42+K41+K40+K39+K38+K37</f>
        <v>0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24-10-2022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RAIN</v>
      </c>
      <c r="K66" s="303"/>
      <c r="L66" s="305" t="s">
        <v>50</v>
      </c>
      <c r="M66" s="306"/>
      <c r="N66" s="304"/>
      <c r="O66" s="302" t="str">
        <f>O34</f>
        <v>JOHN</v>
      </c>
      <c r="P66" s="302"/>
      <c r="Q66" s="303"/>
      <c r="R66" s="305" t="s">
        <v>51</v>
      </c>
      <c r="S66" s="304"/>
      <c r="T66" s="307">
        <f>T34</f>
        <v>2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11" t="s">
        <v>8</v>
      </c>
      <c r="P68" s="311"/>
      <c r="Q68" s="311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T9" sqref="T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123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127</v>
      </c>
      <c r="K2" s="303"/>
      <c r="L2" s="305" t="s">
        <v>96</v>
      </c>
      <c r="M2" s="306"/>
      <c r="N2" s="304"/>
      <c r="O2" s="302" t="s">
        <v>118</v>
      </c>
      <c r="P2" s="302"/>
      <c r="Q2" s="303"/>
      <c r="R2" s="305" t="s">
        <v>51</v>
      </c>
      <c r="S2" s="304"/>
      <c r="T2" s="307">
        <v>4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1" t="s">
        <v>8</v>
      </c>
      <c r="P4" s="311"/>
      <c r="Q4" s="31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11745</v>
      </c>
      <c r="C5" s="68" t="s">
        <v>129</v>
      </c>
      <c r="D5" s="200" t="s">
        <v>131</v>
      </c>
      <c r="E5" s="181" t="s">
        <v>92</v>
      </c>
      <c r="F5" s="170">
        <v>810</v>
      </c>
      <c r="G5" s="118" t="s">
        <v>128</v>
      </c>
      <c r="H5" s="91">
        <v>320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118</v>
      </c>
      <c r="O5" s="312" t="s">
        <v>130</v>
      </c>
      <c r="P5" s="313"/>
      <c r="Q5" s="314"/>
      <c r="R5" s="33" t="s">
        <v>118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75">
        <v>2</v>
      </c>
      <c r="B6" s="272">
        <v>11746</v>
      </c>
      <c r="C6" s="276" t="s">
        <v>133</v>
      </c>
      <c r="D6" s="277" t="s">
        <v>134</v>
      </c>
      <c r="E6" s="270" t="s">
        <v>92</v>
      </c>
      <c r="F6" s="271">
        <v>845</v>
      </c>
      <c r="G6" s="267" t="s">
        <v>132</v>
      </c>
      <c r="H6" s="273"/>
      <c r="I6" s="273"/>
      <c r="J6" s="273" t="str">
        <f t="shared" ref="J6:J29" si="1">IF(G6="RSL","55","0")</f>
        <v>0</v>
      </c>
      <c r="K6" s="273">
        <v>62.5</v>
      </c>
      <c r="L6" s="274"/>
      <c r="M6" s="274">
        <v>375</v>
      </c>
      <c r="N6" s="268" t="s">
        <v>118</v>
      </c>
      <c r="O6" s="392" t="s">
        <v>135</v>
      </c>
      <c r="P6" s="393"/>
      <c r="Q6" s="394"/>
      <c r="R6" s="132" t="s">
        <v>124</v>
      </c>
      <c r="S6" s="31">
        <v>0.375</v>
      </c>
      <c r="T6" s="32">
        <v>0.66666666666666663</v>
      </c>
      <c r="U6" s="92">
        <f t="shared" si="0"/>
        <v>6.9999999999999991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11747</v>
      </c>
      <c r="C7" s="67" t="s">
        <v>138</v>
      </c>
      <c r="D7" s="200" t="s">
        <v>139</v>
      </c>
      <c r="E7" s="181" t="s">
        <v>91</v>
      </c>
      <c r="F7" s="171">
        <v>945</v>
      </c>
      <c r="G7" s="118" t="s">
        <v>136</v>
      </c>
      <c r="H7" s="91"/>
      <c r="I7" s="124"/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118</v>
      </c>
      <c r="O7" s="318" t="s">
        <v>137</v>
      </c>
      <c r="P7" s="319"/>
      <c r="Q7" s="320"/>
      <c r="R7" s="134" t="s">
        <v>125</v>
      </c>
      <c r="S7" s="31">
        <v>0.36458333333333331</v>
      </c>
      <c r="T7" s="32">
        <v>0.69791666666666663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11748</v>
      </c>
      <c r="C8" s="27" t="s">
        <v>140</v>
      </c>
      <c r="D8" s="200" t="s">
        <v>141</v>
      </c>
      <c r="E8" s="181" t="s">
        <v>92</v>
      </c>
      <c r="F8" s="171">
        <v>1135</v>
      </c>
      <c r="G8" s="118" t="s">
        <v>106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126</v>
      </c>
      <c r="O8" s="321"/>
      <c r="P8" s="322"/>
      <c r="Q8" s="323"/>
      <c r="R8" s="26" t="s">
        <v>126</v>
      </c>
      <c r="S8" s="31">
        <v>0.4375</v>
      </c>
      <c r="T8" s="32">
        <v>0.69791666666666663</v>
      </c>
      <c r="U8" s="92">
        <f t="shared" si="0"/>
        <v>6.2499999999999991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11749</v>
      </c>
      <c r="C9" s="63" t="s">
        <v>145</v>
      </c>
      <c r="D9" s="201" t="s">
        <v>146</v>
      </c>
      <c r="E9" s="181" t="s">
        <v>92</v>
      </c>
      <c r="F9" s="172">
        <v>1200</v>
      </c>
      <c r="G9" s="119" t="s">
        <v>106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118</v>
      </c>
      <c r="O9" s="321"/>
      <c r="P9" s="322"/>
      <c r="Q9" s="323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11750</v>
      </c>
      <c r="C10" s="28" t="s">
        <v>147</v>
      </c>
      <c r="D10" s="202" t="s">
        <v>148</v>
      </c>
      <c r="E10" s="181" t="s">
        <v>92</v>
      </c>
      <c r="F10" s="173">
        <v>1220</v>
      </c>
      <c r="G10" s="120" t="s">
        <v>132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118</v>
      </c>
      <c r="O10" s="308" t="s">
        <v>149</v>
      </c>
      <c r="P10" s="309"/>
      <c r="Q10" s="310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11751</v>
      </c>
      <c r="C11" s="18" t="s">
        <v>150</v>
      </c>
      <c r="D11" s="203" t="s">
        <v>151</v>
      </c>
      <c r="E11" s="181" t="s">
        <v>92</v>
      </c>
      <c r="F11" s="66">
        <v>1240</v>
      </c>
      <c r="G11" s="121" t="s">
        <v>106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118</v>
      </c>
      <c r="O11" s="318"/>
      <c r="P11" s="319"/>
      <c r="Q11" s="32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11752</v>
      </c>
      <c r="C12" s="64" t="s">
        <v>142</v>
      </c>
      <c r="D12" s="204" t="s">
        <v>143</v>
      </c>
      <c r="E12" s="181" t="s">
        <v>91</v>
      </c>
      <c r="F12" s="173">
        <v>1315</v>
      </c>
      <c r="G12" s="119" t="s">
        <v>144</v>
      </c>
      <c r="H12" s="123"/>
      <c r="I12" s="278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118</v>
      </c>
      <c r="O12" s="318"/>
      <c r="P12" s="319"/>
      <c r="Q12" s="32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11753</v>
      </c>
      <c r="C13" s="64" t="s">
        <v>152</v>
      </c>
      <c r="D13" s="204" t="s">
        <v>153</v>
      </c>
      <c r="E13" s="181" t="s">
        <v>92</v>
      </c>
      <c r="F13" s="173">
        <v>1330</v>
      </c>
      <c r="G13" s="119" t="s">
        <v>106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118</v>
      </c>
      <c r="O13" s="318"/>
      <c r="P13" s="319"/>
      <c r="Q13" s="32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11754</v>
      </c>
      <c r="C14" s="65" t="s">
        <v>154</v>
      </c>
      <c r="D14" s="205" t="s">
        <v>155</v>
      </c>
      <c r="E14" s="181" t="s">
        <v>92</v>
      </c>
      <c r="F14" s="174">
        <v>1435</v>
      </c>
      <c r="G14" s="122" t="s">
        <v>144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118</v>
      </c>
      <c r="O14" s="318"/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11755</v>
      </c>
      <c r="C15" s="65" t="s">
        <v>156</v>
      </c>
      <c r="D15" s="205" t="s">
        <v>157</v>
      </c>
      <c r="E15" s="181" t="s">
        <v>92</v>
      </c>
      <c r="F15" s="174">
        <v>1440</v>
      </c>
      <c r="G15" s="122" t="s">
        <v>144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118</v>
      </c>
      <c r="O15" s="318"/>
      <c r="P15" s="319"/>
      <c r="Q15" s="32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9">
        <v>12</v>
      </c>
      <c r="B16" s="272">
        <v>11756</v>
      </c>
      <c r="C16" s="280" t="s">
        <v>158</v>
      </c>
      <c r="D16" s="281" t="s">
        <v>159</v>
      </c>
      <c r="E16" s="270" t="s">
        <v>92</v>
      </c>
      <c r="F16" s="282">
        <v>1510</v>
      </c>
      <c r="G16" s="267" t="s">
        <v>132</v>
      </c>
      <c r="H16" s="283"/>
      <c r="I16" s="273"/>
      <c r="J16" s="273" t="str">
        <f t="shared" si="1"/>
        <v>0</v>
      </c>
      <c r="K16" s="273">
        <v>62.5</v>
      </c>
      <c r="L16" s="274"/>
      <c r="M16" s="274">
        <v>375</v>
      </c>
      <c r="N16" s="268" t="s">
        <v>118</v>
      </c>
      <c r="O16" s="324" t="s">
        <v>160</v>
      </c>
      <c r="P16" s="325"/>
      <c r="Q16" s="326"/>
      <c r="R16" s="82">
        <f>H32/U16</f>
        <v>0.4</v>
      </c>
      <c r="S16" s="83">
        <f>H32/(U16-U5)</f>
        <v>0.56470588235294117</v>
      </c>
      <c r="T16" s="83">
        <f>C32/U16</f>
        <v>34.416666666666664</v>
      </c>
      <c r="U16" s="83">
        <f>SUM(U5:U15)</f>
        <v>30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8"/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8"/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8"/>
      <c r="P19" s="319"/>
      <c r="Q19" s="319"/>
      <c r="R19" s="93" t="s">
        <v>45</v>
      </c>
      <c r="S19" s="94">
        <f>COUNT(L5:M29,L37:M61,L69:M93)</f>
        <v>2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9"/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8"/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8"/>
      <c r="P22" s="319"/>
      <c r="Q22" s="32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8"/>
      <c r="P25" s="319"/>
      <c r="Q25" s="320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1051.25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8"/>
      <c r="P26" s="319"/>
      <c r="Q26" s="320"/>
      <c r="R26" s="112">
        <f>R25*37.5</f>
        <v>37.5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8"/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8"/>
      <c r="P28" s="319"/>
      <c r="Q28" s="320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9"/>
      <c r="P29" s="350"/>
      <c r="Q29" s="351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5" t="s">
        <v>48</v>
      </c>
      <c r="B30" s="356"/>
      <c r="C30" s="356"/>
      <c r="D30" s="356"/>
      <c r="E30" s="357"/>
      <c r="F30" s="356"/>
      <c r="G30" s="356"/>
      <c r="H30" s="264">
        <f t="shared" ref="H30:M30" si="3">SUM(H5:H29)</f>
        <v>565</v>
      </c>
      <c r="I30" s="105">
        <f>SUM(I5:I29)</f>
        <v>280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187.5</v>
      </c>
      <c r="L30" s="106">
        <f t="shared" si="3"/>
        <v>0</v>
      </c>
      <c r="M30" s="106">
        <f t="shared" si="3"/>
        <v>750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0" t="s">
        <v>16</v>
      </c>
      <c r="B31" s="361"/>
      <c r="C31" s="361"/>
      <c r="D31" s="361"/>
      <c r="E31" s="361"/>
      <c r="F31" s="361"/>
      <c r="G31" s="361"/>
      <c r="H31" s="265">
        <f t="shared" ref="H31:J31" si="4">H30+H62+H94</f>
        <v>565</v>
      </c>
      <c r="I31" s="103">
        <f t="shared" si="4"/>
        <v>280</v>
      </c>
      <c r="J31" s="103">
        <f t="shared" si="4"/>
        <v>0</v>
      </c>
      <c r="K31" s="103">
        <f>K30+K62+K94</f>
        <v>187.5</v>
      </c>
      <c r="L31" s="97">
        <f>L30+L62+L94</f>
        <v>0</v>
      </c>
      <c r="M31" s="97">
        <f>M30+M62+M94</f>
        <v>750</v>
      </c>
      <c r="N31" s="262">
        <f>COUNT(H5:H29,H37:H61,H69:H93)</f>
        <v>4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565</v>
      </c>
      <c r="T31" s="345">
        <f>H31+I31+L31+M31</f>
        <v>1595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36" t="s">
        <v>55</v>
      </c>
      <c r="B32" s="337"/>
      <c r="C32" s="107">
        <f>H31+I31+J31+K31</f>
        <v>1032.5</v>
      </c>
      <c r="D32" s="196"/>
      <c r="E32" s="107"/>
      <c r="F32" s="338" t="s">
        <v>53</v>
      </c>
      <c r="G32" s="338"/>
      <c r="H32" s="109">
        <f>COUNT(B5:B29,B37:B61,B69:B93)</f>
        <v>12</v>
      </c>
      <c r="I32" s="339" t="s">
        <v>54</v>
      </c>
      <c r="J32" s="339"/>
      <c r="K32" s="108">
        <f>C32/H32</f>
        <v>86.041666666666671</v>
      </c>
      <c r="L32" s="260"/>
      <c r="M32" s="260"/>
      <c r="N32" s="260">
        <f>H31/C32</f>
        <v>0.54721549636803879</v>
      </c>
      <c r="O32" s="260">
        <f>I31/C32</f>
        <v>0.2711864406779661</v>
      </c>
      <c r="P32" s="260">
        <f>K31/C32</f>
        <v>0.18159806295399517</v>
      </c>
      <c r="Q32" s="110">
        <f>J31/C32</f>
        <v>0</v>
      </c>
      <c r="R32" s="99" t="s">
        <v>82</v>
      </c>
      <c r="S32" s="266">
        <f>I31+M31</f>
        <v>1030</v>
      </c>
      <c r="T32" s="347"/>
      <c r="U32" s="348"/>
      <c r="V32" s="55"/>
      <c r="W32" s="55"/>
      <c r="X32" s="56" t="s">
        <v>27</v>
      </c>
      <c r="Y32" s="56"/>
      <c r="Z32" s="54">
        <f>I31</f>
        <v>280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-2465</v>
      </c>
      <c r="AE33" s="37"/>
      <c r="AF33" s="37"/>
      <c r="AG33" s="59"/>
      <c r="AH33" s="37"/>
    </row>
    <row r="34" spans="1:34" ht="17.25" thickBot="1" x14ac:dyDescent="0.35">
      <c r="A34" s="301" t="str">
        <f>A2</f>
        <v>25-10-2022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CLOUDY</v>
      </c>
      <c r="K34" s="303"/>
      <c r="L34" s="305" t="s">
        <v>50</v>
      </c>
      <c r="M34" s="306"/>
      <c r="N34" s="304"/>
      <c r="O34" s="302" t="str">
        <f>O2</f>
        <v>HENDRA</v>
      </c>
      <c r="P34" s="302"/>
      <c r="Q34" s="303"/>
      <c r="R34" s="305" t="s">
        <v>51</v>
      </c>
      <c r="S34" s="304"/>
      <c r="T34" s="307">
        <f>T2</f>
        <v>4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1" t="s">
        <v>8</v>
      </c>
      <c r="P36" s="311"/>
      <c r="Q36" s="31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8"/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8"/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1"/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1"/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0</v>
      </c>
      <c r="I62" s="372">
        <f t="shared" si="8"/>
        <v>0</v>
      </c>
      <c r="J62" s="372">
        <f>J61+J60+J59+J58+J57+J56+J55+J54+J53+J52+J51+J50+J49+J48+J47+J46+J45+J44+J43+J42+J41+J40+J39+J38+J37</f>
        <v>0</v>
      </c>
      <c r="K62" s="372">
        <f>K61+K60+K59+K58+K57+K56+K55+K54+K53+K52+K51+K50+K49+K48+K47+K46+K45+K44+K43+K42+K41+K40+K39+K38+K37</f>
        <v>0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25-10-2022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CLOUDY</v>
      </c>
      <c r="K66" s="303"/>
      <c r="L66" s="305" t="s">
        <v>50</v>
      </c>
      <c r="M66" s="306"/>
      <c r="N66" s="304"/>
      <c r="O66" s="302" t="str">
        <f>O34</f>
        <v>HENDRA</v>
      </c>
      <c r="P66" s="302"/>
      <c r="Q66" s="303"/>
      <c r="R66" s="305" t="s">
        <v>51</v>
      </c>
      <c r="S66" s="304"/>
      <c r="T66" s="307">
        <f>T34</f>
        <v>4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1" t="s">
        <v>8</v>
      </c>
      <c r="P68" s="311"/>
      <c r="Q68" s="31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F27" sqref="F2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161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162</v>
      </c>
      <c r="K2" s="303"/>
      <c r="L2" s="305" t="s">
        <v>96</v>
      </c>
      <c r="M2" s="306"/>
      <c r="N2" s="304"/>
      <c r="O2" s="302" t="s">
        <v>117</v>
      </c>
      <c r="P2" s="302"/>
      <c r="Q2" s="303"/>
      <c r="R2" s="305" t="s">
        <v>51</v>
      </c>
      <c r="S2" s="304"/>
      <c r="T2" s="307">
        <v>5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1" t="s">
        <v>8</v>
      </c>
      <c r="P4" s="311"/>
      <c r="Q4" s="31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11757</v>
      </c>
      <c r="C5" s="68" t="s">
        <v>163</v>
      </c>
      <c r="D5" s="200" t="s">
        <v>164</v>
      </c>
      <c r="E5" s="181" t="s">
        <v>92</v>
      </c>
      <c r="F5" s="170">
        <v>820</v>
      </c>
      <c r="G5" s="118" t="s">
        <v>165</v>
      </c>
      <c r="H5" s="91">
        <v>110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117</v>
      </c>
      <c r="O5" s="312"/>
      <c r="P5" s="313"/>
      <c r="Q5" s="314"/>
      <c r="R5" s="33" t="s">
        <v>117</v>
      </c>
      <c r="S5" s="31">
        <v>0.34375</v>
      </c>
      <c r="T5" s="32">
        <v>0.69791666666666663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11758</v>
      </c>
      <c r="C6" s="67" t="s">
        <v>166</v>
      </c>
      <c r="D6" s="200" t="s">
        <v>167</v>
      </c>
      <c r="E6" s="181" t="s">
        <v>91</v>
      </c>
      <c r="F6" s="171">
        <v>925</v>
      </c>
      <c r="G6" s="118" t="s">
        <v>132</v>
      </c>
      <c r="H6" s="91"/>
      <c r="I6" s="124"/>
      <c r="J6" s="130" t="str">
        <f t="shared" ref="J6:J29" si="1">IF(G6="RSL","55","0")</f>
        <v>0</v>
      </c>
      <c r="K6" s="130">
        <v>62.5</v>
      </c>
      <c r="L6" s="131"/>
      <c r="M6" s="131"/>
      <c r="N6" s="134" t="s">
        <v>117</v>
      </c>
      <c r="O6" s="315" t="s">
        <v>168</v>
      </c>
      <c r="P6" s="316"/>
      <c r="Q6" s="317"/>
      <c r="R6" s="132" t="s">
        <v>118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11759</v>
      </c>
      <c r="C7" s="67" t="s">
        <v>169</v>
      </c>
      <c r="D7" s="200" t="s">
        <v>170</v>
      </c>
      <c r="E7" s="181" t="s">
        <v>92</v>
      </c>
      <c r="F7" s="171">
        <v>950</v>
      </c>
      <c r="G7" s="118" t="s">
        <v>112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117</v>
      </c>
      <c r="O7" s="318" t="s">
        <v>171</v>
      </c>
      <c r="P7" s="319"/>
      <c r="Q7" s="320"/>
      <c r="R7" s="134" t="s">
        <v>124</v>
      </c>
      <c r="S7" s="31">
        <v>0.38541666666666669</v>
      </c>
      <c r="T7" s="32">
        <v>0.66666666666666663</v>
      </c>
      <c r="U7" s="92">
        <f t="shared" si="0"/>
        <v>6.7499999999999982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72">
        <v>11760</v>
      </c>
      <c r="C8" s="268" t="s">
        <v>172</v>
      </c>
      <c r="D8" s="277" t="s">
        <v>173</v>
      </c>
      <c r="E8" s="270" t="s">
        <v>92</v>
      </c>
      <c r="F8" s="271">
        <v>1000</v>
      </c>
      <c r="G8" s="267" t="s">
        <v>112</v>
      </c>
      <c r="H8" s="273"/>
      <c r="I8" s="273"/>
      <c r="J8" s="273" t="str">
        <f t="shared" si="1"/>
        <v>0</v>
      </c>
      <c r="K8" s="273">
        <v>79.099999999999994</v>
      </c>
      <c r="L8" s="274"/>
      <c r="M8" s="274">
        <v>475</v>
      </c>
      <c r="N8" s="134" t="s">
        <v>117</v>
      </c>
      <c r="O8" s="324" t="s">
        <v>174</v>
      </c>
      <c r="P8" s="325"/>
      <c r="Q8" s="326"/>
      <c r="R8" s="26" t="s">
        <v>125</v>
      </c>
      <c r="S8" s="31">
        <v>0.41666666666666669</v>
      </c>
      <c r="T8" s="32">
        <v>0.69791666666666663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11761</v>
      </c>
      <c r="C9" s="63" t="s">
        <v>178</v>
      </c>
      <c r="D9" s="201" t="s">
        <v>179</v>
      </c>
      <c r="E9" s="181" t="s">
        <v>91</v>
      </c>
      <c r="F9" s="172">
        <v>1015</v>
      </c>
      <c r="G9" s="119" t="s">
        <v>144</v>
      </c>
      <c r="H9" s="91"/>
      <c r="I9" s="91">
        <v>95</v>
      </c>
      <c r="J9" s="130" t="str">
        <f t="shared" si="1"/>
        <v>0</v>
      </c>
      <c r="K9" s="130" t="str">
        <f t="shared" ref="K9:K29" si="2">IF(G9="GVS","37.5",IF(G9="GVM","41.5",IF(G9="GVL","50",IF(G9="PCS","45.8",IF(G9="PCM","50",IF(G9="PCL","58.3","0"))))))</f>
        <v>0</v>
      </c>
      <c r="L9" s="131"/>
      <c r="M9" s="131"/>
      <c r="N9" s="134" t="s">
        <v>117</v>
      </c>
      <c r="O9" s="321"/>
      <c r="P9" s="322"/>
      <c r="Q9" s="323"/>
      <c r="R9" s="26" t="s">
        <v>126</v>
      </c>
      <c r="S9" s="31">
        <v>0.44791666666666669</v>
      </c>
      <c r="T9" s="32">
        <v>0.69791666666666663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11762</v>
      </c>
      <c r="C10" s="28" t="s">
        <v>175</v>
      </c>
      <c r="D10" s="202" t="s">
        <v>176</v>
      </c>
      <c r="E10" s="181" t="s">
        <v>92</v>
      </c>
      <c r="F10" s="173">
        <v>1020</v>
      </c>
      <c r="G10" s="120" t="s">
        <v>132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117</v>
      </c>
      <c r="O10" s="308" t="s">
        <v>177</v>
      </c>
      <c r="P10" s="309"/>
      <c r="Q10" s="310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11763</v>
      </c>
      <c r="C11" s="18" t="s">
        <v>180</v>
      </c>
      <c r="D11" s="203" t="s">
        <v>181</v>
      </c>
      <c r="E11" s="181" t="s">
        <v>91</v>
      </c>
      <c r="F11" s="66">
        <v>1035</v>
      </c>
      <c r="G11" s="121" t="s">
        <v>144</v>
      </c>
      <c r="H11" s="123">
        <v>65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117</v>
      </c>
      <c r="O11" s="318"/>
      <c r="P11" s="319"/>
      <c r="Q11" s="32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11764</v>
      </c>
      <c r="C12" s="64" t="s">
        <v>182</v>
      </c>
      <c r="D12" s="204" t="s">
        <v>183</v>
      </c>
      <c r="E12" s="181" t="s">
        <v>92</v>
      </c>
      <c r="F12" s="173">
        <v>1040</v>
      </c>
      <c r="G12" s="119" t="s">
        <v>144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117</v>
      </c>
      <c r="O12" s="318"/>
      <c r="P12" s="319"/>
      <c r="Q12" s="32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11765</v>
      </c>
      <c r="C13" s="64" t="s">
        <v>184</v>
      </c>
      <c r="D13" s="204" t="s">
        <v>185</v>
      </c>
      <c r="E13" s="181" t="s">
        <v>91</v>
      </c>
      <c r="F13" s="173">
        <v>1110</v>
      </c>
      <c r="G13" s="119" t="s">
        <v>144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117</v>
      </c>
      <c r="O13" s="318"/>
      <c r="P13" s="319"/>
      <c r="Q13" s="32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11766</v>
      </c>
      <c r="C14" s="65" t="s">
        <v>186</v>
      </c>
      <c r="D14" s="205" t="s">
        <v>187</v>
      </c>
      <c r="E14" s="181" t="s">
        <v>92</v>
      </c>
      <c r="F14" s="174">
        <v>1110</v>
      </c>
      <c r="G14" s="122" t="s">
        <v>44</v>
      </c>
      <c r="H14" s="123">
        <v>45</v>
      </c>
      <c r="I14" s="125"/>
      <c r="J14" s="130" t="str">
        <f t="shared" si="1"/>
        <v>55</v>
      </c>
      <c r="K14" s="130" t="str">
        <f t="shared" si="2"/>
        <v>0</v>
      </c>
      <c r="L14" s="131"/>
      <c r="M14" s="131"/>
      <c r="N14" s="134" t="s">
        <v>117</v>
      </c>
      <c r="O14" s="318" t="s">
        <v>188</v>
      </c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11767</v>
      </c>
      <c r="C15" s="65" t="s">
        <v>189</v>
      </c>
      <c r="D15" s="205" t="s">
        <v>190</v>
      </c>
      <c r="E15" s="181" t="s">
        <v>92</v>
      </c>
      <c r="F15" s="174">
        <v>1115</v>
      </c>
      <c r="G15" s="122" t="s">
        <v>144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117</v>
      </c>
      <c r="O15" s="318"/>
      <c r="P15" s="319"/>
      <c r="Q15" s="32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272">
        <v>11768</v>
      </c>
      <c r="C16" s="280" t="s">
        <v>191</v>
      </c>
      <c r="D16" s="281" t="s">
        <v>192</v>
      </c>
      <c r="E16" s="270" t="s">
        <v>92</v>
      </c>
      <c r="F16" s="282">
        <v>1125</v>
      </c>
      <c r="G16" s="267" t="s">
        <v>132</v>
      </c>
      <c r="H16" s="283"/>
      <c r="I16" s="273"/>
      <c r="J16" s="273" t="str">
        <f t="shared" si="1"/>
        <v>0</v>
      </c>
      <c r="K16" s="273">
        <v>62.5</v>
      </c>
      <c r="L16" s="274"/>
      <c r="M16" s="274">
        <v>375</v>
      </c>
      <c r="N16" s="134" t="s">
        <v>117</v>
      </c>
      <c r="O16" s="324" t="s">
        <v>193</v>
      </c>
      <c r="P16" s="325"/>
      <c r="Q16" s="326"/>
      <c r="R16" s="82">
        <f>H32/U16</f>
        <v>0.51700680272108845</v>
      </c>
      <c r="S16" s="83">
        <f>H32/(U16-U5)</f>
        <v>0.67256637168141598</v>
      </c>
      <c r="T16" s="83">
        <f>C32/U16</f>
        <v>43.121088435374148</v>
      </c>
      <c r="U16" s="83">
        <f>SUM(U5:U15)</f>
        <v>36.75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11769</v>
      </c>
      <c r="C17" s="18" t="s">
        <v>194</v>
      </c>
      <c r="D17" s="203" t="s">
        <v>195</v>
      </c>
      <c r="E17" s="181" t="s">
        <v>91</v>
      </c>
      <c r="F17" s="66">
        <v>1140</v>
      </c>
      <c r="G17" s="121" t="s">
        <v>144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117</v>
      </c>
      <c r="O17" s="318"/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11770</v>
      </c>
      <c r="C18" s="18" t="s">
        <v>196</v>
      </c>
      <c r="D18" s="203" t="s">
        <v>197</v>
      </c>
      <c r="E18" s="181" t="s">
        <v>91</v>
      </c>
      <c r="F18" s="66">
        <v>1200</v>
      </c>
      <c r="G18" s="20" t="s">
        <v>144</v>
      </c>
      <c r="H18" s="123"/>
      <c r="I18" s="124">
        <v>100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117</v>
      </c>
      <c r="O18" s="318"/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11771</v>
      </c>
      <c r="C19" s="18" t="s">
        <v>198</v>
      </c>
      <c r="D19" s="203" t="s">
        <v>199</v>
      </c>
      <c r="E19" s="181" t="s">
        <v>91</v>
      </c>
      <c r="F19" s="66">
        <v>1205</v>
      </c>
      <c r="G19" s="121" t="s">
        <v>112</v>
      </c>
      <c r="H19" s="123"/>
      <c r="I19" s="124"/>
      <c r="J19" s="130" t="str">
        <f t="shared" si="1"/>
        <v>0</v>
      </c>
      <c r="K19" s="130">
        <v>79.099999999999994</v>
      </c>
      <c r="L19" s="131"/>
      <c r="M19" s="131"/>
      <c r="N19" s="134" t="s">
        <v>117</v>
      </c>
      <c r="O19" s="318" t="s">
        <v>200</v>
      </c>
      <c r="P19" s="319"/>
      <c r="Q19" s="319"/>
      <c r="R19" s="93" t="s">
        <v>45</v>
      </c>
      <c r="S19" s="94">
        <f>COUNT(L5:M29,L37:M61,L69:M93)</f>
        <v>2</v>
      </c>
      <c r="T19" s="116">
        <f>SUM(L5:M29,L37:M61,L69:M93)</f>
        <v>850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11772</v>
      </c>
      <c r="C20" s="18" t="s">
        <v>201</v>
      </c>
      <c r="D20" s="203" t="s">
        <v>202</v>
      </c>
      <c r="E20" s="181" t="s">
        <v>91</v>
      </c>
      <c r="F20" s="66">
        <v>1230</v>
      </c>
      <c r="G20" s="121" t="s">
        <v>112</v>
      </c>
      <c r="H20" s="123"/>
      <c r="I20" s="219"/>
      <c r="J20" s="130" t="str">
        <f t="shared" si="1"/>
        <v>0</v>
      </c>
      <c r="K20" s="221">
        <v>79.099999999999994</v>
      </c>
      <c r="L20" s="220"/>
      <c r="M20" s="220"/>
      <c r="N20" s="134" t="s">
        <v>117</v>
      </c>
      <c r="O20" s="329" t="s">
        <v>203</v>
      </c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11773</v>
      </c>
      <c r="C21" s="18" t="s">
        <v>204</v>
      </c>
      <c r="D21" s="203" t="s">
        <v>205</v>
      </c>
      <c r="E21" s="181" t="s">
        <v>92</v>
      </c>
      <c r="F21" s="66">
        <v>1255</v>
      </c>
      <c r="G21" s="20" t="s">
        <v>132</v>
      </c>
      <c r="H21" s="123"/>
      <c r="I21" s="124"/>
      <c r="J21" s="130" t="str">
        <f t="shared" si="1"/>
        <v>0</v>
      </c>
      <c r="K21" s="130" t="str">
        <f t="shared" si="2"/>
        <v>45.8</v>
      </c>
      <c r="L21" s="131"/>
      <c r="M21" s="131"/>
      <c r="N21" s="134" t="s">
        <v>117</v>
      </c>
      <c r="O21" s="318" t="s">
        <v>206</v>
      </c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11774</v>
      </c>
      <c r="C22" s="127" t="s">
        <v>207</v>
      </c>
      <c r="D22" s="206" t="s">
        <v>208</v>
      </c>
      <c r="E22" s="181" t="s">
        <v>92</v>
      </c>
      <c r="F22" s="175">
        <v>1410</v>
      </c>
      <c r="G22" s="263" t="s">
        <v>106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117</v>
      </c>
      <c r="O22" s="318"/>
      <c r="P22" s="319"/>
      <c r="Q22" s="32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11775</v>
      </c>
      <c r="C23" s="136" t="s">
        <v>209</v>
      </c>
      <c r="D23" s="207" t="s">
        <v>210</v>
      </c>
      <c r="E23" s="181" t="s">
        <v>91</v>
      </c>
      <c r="F23" s="176">
        <v>1510</v>
      </c>
      <c r="G23" s="165" t="s">
        <v>165</v>
      </c>
      <c r="H23" s="89"/>
      <c r="I23" s="141">
        <v>150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117</v>
      </c>
      <c r="O23" s="163"/>
      <c r="P23" s="164"/>
      <c r="Q23" s="159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8"/>
      <c r="P25" s="319"/>
      <c r="Q25" s="32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1584.6999999999998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8"/>
      <c r="P26" s="319"/>
      <c r="Q26" s="320"/>
      <c r="R26" s="112">
        <f>R25*37.5</f>
        <v>0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8"/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8"/>
      <c r="P28" s="319"/>
      <c r="Q28" s="320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9"/>
      <c r="P29" s="350"/>
      <c r="Q29" s="351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5" t="s">
        <v>48</v>
      </c>
      <c r="B30" s="356"/>
      <c r="C30" s="356"/>
      <c r="D30" s="356"/>
      <c r="E30" s="357"/>
      <c r="F30" s="356"/>
      <c r="G30" s="356"/>
      <c r="H30" s="264">
        <f t="shared" ref="H30:M30" si="3">SUM(H5:H29)</f>
        <v>505</v>
      </c>
      <c r="I30" s="105">
        <f>SUM(I5:I29)</f>
        <v>475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549.69999999999993</v>
      </c>
      <c r="L30" s="106">
        <f t="shared" si="3"/>
        <v>0</v>
      </c>
      <c r="M30" s="106">
        <f t="shared" si="3"/>
        <v>850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0" t="s">
        <v>16</v>
      </c>
      <c r="B31" s="361"/>
      <c r="C31" s="361"/>
      <c r="D31" s="361"/>
      <c r="E31" s="361"/>
      <c r="F31" s="361"/>
      <c r="G31" s="361"/>
      <c r="H31" s="265">
        <f t="shared" ref="H31:J31" si="4">H30+H62+H94</f>
        <v>505</v>
      </c>
      <c r="I31" s="103">
        <f t="shared" si="4"/>
        <v>475</v>
      </c>
      <c r="J31" s="103">
        <f t="shared" si="4"/>
        <v>55</v>
      </c>
      <c r="K31" s="103">
        <f>K30+K62+K94</f>
        <v>549.69999999999993</v>
      </c>
      <c r="L31" s="97">
        <f>L30+L62+L94</f>
        <v>0</v>
      </c>
      <c r="M31" s="97">
        <f>M30+M62+M94</f>
        <v>850</v>
      </c>
      <c r="N31" s="262">
        <f>COUNT(H5:H29,H37:H61,H69:H93)</f>
        <v>6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8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505</v>
      </c>
      <c r="T31" s="345">
        <f>H31+I31+L31+M31</f>
        <v>1830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36" t="s">
        <v>55</v>
      </c>
      <c r="B32" s="337"/>
      <c r="C32" s="107">
        <f>H31+I31+J31+K31</f>
        <v>1584.6999999999998</v>
      </c>
      <c r="D32" s="196"/>
      <c r="E32" s="107"/>
      <c r="F32" s="338" t="s">
        <v>53</v>
      </c>
      <c r="G32" s="338"/>
      <c r="H32" s="109">
        <f>COUNT(B5:B29,B37:B61,B69:B93)</f>
        <v>19</v>
      </c>
      <c r="I32" s="339" t="s">
        <v>54</v>
      </c>
      <c r="J32" s="339"/>
      <c r="K32" s="108">
        <f>C32/H32</f>
        <v>83.405263157894723</v>
      </c>
      <c r="L32" s="260"/>
      <c r="M32" s="260"/>
      <c r="N32" s="260">
        <f>H31/C32</f>
        <v>0.31867230390610213</v>
      </c>
      <c r="O32" s="260">
        <f>I31/C32</f>
        <v>0.29974127595128419</v>
      </c>
      <c r="P32" s="260">
        <f>K31/C32</f>
        <v>0.34687953555878082</v>
      </c>
      <c r="Q32" s="110">
        <f>J31/C32</f>
        <v>3.4706884583832906E-2</v>
      </c>
      <c r="R32" s="99" t="s">
        <v>82</v>
      </c>
      <c r="S32" s="266">
        <f>I31+M31</f>
        <v>1325</v>
      </c>
      <c r="T32" s="347"/>
      <c r="U32" s="348"/>
      <c r="V32" s="55"/>
      <c r="W32" s="55"/>
      <c r="X32" s="56" t="s">
        <v>27</v>
      </c>
      <c r="Y32" s="56"/>
      <c r="Z32" s="54">
        <f>I31</f>
        <v>475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-2270</v>
      </c>
      <c r="AE33" s="37"/>
      <c r="AF33" s="37"/>
      <c r="AG33" s="59"/>
      <c r="AH33" s="37"/>
    </row>
    <row r="34" spans="1:34" ht="17.25" thickBot="1" x14ac:dyDescent="0.35">
      <c r="A34" s="301" t="str">
        <f>A2</f>
        <v>26-10-2022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SUNNY</v>
      </c>
      <c r="K34" s="303"/>
      <c r="L34" s="305" t="s">
        <v>50</v>
      </c>
      <c r="M34" s="306"/>
      <c r="N34" s="304"/>
      <c r="O34" s="302" t="str">
        <f>O2</f>
        <v>JOHN</v>
      </c>
      <c r="P34" s="302"/>
      <c r="Q34" s="303"/>
      <c r="R34" s="305" t="s">
        <v>51</v>
      </c>
      <c r="S34" s="304"/>
      <c r="T34" s="307">
        <f>T2</f>
        <v>5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1" t="s">
        <v>8</v>
      </c>
      <c r="P36" s="311"/>
      <c r="Q36" s="31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8"/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8"/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1"/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1"/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0</v>
      </c>
      <c r="I62" s="372">
        <f t="shared" si="8"/>
        <v>0</v>
      </c>
      <c r="J62" s="372">
        <f>J61+J60+J59+J58+J57+J56+J55+J54+J53+J52+J51+J50+J49+J48+J47+J46+J45+J44+J43+J42+J41+J40+J39+J38+J37</f>
        <v>0</v>
      </c>
      <c r="K62" s="372">
        <f>K61+K60+K59+K58+K57+K56+K55+K54+K53+K52+K51+K50+K49+K48+K47+K46+K45+K44+K43+K42+K41+K40+K39+K38+K37</f>
        <v>0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26-10-2022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SUNNY</v>
      </c>
      <c r="K66" s="303"/>
      <c r="L66" s="305" t="s">
        <v>50</v>
      </c>
      <c r="M66" s="306"/>
      <c r="N66" s="304"/>
      <c r="O66" s="302" t="str">
        <f>O34</f>
        <v>JOHN</v>
      </c>
      <c r="P66" s="302"/>
      <c r="Q66" s="303"/>
      <c r="R66" s="305" t="s">
        <v>51</v>
      </c>
      <c r="S66" s="304"/>
      <c r="T66" s="307">
        <f>T34</f>
        <v>5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1" t="s">
        <v>8</v>
      </c>
      <c r="P68" s="311"/>
      <c r="Q68" s="31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sqref="A1:U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211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223</v>
      </c>
      <c r="K2" s="303"/>
      <c r="L2" s="305" t="s">
        <v>96</v>
      </c>
      <c r="M2" s="306"/>
      <c r="N2" s="304"/>
      <c r="O2" s="302" t="s">
        <v>222</v>
      </c>
      <c r="P2" s="302"/>
      <c r="Q2" s="303"/>
      <c r="R2" s="305" t="s">
        <v>51</v>
      </c>
      <c r="S2" s="304"/>
      <c r="T2" s="307">
        <v>4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1" t="s">
        <v>8</v>
      </c>
      <c r="P4" s="311"/>
      <c r="Q4" s="31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11776</v>
      </c>
      <c r="C5" s="68" t="s">
        <v>213</v>
      </c>
      <c r="D5" s="200" t="s">
        <v>214</v>
      </c>
      <c r="E5" s="181" t="s">
        <v>91</v>
      </c>
      <c r="F5" s="170">
        <v>905</v>
      </c>
      <c r="G5" s="118" t="s">
        <v>112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117</v>
      </c>
      <c r="O5" s="312" t="s">
        <v>215</v>
      </c>
      <c r="P5" s="313"/>
      <c r="Q5" s="314"/>
      <c r="R5" s="33" t="s">
        <v>117</v>
      </c>
      <c r="S5" s="31">
        <v>0.34375</v>
      </c>
      <c r="T5" s="32">
        <v>0.45833333333333331</v>
      </c>
      <c r="U5" s="92">
        <f t="shared" ref="U5:U15" si="0">(T5-S5)*24</f>
        <v>2.7499999999999996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11777</v>
      </c>
      <c r="C6" s="67" t="s">
        <v>216</v>
      </c>
      <c r="D6" s="200" t="s">
        <v>217</v>
      </c>
      <c r="E6" s="181" t="s">
        <v>91</v>
      </c>
      <c r="F6" s="171">
        <v>915</v>
      </c>
      <c r="G6" s="118" t="s">
        <v>144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117</v>
      </c>
      <c r="O6" s="315"/>
      <c r="P6" s="316"/>
      <c r="Q6" s="317"/>
      <c r="R6" s="132" t="s">
        <v>118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11778</v>
      </c>
      <c r="C7" s="67" t="s">
        <v>224</v>
      </c>
      <c r="D7" s="200" t="s">
        <v>225</v>
      </c>
      <c r="E7" s="181" t="s">
        <v>92</v>
      </c>
      <c r="F7" s="171">
        <v>940</v>
      </c>
      <c r="G7" s="118" t="s">
        <v>144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117</v>
      </c>
      <c r="O7" s="318"/>
      <c r="P7" s="319"/>
      <c r="Q7" s="320"/>
      <c r="R7" s="134" t="s">
        <v>212</v>
      </c>
      <c r="S7" s="31">
        <v>0.33333333333333331</v>
      </c>
      <c r="T7" s="32">
        <v>0.69791666666666663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11779</v>
      </c>
      <c r="C8" s="27" t="s">
        <v>219</v>
      </c>
      <c r="D8" s="200" t="s">
        <v>220</v>
      </c>
      <c r="E8" s="181" t="s">
        <v>92</v>
      </c>
      <c r="F8" s="171">
        <v>950</v>
      </c>
      <c r="G8" s="118" t="s">
        <v>221</v>
      </c>
      <c r="H8" s="91"/>
      <c r="I8" s="124">
        <v>45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117</v>
      </c>
      <c r="O8" s="321"/>
      <c r="P8" s="322"/>
      <c r="Q8" s="323"/>
      <c r="R8" s="134" t="s">
        <v>124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11780</v>
      </c>
      <c r="C9" s="63" t="s">
        <v>226</v>
      </c>
      <c r="D9" s="201" t="s">
        <v>227</v>
      </c>
      <c r="E9" s="181" t="s">
        <v>92</v>
      </c>
      <c r="F9" s="172">
        <v>1000</v>
      </c>
      <c r="G9" s="119" t="s">
        <v>144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117</v>
      </c>
      <c r="O9" s="321"/>
      <c r="P9" s="322"/>
      <c r="Q9" s="323"/>
      <c r="R9" s="26" t="s">
        <v>125</v>
      </c>
      <c r="S9" s="31">
        <v>0.39583333333333331</v>
      </c>
      <c r="T9" s="32">
        <v>0.44791666666666669</v>
      </c>
      <c r="U9" s="92">
        <f t="shared" si="0"/>
        <v>1.2500000000000009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11781</v>
      </c>
      <c r="C10" s="28" t="s">
        <v>228</v>
      </c>
      <c r="D10" s="202" t="s">
        <v>229</v>
      </c>
      <c r="E10" s="181" t="s">
        <v>92</v>
      </c>
      <c r="F10" s="173">
        <v>1025</v>
      </c>
      <c r="G10" s="120" t="s">
        <v>165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117</v>
      </c>
      <c r="O10" s="308" t="s">
        <v>230</v>
      </c>
      <c r="P10" s="309"/>
      <c r="Q10" s="310"/>
      <c r="R10" s="26" t="s">
        <v>126</v>
      </c>
      <c r="S10" s="31">
        <v>0.44791666666666669</v>
      </c>
      <c r="T10" s="32">
        <v>0.69791666666666663</v>
      </c>
      <c r="U10" s="92">
        <f t="shared" si="0"/>
        <v>5.9999999999999982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11782</v>
      </c>
      <c r="C11" s="18" t="s">
        <v>231</v>
      </c>
      <c r="D11" s="203" t="s">
        <v>232</v>
      </c>
      <c r="E11" s="181" t="s">
        <v>91</v>
      </c>
      <c r="F11" s="66">
        <v>1030</v>
      </c>
      <c r="G11" s="121" t="s">
        <v>106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117</v>
      </c>
      <c r="O11" s="318"/>
      <c r="P11" s="319"/>
      <c r="Q11" s="320"/>
      <c r="R11" s="284" t="s">
        <v>218</v>
      </c>
      <c r="S11" s="31">
        <v>0.4375</v>
      </c>
      <c r="T11" s="32">
        <v>0.66666666666666663</v>
      </c>
      <c r="U11" s="92">
        <f t="shared" si="0"/>
        <v>5.4999999999999991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11783</v>
      </c>
      <c r="C12" s="64" t="s">
        <v>233</v>
      </c>
      <c r="D12" s="204" t="s">
        <v>234</v>
      </c>
      <c r="E12" s="181" t="s">
        <v>91</v>
      </c>
      <c r="F12" s="173">
        <v>1030</v>
      </c>
      <c r="G12" s="119" t="s">
        <v>44</v>
      </c>
      <c r="H12" s="123">
        <v>25</v>
      </c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117</v>
      </c>
      <c r="O12" s="318" t="s">
        <v>235</v>
      </c>
      <c r="P12" s="319"/>
      <c r="Q12" s="320"/>
      <c r="R12" s="284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11784</v>
      </c>
      <c r="C13" s="64" t="s">
        <v>236</v>
      </c>
      <c r="D13" s="204" t="s">
        <v>237</v>
      </c>
      <c r="E13" s="181" t="s">
        <v>92</v>
      </c>
      <c r="F13" s="173">
        <v>1130</v>
      </c>
      <c r="G13" s="119" t="s">
        <v>165</v>
      </c>
      <c r="H13" s="169"/>
      <c r="I13" s="168">
        <v>130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118</v>
      </c>
      <c r="O13" s="318"/>
      <c r="P13" s="319"/>
      <c r="Q13" s="32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11785</v>
      </c>
      <c r="C14" s="65" t="s">
        <v>238</v>
      </c>
      <c r="D14" s="205" t="s">
        <v>239</v>
      </c>
      <c r="E14" s="181" t="s">
        <v>92</v>
      </c>
      <c r="F14" s="174">
        <v>1205</v>
      </c>
      <c r="G14" s="122" t="s">
        <v>106</v>
      </c>
      <c r="H14" s="123"/>
      <c r="I14" s="125">
        <v>65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118</v>
      </c>
      <c r="O14" s="318"/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11786</v>
      </c>
      <c r="C15" s="65" t="s">
        <v>240</v>
      </c>
      <c r="D15" s="205" t="s">
        <v>241</v>
      </c>
      <c r="E15" s="181" t="s">
        <v>92</v>
      </c>
      <c r="F15" s="174">
        <v>1215</v>
      </c>
      <c r="G15" s="122" t="s">
        <v>144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118</v>
      </c>
      <c r="O15" s="318"/>
      <c r="P15" s="319"/>
      <c r="Q15" s="32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11787</v>
      </c>
      <c r="C16" s="65" t="s">
        <v>242</v>
      </c>
      <c r="D16" s="205" t="s">
        <v>243</v>
      </c>
      <c r="E16" s="181" t="s">
        <v>92</v>
      </c>
      <c r="F16" s="174">
        <v>1220</v>
      </c>
      <c r="G16" s="122" t="s">
        <v>106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118</v>
      </c>
      <c r="O16" s="318"/>
      <c r="P16" s="319"/>
      <c r="Q16" s="320"/>
      <c r="R16" s="82">
        <f>H32/U16</f>
        <v>0.45</v>
      </c>
      <c r="S16" s="83">
        <f>H32/(U16-U5)</f>
        <v>0.48322147651006714</v>
      </c>
      <c r="T16" s="83">
        <f>C32/U16</f>
        <v>37.977499999999999</v>
      </c>
      <c r="U16" s="83">
        <f>SUM(U5:U15)</f>
        <v>40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11788</v>
      </c>
      <c r="C17" s="18" t="s">
        <v>244</v>
      </c>
      <c r="D17" s="203" t="s">
        <v>245</v>
      </c>
      <c r="E17" s="181" t="s">
        <v>91</v>
      </c>
      <c r="F17" s="66">
        <v>1230</v>
      </c>
      <c r="G17" s="121" t="s">
        <v>44</v>
      </c>
      <c r="H17" s="123">
        <v>20</v>
      </c>
      <c r="I17" s="124"/>
      <c r="J17" s="130" t="str">
        <f t="shared" si="1"/>
        <v>55</v>
      </c>
      <c r="K17" s="130" t="str">
        <f t="shared" si="2"/>
        <v>0</v>
      </c>
      <c r="L17" s="131"/>
      <c r="M17" s="131"/>
      <c r="N17" s="134" t="s">
        <v>118</v>
      </c>
      <c r="O17" s="318" t="s">
        <v>246</v>
      </c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11789</v>
      </c>
      <c r="C18" s="18" t="s">
        <v>247</v>
      </c>
      <c r="D18" s="203" t="s">
        <v>248</v>
      </c>
      <c r="E18" s="181" t="s">
        <v>91</v>
      </c>
      <c r="F18" s="66">
        <v>1245</v>
      </c>
      <c r="G18" s="20" t="s">
        <v>106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118</v>
      </c>
      <c r="O18" s="318"/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11790</v>
      </c>
      <c r="C19" s="18" t="s">
        <v>249</v>
      </c>
      <c r="D19" s="203" t="s">
        <v>250</v>
      </c>
      <c r="E19" s="181" t="s">
        <v>91</v>
      </c>
      <c r="F19" s="66">
        <v>1250</v>
      </c>
      <c r="G19" s="121" t="s">
        <v>106</v>
      </c>
      <c r="H19" s="123">
        <v>100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118</v>
      </c>
      <c r="O19" s="318"/>
      <c r="P19" s="319"/>
      <c r="Q19" s="31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11791</v>
      </c>
      <c r="C20" s="18" t="s">
        <v>251</v>
      </c>
      <c r="D20" s="203" t="s">
        <v>252</v>
      </c>
      <c r="E20" s="181" t="s">
        <v>91</v>
      </c>
      <c r="F20" s="66">
        <v>1400</v>
      </c>
      <c r="G20" s="121" t="s">
        <v>106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118</v>
      </c>
      <c r="O20" s="329"/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11792</v>
      </c>
      <c r="C21" s="18" t="s">
        <v>253</v>
      </c>
      <c r="D21" s="203" t="s">
        <v>254</v>
      </c>
      <c r="E21" s="181" t="s">
        <v>92</v>
      </c>
      <c r="F21" s="66">
        <v>1415</v>
      </c>
      <c r="G21" s="20" t="s">
        <v>106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126</v>
      </c>
      <c r="O21" s="318"/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11793</v>
      </c>
      <c r="C22" s="127" t="s">
        <v>255</v>
      </c>
      <c r="D22" s="206" t="s">
        <v>256</v>
      </c>
      <c r="E22" s="181" t="s">
        <v>92</v>
      </c>
      <c r="F22" s="175">
        <v>1450</v>
      </c>
      <c r="G22" s="263" t="s">
        <v>165</v>
      </c>
      <c r="H22" s="89"/>
      <c r="I22" s="141">
        <v>120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118</v>
      </c>
      <c r="O22" s="318"/>
      <c r="P22" s="319"/>
      <c r="Q22" s="32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8"/>
      <c r="P25" s="319"/>
      <c r="Q25" s="32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1519.1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8"/>
      <c r="P26" s="319"/>
      <c r="Q26" s="320"/>
      <c r="R26" s="112">
        <f>R25*37.5</f>
        <v>0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8"/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8"/>
      <c r="P28" s="319"/>
      <c r="Q28" s="320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285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9"/>
      <c r="P29" s="350"/>
      <c r="Q29" s="351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5" t="s">
        <v>48</v>
      </c>
      <c r="B30" s="356"/>
      <c r="C30" s="356"/>
      <c r="D30" s="356"/>
      <c r="E30" s="357"/>
      <c r="F30" s="356"/>
      <c r="G30" s="356"/>
      <c r="H30" s="264">
        <f t="shared" ref="H30:M30" si="3">SUM(H5:H29)</f>
        <v>445</v>
      </c>
      <c r="I30" s="105">
        <f>SUM(I5:I29)</f>
        <v>885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0" t="s">
        <v>16</v>
      </c>
      <c r="B31" s="361"/>
      <c r="C31" s="361"/>
      <c r="D31" s="361"/>
      <c r="E31" s="361"/>
      <c r="F31" s="361"/>
      <c r="G31" s="361"/>
      <c r="H31" s="265">
        <f t="shared" ref="H31:J31" si="4">H30+H62+H94</f>
        <v>445</v>
      </c>
      <c r="I31" s="103">
        <f t="shared" si="4"/>
        <v>885</v>
      </c>
      <c r="J31" s="103">
        <f t="shared" si="4"/>
        <v>110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445</v>
      </c>
      <c r="T31" s="345">
        <f>H31+I31+L31+M31</f>
        <v>1330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36" t="s">
        <v>55</v>
      </c>
      <c r="B32" s="337"/>
      <c r="C32" s="107">
        <f>H31+I31+J31+K31</f>
        <v>1519.1</v>
      </c>
      <c r="D32" s="196"/>
      <c r="E32" s="107"/>
      <c r="F32" s="338" t="s">
        <v>53</v>
      </c>
      <c r="G32" s="338"/>
      <c r="H32" s="109">
        <f>COUNT(B5:B29,B37:B61,B69:B93)</f>
        <v>18</v>
      </c>
      <c r="I32" s="339" t="s">
        <v>54</v>
      </c>
      <c r="J32" s="339"/>
      <c r="K32" s="108">
        <f>C32/H32</f>
        <v>84.394444444444446</v>
      </c>
      <c r="L32" s="260"/>
      <c r="M32" s="260"/>
      <c r="N32" s="260">
        <f>H31/C32</f>
        <v>0.29293660720163256</v>
      </c>
      <c r="O32" s="260">
        <f>I31/C32</f>
        <v>0.58258179185043779</v>
      </c>
      <c r="P32" s="260">
        <f>K31/C32</f>
        <v>5.207030478572839E-2</v>
      </c>
      <c r="Q32" s="110">
        <f>J31/C32</f>
        <v>7.2411296162201308E-2</v>
      </c>
      <c r="R32" s="99" t="s">
        <v>82</v>
      </c>
      <c r="S32" s="266">
        <f>I31+M31</f>
        <v>885</v>
      </c>
      <c r="T32" s="347"/>
      <c r="U32" s="348"/>
      <c r="V32" s="55"/>
      <c r="W32" s="55"/>
      <c r="X32" s="56" t="s">
        <v>27</v>
      </c>
      <c r="Y32" s="56"/>
      <c r="Z32" s="54">
        <f>I31</f>
        <v>885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-1860</v>
      </c>
      <c r="AE33" s="37"/>
      <c r="AF33" s="37"/>
      <c r="AG33" s="59"/>
      <c r="AH33" s="37"/>
    </row>
    <row r="34" spans="1:34" ht="17.25" thickBot="1" x14ac:dyDescent="0.35">
      <c r="A34" s="301" t="str">
        <f>A2</f>
        <v>27-10-2022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MIX</v>
      </c>
      <c r="K34" s="303"/>
      <c r="L34" s="305" t="s">
        <v>50</v>
      </c>
      <c r="M34" s="306"/>
      <c r="N34" s="304"/>
      <c r="O34" s="302" t="str">
        <f>O2</f>
        <v>JOHN/HENDRA</v>
      </c>
      <c r="P34" s="302"/>
      <c r="Q34" s="303"/>
      <c r="R34" s="305" t="s">
        <v>51</v>
      </c>
      <c r="S34" s="304"/>
      <c r="T34" s="307">
        <f>T2</f>
        <v>4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1" t="s">
        <v>8</v>
      </c>
      <c r="P36" s="311"/>
      <c r="Q36" s="31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8"/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8"/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1"/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1"/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0</v>
      </c>
      <c r="I62" s="372">
        <f t="shared" si="8"/>
        <v>0</v>
      </c>
      <c r="J62" s="372">
        <f>J61+J60+J59+J58+J57+J56+J55+J54+J53+J52+J51+J50+J49+J48+J47+J46+J45+J44+J43+J42+J41+J40+J39+J38+J37</f>
        <v>0</v>
      </c>
      <c r="K62" s="372">
        <f>K61+K60+K59+K58+K57+K56+K55+K54+K53+K52+K51+K50+K49+K48+K47+K46+K45+K44+K43+K42+K41+K40+K39+K38+K37</f>
        <v>0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27-10-2022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MIX</v>
      </c>
      <c r="K66" s="303"/>
      <c r="L66" s="305" t="s">
        <v>50</v>
      </c>
      <c r="M66" s="306"/>
      <c r="N66" s="304"/>
      <c r="O66" s="302" t="str">
        <f>O34</f>
        <v>JOHN/HENDRA</v>
      </c>
      <c r="P66" s="302"/>
      <c r="Q66" s="303"/>
      <c r="R66" s="305" t="s">
        <v>51</v>
      </c>
      <c r="S66" s="304"/>
      <c r="T66" s="307">
        <f>T34</f>
        <v>4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1" t="s">
        <v>8</v>
      </c>
      <c r="P68" s="311"/>
      <c r="Q68" s="31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7" zoomScaleNormal="100" zoomScaleSheetLayoutView="77" workbookViewId="0">
      <selection activeCell="K31" sqref="K3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257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162</v>
      </c>
      <c r="K2" s="303"/>
      <c r="L2" s="305" t="s">
        <v>50</v>
      </c>
      <c r="M2" s="306"/>
      <c r="N2" s="304"/>
      <c r="O2" s="302" t="s">
        <v>118</v>
      </c>
      <c r="P2" s="302"/>
      <c r="Q2" s="303"/>
      <c r="R2" s="305" t="s">
        <v>51</v>
      </c>
      <c r="S2" s="304"/>
      <c r="T2" s="307">
        <v>6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1" t="s">
        <v>8</v>
      </c>
      <c r="P4" s="311"/>
      <c r="Q4" s="31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11794</v>
      </c>
      <c r="C5" s="68" t="s">
        <v>260</v>
      </c>
      <c r="D5" s="200" t="s">
        <v>261</v>
      </c>
      <c r="E5" s="181" t="s">
        <v>92</v>
      </c>
      <c r="F5" s="170">
        <v>830</v>
      </c>
      <c r="G5" s="118" t="s">
        <v>44</v>
      </c>
      <c r="H5" s="91"/>
      <c r="I5" s="124"/>
      <c r="J5" s="130">
        <v>110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118</v>
      </c>
      <c r="O5" s="312" t="s">
        <v>262</v>
      </c>
      <c r="P5" s="313"/>
      <c r="Q5" s="314"/>
      <c r="R5" s="33" t="s">
        <v>118</v>
      </c>
      <c r="S5" s="31">
        <v>0.33333333333333331</v>
      </c>
      <c r="T5" s="32">
        <v>0.75</v>
      </c>
      <c r="U5" s="92">
        <f t="shared" ref="U5:U15" si="0">(T5-S5)*24</f>
        <v>10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11795</v>
      </c>
      <c r="C6" s="67" t="s">
        <v>263</v>
      </c>
      <c r="D6" s="200" t="s">
        <v>264</v>
      </c>
      <c r="E6" s="181" t="s">
        <v>91</v>
      </c>
      <c r="F6" s="171">
        <v>915</v>
      </c>
      <c r="G6" s="118" t="s">
        <v>112</v>
      </c>
      <c r="H6" s="91">
        <v>55</v>
      </c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118</v>
      </c>
      <c r="O6" s="315" t="s">
        <v>265</v>
      </c>
      <c r="P6" s="316"/>
      <c r="Q6" s="317"/>
      <c r="R6" s="132" t="s">
        <v>212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11796</v>
      </c>
      <c r="C7" s="67" t="s">
        <v>266</v>
      </c>
      <c r="D7" s="200" t="s">
        <v>267</v>
      </c>
      <c r="E7" s="181" t="s">
        <v>91</v>
      </c>
      <c r="F7" s="171">
        <v>930</v>
      </c>
      <c r="G7" s="118" t="s">
        <v>44</v>
      </c>
      <c r="H7" s="91"/>
      <c r="I7" s="124"/>
      <c r="J7" s="130" t="str">
        <f t="shared" si="1"/>
        <v>55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118</v>
      </c>
      <c r="O7" s="318" t="s">
        <v>268</v>
      </c>
      <c r="P7" s="319"/>
      <c r="Q7" s="320"/>
      <c r="R7" s="134" t="s">
        <v>124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11797</v>
      </c>
      <c r="C8" s="27" t="s">
        <v>269</v>
      </c>
      <c r="D8" s="200" t="s">
        <v>270</v>
      </c>
      <c r="E8" s="181" t="s">
        <v>92</v>
      </c>
      <c r="F8" s="171">
        <v>930</v>
      </c>
      <c r="G8" s="118" t="s">
        <v>112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118</v>
      </c>
      <c r="O8" s="321" t="s">
        <v>271</v>
      </c>
      <c r="P8" s="322"/>
      <c r="Q8" s="323"/>
      <c r="R8" s="26" t="s">
        <v>125</v>
      </c>
      <c r="S8" s="31">
        <v>0.40625</v>
      </c>
      <c r="T8" s="32">
        <v>0.72916666666666663</v>
      </c>
      <c r="U8" s="92">
        <f t="shared" si="0"/>
        <v>7.7499999999999991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11798</v>
      </c>
      <c r="C9" s="63" t="s">
        <v>272</v>
      </c>
      <c r="D9" s="201" t="s">
        <v>273</v>
      </c>
      <c r="E9" s="181" t="s">
        <v>91</v>
      </c>
      <c r="F9" s="172">
        <v>940</v>
      </c>
      <c r="G9" s="119" t="s">
        <v>274</v>
      </c>
      <c r="H9" s="91"/>
      <c r="I9" s="91">
        <v>200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118</v>
      </c>
      <c r="O9" s="321"/>
      <c r="P9" s="322"/>
      <c r="Q9" s="323"/>
      <c r="R9" s="26" t="s">
        <v>126</v>
      </c>
      <c r="S9" s="31">
        <v>0.41666666666666669</v>
      </c>
      <c r="T9" s="32">
        <v>0.71875</v>
      </c>
      <c r="U9" s="92">
        <f t="shared" si="0"/>
        <v>7.25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11799</v>
      </c>
      <c r="C10" s="28" t="s">
        <v>275</v>
      </c>
      <c r="D10" s="202" t="s">
        <v>276</v>
      </c>
      <c r="E10" s="181" t="s">
        <v>92</v>
      </c>
      <c r="F10" s="173">
        <v>945</v>
      </c>
      <c r="G10" s="120" t="s">
        <v>144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118</v>
      </c>
      <c r="O10" s="308"/>
      <c r="P10" s="309"/>
      <c r="Q10" s="310"/>
      <c r="R10" s="26" t="s">
        <v>258</v>
      </c>
      <c r="S10" s="31">
        <v>0.42708333333333331</v>
      </c>
      <c r="T10" s="32">
        <v>0.71875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11800</v>
      </c>
      <c r="C11" s="18" t="s">
        <v>277</v>
      </c>
      <c r="D11" s="203" t="s">
        <v>278</v>
      </c>
      <c r="E11" s="181" t="s">
        <v>91</v>
      </c>
      <c r="F11" s="66">
        <v>1000</v>
      </c>
      <c r="G11" s="121" t="s">
        <v>144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118</v>
      </c>
      <c r="O11" s="318"/>
      <c r="P11" s="319"/>
      <c r="Q11" s="320"/>
      <c r="R11" s="293" t="s">
        <v>259</v>
      </c>
      <c r="S11" s="31">
        <v>0.41666666666666669</v>
      </c>
      <c r="T11" s="32">
        <v>0.65625</v>
      </c>
      <c r="U11" s="92">
        <f t="shared" si="0"/>
        <v>5.75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11801</v>
      </c>
      <c r="C12" s="64" t="s">
        <v>279</v>
      </c>
      <c r="D12" s="204" t="s">
        <v>280</v>
      </c>
      <c r="E12" s="181" t="s">
        <v>91</v>
      </c>
      <c r="F12" s="173">
        <v>1010</v>
      </c>
      <c r="G12" s="119" t="s">
        <v>144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118</v>
      </c>
      <c r="O12" s="318"/>
      <c r="P12" s="319"/>
      <c r="Q12" s="320"/>
      <c r="R12" s="293" t="s">
        <v>218</v>
      </c>
      <c r="S12" s="31">
        <v>0.54166666666666663</v>
      </c>
      <c r="T12" s="32">
        <v>0.71875</v>
      </c>
      <c r="U12" s="92">
        <f t="shared" si="0"/>
        <v>4.2500000000000009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11802</v>
      </c>
      <c r="C13" s="64" t="s">
        <v>281</v>
      </c>
      <c r="D13" s="204" t="s">
        <v>282</v>
      </c>
      <c r="E13" s="181" t="s">
        <v>92</v>
      </c>
      <c r="F13" s="173">
        <v>1015</v>
      </c>
      <c r="G13" s="119" t="s">
        <v>112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118</v>
      </c>
      <c r="O13" s="318" t="s">
        <v>283</v>
      </c>
      <c r="P13" s="319"/>
      <c r="Q13" s="32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11803</v>
      </c>
      <c r="C14" s="65" t="s">
        <v>284</v>
      </c>
      <c r="D14" s="205" t="s">
        <v>210</v>
      </c>
      <c r="E14" s="181" t="s">
        <v>91</v>
      </c>
      <c r="F14" s="174">
        <v>1025</v>
      </c>
      <c r="G14" s="122" t="s">
        <v>128</v>
      </c>
      <c r="H14" s="123"/>
      <c r="I14" s="125">
        <v>250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118</v>
      </c>
      <c r="O14" s="318"/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11804</v>
      </c>
      <c r="C15" s="65" t="s">
        <v>285</v>
      </c>
      <c r="D15" s="205" t="s">
        <v>286</v>
      </c>
      <c r="E15" s="181" t="s">
        <v>92</v>
      </c>
      <c r="F15" s="174">
        <v>1035</v>
      </c>
      <c r="G15" s="122" t="s">
        <v>106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126</v>
      </c>
      <c r="O15" s="318"/>
      <c r="P15" s="319"/>
      <c r="Q15" s="32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11805</v>
      </c>
      <c r="C16" s="65" t="s">
        <v>287</v>
      </c>
      <c r="D16" s="205" t="s">
        <v>288</v>
      </c>
      <c r="E16" s="181" t="s">
        <v>91</v>
      </c>
      <c r="F16" s="174">
        <v>1050</v>
      </c>
      <c r="G16" s="122" t="s">
        <v>44</v>
      </c>
      <c r="H16" s="123"/>
      <c r="I16" s="124"/>
      <c r="J16" s="130" t="str">
        <f t="shared" si="1"/>
        <v>55</v>
      </c>
      <c r="K16" s="130" t="str">
        <f t="shared" si="2"/>
        <v>0</v>
      </c>
      <c r="L16" s="131"/>
      <c r="M16" s="131"/>
      <c r="N16" s="134" t="s">
        <v>118</v>
      </c>
      <c r="O16" s="318" t="s">
        <v>289</v>
      </c>
      <c r="P16" s="319"/>
      <c r="Q16" s="320"/>
      <c r="R16" s="82">
        <f>H32/U16</f>
        <v>0.52991452991452992</v>
      </c>
      <c r="S16" s="83">
        <f>H32/(U16-U5)</f>
        <v>0.63917525773195871</v>
      </c>
      <c r="T16" s="83">
        <f>C32/U16</f>
        <v>61.537777777777777</v>
      </c>
      <c r="U16" s="83">
        <f>SUM(U5:U15)</f>
        <v>58.5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11806</v>
      </c>
      <c r="C17" s="18" t="s">
        <v>290</v>
      </c>
      <c r="D17" s="203" t="s">
        <v>291</v>
      </c>
      <c r="E17" s="181" t="s">
        <v>92</v>
      </c>
      <c r="F17" s="66">
        <v>1110</v>
      </c>
      <c r="G17" s="121" t="s">
        <v>106</v>
      </c>
      <c r="H17" s="123">
        <v>55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118</v>
      </c>
      <c r="O17" s="318"/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11807</v>
      </c>
      <c r="C18" s="18" t="s">
        <v>292</v>
      </c>
      <c r="D18" s="203" t="s">
        <v>293</v>
      </c>
      <c r="E18" s="181" t="s">
        <v>92</v>
      </c>
      <c r="F18" s="66">
        <v>1115</v>
      </c>
      <c r="G18" s="20" t="s">
        <v>106</v>
      </c>
      <c r="H18" s="123">
        <v>60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118</v>
      </c>
      <c r="O18" s="318"/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11808</v>
      </c>
      <c r="C19" s="18" t="s">
        <v>294</v>
      </c>
      <c r="D19" s="203" t="s">
        <v>295</v>
      </c>
      <c r="E19" s="181" t="s">
        <v>92</v>
      </c>
      <c r="F19" s="66">
        <v>1120</v>
      </c>
      <c r="G19" s="121" t="s">
        <v>144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118</v>
      </c>
      <c r="O19" s="318"/>
      <c r="P19" s="319"/>
      <c r="Q19" s="319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11809</v>
      </c>
      <c r="C20" s="18" t="s">
        <v>296</v>
      </c>
      <c r="D20" s="203" t="s">
        <v>176</v>
      </c>
      <c r="E20" s="181" t="s">
        <v>92</v>
      </c>
      <c r="F20" s="66">
        <v>1130</v>
      </c>
      <c r="G20" s="121" t="s">
        <v>132</v>
      </c>
      <c r="H20" s="123"/>
      <c r="I20" s="219"/>
      <c r="J20" s="130" t="str">
        <f t="shared" si="1"/>
        <v>0</v>
      </c>
      <c r="K20" s="221">
        <v>62.5</v>
      </c>
      <c r="L20" s="220"/>
      <c r="M20" s="220"/>
      <c r="N20" s="134" t="s">
        <v>118</v>
      </c>
      <c r="O20" s="329" t="s">
        <v>297</v>
      </c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11810</v>
      </c>
      <c r="C21" s="18" t="s">
        <v>298</v>
      </c>
      <c r="D21" s="203" t="s">
        <v>299</v>
      </c>
      <c r="E21" s="181" t="s">
        <v>91</v>
      </c>
      <c r="F21" s="66">
        <v>1235</v>
      </c>
      <c r="G21" s="20" t="s">
        <v>112</v>
      </c>
      <c r="H21" s="123"/>
      <c r="I21" s="124"/>
      <c r="J21" s="130" t="str">
        <f t="shared" si="1"/>
        <v>0</v>
      </c>
      <c r="K21" s="130">
        <v>79.16</v>
      </c>
      <c r="L21" s="131"/>
      <c r="M21" s="131"/>
      <c r="N21" s="134" t="s">
        <v>118</v>
      </c>
      <c r="O21" s="318" t="s">
        <v>300</v>
      </c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11811</v>
      </c>
      <c r="C22" s="127" t="s">
        <v>301</v>
      </c>
      <c r="D22" s="206" t="s">
        <v>302</v>
      </c>
      <c r="E22" s="181" t="s">
        <v>92</v>
      </c>
      <c r="F22" s="175">
        <v>1140</v>
      </c>
      <c r="G22" s="263" t="s">
        <v>144</v>
      </c>
      <c r="H22" s="89">
        <v>95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118</v>
      </c>
      <c r="O22" s="318"/>
      <c r="P22" s="319"/>
      <c r="Q22" s="32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11812</v>
      </c>
      <c r="C23" s="136" t="s">
        <v>303</v>
      </c>
      <c r="D23" s="207" t="s">
        <v>304</v>
      </c>
      <c r="E23" s="181" t="s">
        <v>91</v>
      </c>
      <c r="F23" s="176">
        <v>1200</v>
      </c>
      <c r="G23" s="165" t="s">
        <v>132</v>
      </c>
      <c r="H23" s="89"/>
      <c r="I23" s="141"/>
      <c r="J23" s="130" t="str">
        <f t="shared" si="1"/>
        <v>0</v>
      </c>
      <c r="K23" s="130">
        <v>62.5</v>
      </c>
      <c r="L23" s="126"/>
      <c r="M23" s="126"/>
      <c r="N23" s="126" t="s">
        <v>118</v>
      </c>
      <c r="O23" s="329" t="s">
        <v>305</v>
      </c>
      <c r="P23" s="330"/>
      <c r="Q23" s="330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11813</v>
      </c>
      <c r="C24" s="127" t="s">
        <v>306</v>
      </c>
      <c r="D24" s="206" t="s">
        <v>307</v>
      </c>
      <c r="E24" s="181" t="s">
        <v>92</v>
      </c>
      <c r="F24" s="175">
        <v>1210</v>
      </c>
      <c r="G24" s="263" t="s">
        <v>128</v>
      </c>
      <c r="H24" s="89"/>
      <c r="I24" s="141">
        <v>320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118</v>
      </c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11814</v>
      </c>
      <c r="C25" s="132" t="s">
        <v>308</v>
      </c>
      <c r="D25" s="208" t="s">
        <v>309</v>
      </c>
      <c r="E25" s="181" t="s">
        <v>92</v>
      </c>
      <c r="F25" s="175">
        <v>1300</v>
      </c>
      <c r="G25" s="263" t="s">
        <v>128</v>
      </c>
      <c r="H25" s="90">
        <v>340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118</v>
      </c>
      <c r="O25" s="318" t="s">
        <v>310</v>
      </c>
      <c r="P25" s="319"/>
      <c r="Q25" s="32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3599.96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11815</v>
      </c>
      <c r="C26" s="27" t="s">
        <v>311</v>
      </c>
      <c r="D26" s="209" t="s">
        <v>312</v>
      </c>
      <c r="E26" s="181" t="s">
        <v>92</v>
      </c>
      <c r="F26" s="177">
        <v>1300</v>
      </c>
      <c r="G26" s="20" t="s">
        <v>144</v>
      </c>
      <c r="H26" s="89">
        <v>75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118</v>
      </c>
      <c r="O26" s="318"/>
      <c r="P26" s="319"/>
      <c r="Q26" s="320"/>
      <c r="R26" s="112">
        <f>R25*37.5</f>
        <v>0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11816</v>
      </c>
      <c r="C27" s="27" t="s">
        <v>313</v>
      </c>
      <c r="D27" s="209" t="s">
        <v>314</v>
      </c>
      <c r="E27" s="181" t="s">
        <v>92</v>
      </c>
      <c r="F27" s="177">
        <v>1340</v>
      </c>
      <c r="G27" s="20" t="s">
        <v>44</v>
      </c>
      <c r="H27" s="89">
        <v>20</v>
      </c>
      <c r="I27" s="141"/>
      <c r="J27" s="130" t="str">
        <f t="shared" si="1"/>
        <v>55</v>
      </c>
      <c r="K27" s="130" t="str">
        <f t="shared" si="2"/>
        <v>0</v>
      </c>
      <c r="L27" s="69"/>
      <c r="M27" s="69"/>
      <c r="N27" s="134" t="s">
        <v>118</v>
      </c>
      <c r="O27" s="318" t="s">
        <v>315</v>
      </c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272">
        <v>11817</v>
      </c>
      <c r="C28" s="268" t="s">
        <v>316</v>
      </c>
      <c r="D28" s="269" t="s">
        <v>317</v>
      </c>
      <c r="E28" s="270" t="s">
        <v>92</v>
      </c>
      <c r="F28" s="297">
        <v>1445</v>
      </c>
      <c r="G28" s="272" t="s">
        <v>112</v>
      </c>
      <c r="H28" s="283"/>
      <c r="I28" s="283"/>
      <c r="J28" s="273" t="str">
        <f t="shared" si="1"/>
        <v>0</v>
      </c>
      <c r="K28" s="273">
        <v>79.16</v>
      </c>
      <c r="L28" s="273"/>
      <c r="M28" s="273">
        <v>475</v>
      </c>
      <c r="N28" s="268" t="s">
        <v>118</v>
      </c>
      <c r="O28" s="324" t="s">
        <v>318</v>
      </c>
      <c r="P28" s="325"/>
      <c r="Q28" s="326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11818</v>
      </c>
      <c r="C29" s="34" t="s">
        <v>319</v>
      </c>
      <c r="D29" s="210" t="s">
        <v>320</v>
      </c>
      <c r="E29" s="182" t="s">
        <v>91</v>
      </c>
      <c r="F29" s="177">
        <v>1415</v>
      </c>
      <c r="G29" s="20" t="s">
        <v>116</v>
      </c>
      <c r="H29" s="89"/>
      <c r="I29" s="89">
        <v>480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118</v>
      </c>
      <c r="O29" s="349"/>
      <c r="P29" s="350"/>
      <c r="Q29" s="351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97" t="s">
        <v>48</v>
      </c>
      <c r="B30" s="398"/>
      <c r="C30" s="398"/>
      <c r="D30" s="398"/>
      <c r="E30" s="398"/>
      <c r="F30" s="398"/>
      <c r="G30" s="399"/>
      <c r="H30" s="290">
        <f t="shared" ref="H30:M30" si="3">SUM(H5:H29)</f>
        <v>985</v>
      </c>
      <c r="I30" s="105">
        <f>SUM(I5:I29)</f>
        <v>1400</v>
      </c>
      <c r="J30" s="105">
        <f>J5+J6+J7+J8+J9+J10+J11+J12+J13+J14+J15+J16+J18+J19+J17+J20+J22+J23+J21+J24+J25+J26+J27+J28+J29</f>
        <v>275</v>
      </c>
      <c r="K30" s="105">
        <f>K5+K6+K7+K8+K9+K10+K11+K12+K13+K14+K15+K16+K18+K19+K17+K20+K22+K23+K21+K24+K25+K26+K27+K28+K29</f>
        <v>520.79999999999995</v>
      </c>
      <c r="L30" s="106">
        <f t="shared" si="3"/>
        <v>0</v>
      </c>
      <c r="M30" s="106">
        <f t="shared" si="3"/>
        <v>475</v>
      </c>
      <c r="N30" s="287" t="s">
        <v>15</v>
      </c>
      <c r="O30" s="287" t="s">
        <v>20</v>
      </c>
      <c r="P30" s="287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400" t="s">
        <v>16</v>
      </c>
      <c r="B31" s="401"/>
      <c r="C31" s="401"/>
      <c r="D31" s="401"/>
      <c r="E31" s="401"/>
      <c r="F31" s="401"/>
      <c r="G31" s="402"/>
      <c r="H31" s="291">
        <f t="shared" ref="H31:J31" si="4">H30+H62+H94</f>
        <v>1140</v>
      </c>
      <c r="I31" s="103">
        <f t="shared" si="4"/>
        <v>1530</v>
      </c>
      <c r="J31" s="103">
        <f t="shared" si="4"/>
        <v>330</v>
      </c>
      <c r="K31" s="103">
        <f>K30+K62+K94</f>
        <v>599.95999999999992</v>
      </c>
      <c r="L31" s="97">
        <f>L30+L62+L94</f>
        <v>0</v>
      </c>
      <c r="M31" s="97">
        <f>M30+M62+M94</f>
        <v>475</v>
      </c>
      <c r="N31" s="288">
        <f>COUNT(H5:H29,H37:H61,H69:H93)</f>
        <v>13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8</v>
      </c>
      <c r="Q31" s="117">
        <f>COUNTIF(G5:G29,"RSL")+COUNTIF(G37:G61,"RSL")+COUNTIF(G69:G93,"RSL")</f>
        <v>5</v>
      </c>
      <c r="R31" s="98" t="s">
        <v>83</v>
      </c>
      <c r="S31" s="111">
        <f>H31+L31-U28-U29-U30</f>
        <v>1140</v>
      </c>
      <c r="T31" s="345">
        <f>H31+I31+L31+M31</f>
        <v>3145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95" t="s">
        <v>55</v>
      </c>
      <c r="B32" s="396"/>
      <c r="C32" s="107">
        <f>H31+I31+J31+K31</f>
        <v>3599.96</v>
      </c>
      <c r="D32" s="196"/>
      <c r="E32" s="107"/>
      <c r="F32" s="403" t="s">
        <v>53</v>
      </c>
      <c r="G32" s="404"/>
      <c r="H32" s="109">
        <f>COUNT(B5:B29,B37:B61,B69:B93)</f>
        <v>31</v>
      </c>
      <c r="I32" s="405" t="s">
        <v>54</v>
      </c>
      <c r="J32" s="406"/>
      <c r="K32" s="108">
        <f>C32/H32</f>
        <v>116.12774193548387</v>
      </c>
      <c r="L32" s="286"/>
      <c r="M32" s="286"/>
      <c r="N32" s="286">
        <f>H31/C32</f>
        <v>0.31667018522428025</v>
      </c>
      <c r="O32" s="286">
        <f>I31/C32</f>
        <v>0.42500472227469194</v>
      </c>
      <c r="P32" s="286">
        <f>K31/C32</f>
        <v>0.16665740730452558</v>
      </c>
      <c r="Q32" s="110">
        <f>J31/C32</f>
        <v>9.1667685196502188E-2</v>
      </c>
      <c r="R32" s="99" t="s">
        <v>82</v>
      </c>
      <c r="S32" s="292">
        <f>I31+M31</f>
        <v>2005</v>
      </c>
      <c r="T32" s="347"/>
      <c r="U32" s="348"/>
      <c r="V32" s="55"/>
      <c r="W32" s="55"/>
      <c r="X32" s="56" t="s">
        <v>27</v>
      </c>
      <c r="Y32" s="56"/>
      <c r="Z32" s="54">
        <f>I31</f>
        <v>1530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-1215</v>
      </c>
      <c r="AE33" s="37"/>
      <c r="AF33" s="37"/>
      <c r="AG33" s="59"/>
      <c r="AH33" s="37"/>
    </row>
    <row r="34" spans="1:34" ht="17.25" thickBot="1" x14ac:dyDescent="0.35">
      <c r="A34" s="301" t="str">
        <f>A2</f>
        <v>28 - 10 - 2022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SUNNY</v>
      </c>
      <c r="K34" s="303"/>
      <c r="L34" s="305" t="s">
        <v>50</v>
      </c>
      <c r="M34" s="306"/>
      <c r="N34" s="304"/>
      <c r="O34" s="302" t="str">
        <f>O2</f>
        <v>HENDRA</v>
      </c>
      <c r="P34" s="302"/>
      <c r="Q34" s="303"/>
      <c r="R34" s="305" t="s">
        <v>51</v>
      </c>
      <c r="S34" s="304"/>
      <c r="T34" s="307">
        <f>T2</f>
        <v>6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1" t="s">
        <v>8</v>
      </c>
      <c r="P36" s="311"/>
      <c r="Q36" s="31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11819</v>
      </c>
      <c r="C37" s="68" t="s">
        <v>321</v>
      </c>
      <c r="D37" s="258" t="s">
        <v>322</v>
      </c>
      <c r="E37" s="181" t="s">
        <v>91</v>
      </c>
      <c r="F37" s="174">
        <v>1430</v>
      </c>
      <c r="G37" s="118" t="s">
        <v>112</v>
      </c>
      <c r="H37" s="91"/>
      <c r="I37" s="124"/>
      <c r="J37" s="130" t="str">
        <f>IF(G37="RSL","55","0")</f>
        <v>0</v>
      </c>
      <c r="K37" s="294">
        <v>79.16</v>
      </c>
      <c r="L37" s="131"/>
      <c r="M37" s="131"/>
      <c r="N37" s="69" t="s">
        <v>118</v>
      </c>
      <c r="O37" s="318" t="s">
        <v>323</v>
      </c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11820</v>
      </c>
      <c r="C38" s="67" t="s">
        <v>324</v>
      </c>
      <c r="D38" s="195" t="s">
        <v>325</v>
      </c>
      <c r="E38" s="181" t="s">
        <v>91</v>
      </c>
      <c r="F38" s="179">
        <v>1425</v>
      </c>
      <c r="G38" s="118" t="s">
        <v>106</v>
      </c>
      <c r="H38" s="91"/>
      <c r="I38" s="124">
        <v>55</v>
      </c>
      <c r="J38" s="130" t="str">
        <f t="shared" ref="J38:J61" si="5">IF(G38="RSL","55","0")</f>
        <v>0</v>
      </c>
      <c r="K38" s="130" t="str">
        <f t="shared" ref="K38:K61" si="6">IF(G38="GVS","37.5",IF(G38="GVM","41.5",IF(G38="GVL","50",IF(G38="PCS","45.8",IF(G38="PCM","50",IF(G38="PCL","58.3","0"))))))</f>
        <v>0</v>
      </c>
      <c r="L38" s="131"/>
      <c r="M38" s="131"/>
      <c r="N38" s="69" t="s">
        <v>118</v>
      </c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11821</v>
      </c>
      <c r="C39" s="27" t="s">
        <v>326</v>
      </c>
      <c r="D39" s="183" t="s">
        <v>327</v>
      </c>
      <c r="E39" s="181" t="s">
        <v>91</v>
      </c>
      <c r="F39" s="179">
        <v>1500</v>
      </c>
      <c r="G39" s="118" t="s">
        <v>44</v>
      </c>
      <c r="H39" s="91">
        <v>25</v>
      </c>
      <c r="I39" s="124"/>
      <c r="J39" s="130" t="str">
        <f t="shared" si="5"/>
        <v>55</v>
      </c>
      <c r="K39" s="130" t="str">
        <f t="shared" si="6"/>
        <v>0</v>
      </c>
      <c r="L39" s="131"/>
      <c r="M39" s="131"/>
      <c r="N39" s="69" t="s">
        <v>118</v>
      </c>
      <c r="O39" s="318" t="s">
        <v>336</v>
      </c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>
        <v>11822</v>
      </c>
      <c r="C40" s="63" t="s">
        <v>328</v>
      </c>
      <c r="D40" s="184" t="s">
        <v>329</v>
      </c>
      <c r="E40" s="181" t="s">
        <v>91</v>
      </c>
      <c r="F40" s="180">
        <v>1515</v>
      </c>
      <c r="G40" s="119" t="s">
        <v>106</v>
      </c>
      <c r="H40" s="91">
        <v>75</v>
      </c>
      <c r="I40" s="91"/>
      <c r="J40" s="130" t="str">
        <f t="shared" si="5"/>
        <v>0</v>
      </c>
      <c r="K40" s="130" t="str">
        <f t="shared" si="6"/>
        <v>0</v>
      </c>
      <c r="L40" s="131"/>
      <c r="M40" s="131"/>
      <c r="N40" s="69" t="s">
        <v>118</v>
      </c>
      <c r="O40" s="321"/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11823</v>
      </c>
      <c r="C41" s="63" t="s">
        <v>330</v>
      </c>
      <c r="D41" s="184" t="s">
        <v>331</v>
      </c>
      <c r="E41" s="181" t="s">
        <v>91</v>
      </c>
      <c r="F41" s="180">
        <v>1610</v>
      </c>
      <c r="G41" s="119" t="s">
        <v>106</v>
      </c>
      <c r="H41" s="91">
        <v>55</v>
      </c>
      <c r="I41" s="91"/>
      <c r="J41" s="130" t="str">
        <f t="shared" si="5"/>
        <v>0</v>
      </c>
      <c r="K41" s="130" t="str">
        <f t="shared" si="6"/>
        <v>0</v>
      </c>
      <c r="L41" s="131"/>
      <c r="M41" s="131"/>
      <c r="N41" s="69" t="s">
        <v>118</v>
      </c>
      <c r="O41" s="321"/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>
        <v>11824</v>
      </c>
      <c r="C42" s="28" t="s">
        <v>332</v>
      </c>
      <c r="D42" s="185" t="s">
        <v>333</v>
      </c>
      <c r="E42" s="181" t="s">
        <v>92</v>
      </c>
      <c r="F42" s="173">
        <v>1625</v>
      </c>
      <c r="G42" s="120" t="s">
        <v>106</v>
      </c>
      <c r="H42" s="123"/>
      <c r="I42" s="125">
        <v>75</v>
      </c>
      <c r="J42" s="130" t="str">
        <f t="shared" si="5"/>
        <v>0</v>
      </c>
      <c r="K42" s="130" t="str">
        <f t="shared" si="6"/>
        <v>0</v>
      </c>
      <c r="L42" s="131"/>
      <c r="M42" s="131"/>
      <c r="N42" s="69" t="s">
        <v>118</v>
      </c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295" t="s">
        <v>41</v>
      </c>
      <c r="J43" s="130" t="str">
        <f t="shared" si="5"/>
        <v>0</v>
      </c>
      <c r="K43" s="130" t="str">
        <f t="shared" si="6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5"/>
        <v>0</v>
      </c>
      <c r="K44" s="130" t="str">
        <f t="shared" si="6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5"/>
        <v>0</v>
      </c>
      <c r="K45" s="130" t="str">
        <f t="shared" si="6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5"/>
        <v>0</v>
      </c>
      <c r="K46" s="130" t="str">
        <f t="shared" si="6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5"/>
        <v>0</v>
      </c>
      <c r="K47" s="130" t="str">
        <f t="shared" si="6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5"/>
        <v>0</v>
      </c>
      <c r="K48" s="130" t="str">
        <f t="shared" si="6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5"/>
        <v>0</v>
      </c>
      <c r="K49" s="130" t="str">
        <f t="shared" si="6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5"/>
        <v>0</v>
      </c>
      <c r="K50" s="130" t="str">
        <f t="shared" si="6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5"/>
        <v>0</v>
      </c>
      <c r="K51" s="130" t="str">
        <f t="shared" si="6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5"/>
        <v>0</v>
      </c>
      <c r="K52" s="130" t="str">
        <f t="shared" si="6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5"/>
        <v>0</v>
      </c>
      <c r="K53" s="130" t="str">
        <f t="shared" si="6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5"/>
        <v>0</v>
      </c>
      <c r="K54" s="130" t="str">
        <f t="shared" si="6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5"/>
        <v>0</v>
      </c>
      <c r="K55" s="130" t="str">
        <f t="shared" si="6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5"/>
        <v>0</v>
      </c>
      <c r="K56" s="130" t="str">
        <f t="shared" si="6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5"/>
        <v>0</v>
      </c>
      <c r="K57" s="130" t="str">
        <f t="shared" si="6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5"/>
        <v>0</v>
      </c>
      <c r="K58" s="130" t="str">
        <f t="shared" si="6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5"/>
        <v>0</v>
      </c>
      <c r="K59" s="130" t="str">
        <f t="shared" si="6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5"/>
        <v>0</v>
      </c>
      <c r="K60" s="130" t="str">
        <f t="shared" si="6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5"/>
        <v>0</v>
      </c>
      <c r="K61" s="130" t="str">
        <f t="shared" si="6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155</v>
      </c>
      <c r="I62" s="372">
        <f t="shared" si="8"/>
        <v>130</v>
      </c>
      <c r="J62" s="372">
        <f>J61+J60+J59+J58+J57+J56+J55+J54+J53+J52+J51+J50+J49+J48+J47+J46+J45+J44+J43+J42+J41+J40+J39+J38+J37</f>
        <v>55</v>
      </c>
      <c r="K62" s="372">
        <f>K61+K60+K59+K58+K57+K56+K55+K54+K53+K52+K51+K50+K49+K48+K47+K46+K45+K44+K43+K42+K41+K40+K39+K38+K37</f>
        <v>79.16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28 - 10 - 2022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SUNNY</v>
      </c>
      <c r="K66" s="303"/>
      <c r="L66" s="305" t="s">
        <v>50</v>
      </c>
      <c r="M66" s="306"/>
      <c r="N66" s="304"/>
      <c r="O66" s="302" t="str">
        <f>O34</f>
        <v>HENDRA</v>
      </c>
      <c r="P66" s="302"/>
      <c r="Q66" s="303"/>
      <c r="R66" s="305" t="s">
        <v>51</v>
      </c>
      <c r="S66" s="304"/>
      <c r="T66" s="307">
        <f>T34</f>
        <v>6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1" t="s">
        <v>8</v>
      </c>
      <c r="P68" s="311"/>
      <c r="Q68" s="31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2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disablePrompts="1"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I45" sqref="I4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335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162</v>
      </c>
      <c r="K2" s="303"/>
      <c r="L2" s="305" t="s">
        <v>96</v>
      </c>
      <c r="M2" s="306"/>
      <c r="N2" s="304"/>
      <c r="O2" s="302" t="s">
        <v>117</v>
      </c>
      <c r="P2" s="302"/>
      <c r="Q2" s="303"/>
      <c r="R2" s="305" t="s">
        <v>51</v>
      </c>
      <c r="S2" s="304"/>
      <c r="T2" s="307">
        <v>8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1" t="s">
        <v>8</v>
      </c>
      <c r="P4" s="311"/>
      <c r="Q4" s="31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67">
        <v>11825</v>
      </c>
      <c r="C5" s="298" t="s">
        <v>338</v>
      </c>
      <c r="D5" s="277" t="s">
        <v>339</v>
      </c>
      <c r="E5" s="270" t="s">
        <v>91</v>
      </c>
      <c r="F5" s="299">
        <v>845</v>
      </c>
      <c r="G5" s="267" t="s">
        <v>112</v>
      </c>
      <c r="H5" s="273"/>
      <c r="I5" s="273"/>
      <c r="J5" s="273" t="str">
        <f>IF(G5="RSL","55","0")</f>
        <v>0</v>
      </c>
      <c r="K5" s="273">
        <v>79.16</v>
      </c>
      <c r="L5" s="274">
        <v>475</v>
      </c>
      <c r="M5" s="274"/>
      <c r="N5" s="268" t="s">
        <v>117</v>
      </c>
      <c r="O5" s="407" t="s">
        <v>340</v>
      </c>
      <c r="P5" s="408"/>
      <c r="Q5" s="409"/>
      <c r="R5" s="33" t="s">
        <v>117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11826</v>
      </c>
      <c r="C6" s="67" t="s">
        <v>343</v>
      </c>
      <c r="D6" s="200" t="s">
        <v>344</v>
      </c>
      <c r="E6" s="181" t="s">
        <v>91</v>
      </c>
      <c r="F6" s="171">
        <v>900</v>
      </c>
      <c r="G6" s="118" t="s">
        <v>112</v>
      </c>
      <c r="H6" s="91"/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117</v>
      </c>
      <c r="O6" s="315" t="s">
        <v>345</v>
      </c>
      <c r="P6" s="316"/>
      <c r="Q6" s="317"/>
      <c r="R6" s="33" t="s">
        <v>118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11827</v>
      </c>
      <c r="C7" s="67" t="s">
        <v>346</v>
      </c>
      <c r="D7" s="200" t="s">
        <v>347</v>
      </c>
      <c r="E7" s="181" t="s">
        <v>92</v>
      </c>
      <c r="F7" s="171">
        <v>905</v>
      </c>
      <c r="G7" s="118" t="s">
        <v>112</v>
      </c>
      <c r="H7" s="91"/>
      <c r="I7" s="124"/>
      <c r="J7" s="130" t="str">
        <f t="shared" si="1"/>
        <v>0</v>
      </c>
      <c r="K7" s="130">
        <v>79.16</v>
      </c>
      <c r="L7" s="131"/>
      <c r="M7" s="131"/>
      <c r="N7" s="134" t="s">
        <v>117</v>
      </c>
      <c r="O7" s="318" t="s">
        <v>348</v>
      </c>
      <c r="P7" s="319"/>
      <c r="Q7" s="320"/>
      <c r="R7" s="132" t="s">
        <v>212</v>
      </c>
      <c r="S7" s="31">
        <v>0.33333333333333331</v>
      </c>
      <c r="T7" s="32">
        <v>0.71875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11828</v>
      </c>
      <c r="C8" s="27" t="s">
        <v>349</v>
      </c>
      <c r="D8" s="200" t="s">
        <v>350</v>
      </c>
      <c r="E8" s="181" t="s">
        <v>91</v>
      </c>
      <c r="F8" s="171">
        <v>945</v>
      </c>
      <c r="G8" s="118" t="s">
        <v>165</v>
      </c>
      <c r="H8" s="91">
        <v>150</v>
      </c>
      <c r="I8" s="124"/>
      <c r="J8" s="130" t="str">
        <f t="shared" si="1"/>
        <v>0</v>
      </c>
      <c r="K8" s="130" t="str">
        <f t="shared" ref="K8:K29" si="2">IF(G8="GVS","37.5",IF(G8="GVM","41.5",IF(G8="GVL","50",IF(G8="PCS","45.8",IF(G8="PCM","50",IF(G8="PCL","58.3","0"))))))</f>
        <v>0</v>
      </c>
      <c r="L8" s="131"/>
      <c r="M8" s="131"/>
      <c r="N8" s="134" t="s">
        <v>117</v>
      </c>
      <c r="O8" s="321"/>
      <c r="P8" s="322"/>
      <c r="Q8" s="323"/>
      <c r="R8" s="26" t="s">
        <v>125</v>
      </c>
      <c r="S8" s="31">
        <v>0.36458333333333331</v>
      </c>
      <c r="T8" s="32">
        <v>0.71875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11829</v>
      </c>
      <c r="C9" s="63" t="s">
        <v>351</v>
      </c>
      <c r="D9" s="201" t="s">
        <v>352</v>
      </c>
      <c r="E9" s="181" t="s">
        <v>91</v>
      </c>
      <c r="F9" s="172">
        <v>955</v>
      </c>
      <c r="G9" s="119" t="s">
        <v>144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117</v>
      </c>
      <c r="O9" s="321"/>
      <c r="P9" s="322"/>
      <c r="Q9" s="323"/>
      <c r="R9" s="26" t="s">
        <v>126</v>
      </c>
      <c r="S9" s="31">
        <v>0.46875</v>
      </c>
      <c r="T9" s="32">
        <v>0.71875</v>
      </c>
      <c r="U9" s="92">
        <f t="shared" si="0"/>
        <v>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11830</v>
      </c>
      <c r="C10" s="28" t="s">
        <v>353</v>
      </c>
      <c r="D10" s="202" t="s">
        <v>354</v>
      </c>
      <c r="E10" s="181" t="s">
        <v>92</v>
      </c>
      <c r="F10" s="173">
        <v>1015</v>
      </c>
      <c r="G10" s="120" t="s">
        <v>144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117</v>
      </c>
      <c r="O10" s="308"/>
      <c r="P10" s="309"/>
      <c r="Q10" s="310"/>
      <c r="R10" s="26" t="s">
        <v>334</v>
      </c>
      <c r="S10" s="31">
        <v>0.375</v>
      </c>
      <c r="T10" s="32">
        <v>0.71875</v>
      </c>
      <c r="U10" s="92">
        <f t="shared" si="0"/>
        <v>8.25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11831</v>
      </c>
      <c r="C11" s="18" t="s">
        <v>355</v>
      </c>
      <c r="D11" s="203" t="s">
        <v>356</v>
      </c>
      <c r="E11" s="181" t="s">
        <v>92</v>
      </c>
      <c r="F11" s="66">
        <v>1015</v>
      </c>
      <c r="G11" s="121" t="s">
        <v>106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117</v>
      </c>
      <c r="O11" s="318"/>
      <c r="P11" s="319"/>
      <c r="Q11" s="320"/>
      <c r="R11" s="26" t="s">
        <v>337</v>
      </c>
      <c r="S11" s="31">
        <v>0.40625</v>
      </c>
      <c r="T11" s="32">
        <v>0.70833333333333337</v>
      </c>
      <c r="U11" s="92">
        <f t="shared" si="0"/>
        <v>7.2500000000000009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11832</v>
      </c>
      <c r="C12" s="64" t="s">
        <v>357</v>
      </c>
      <c r="D12" s="204" t="s">
        <v>358</v>
      </c>
      <c r="E12" s="181" t="s">
        <v>91</v>
      </c>
      <c r="F12" s="173">
        <v>1420</v>
      </c>
      <c r="G12" s="119" t="s">
        <v>44</v>
      </c>
      <c r="H12" s="123"/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117</v>
      </c>
      <c r="O12" s="318" t="s">
        <v>406</v>
      </c>
      <c r="P12" s="319"/>
      <c r="Q12" s="320"/>
      <c r="R12" s="26" t="s">
        <v>341</v>
      </c>
      <c r="S12" s="31">
        <v>0.41666666666666669</v>
      </c>
      <c r="T12" s="32">
        <v>0.70833333333333337</v>
      </c>
      <c r="U12" s="92">
        <f t="shared" si="0"/>
        <v>7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11833</v>
      </c>
      <c r="C13" s="64" t="s">
        <v>359</v>
      </c>
      <c r="D13" s="204" t="s">
        <v>360</v>
      </c>
      <c r="E13" s="181" t="s">
        <v>91</v>
      </c>
      <c r="F13" s="173">
        <v>1030</v>
      </c>
      <c r="G13" s="119" t="s">
        <v>165</v>
      </c>
      <c r="H13" s="169">
        <v>150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117</v>
      </c>
      <c r="O13" s="318"/>
      <c r="P13" s="319"/>
      <c r="Q13" s="320"/>
      <c r="R13" s="300" t="s">
        <v>342</v>
      </c>
      <c r="S13" s="31">
        <v>0.41666666666666669</v>
      </c>
      <c r="T13" s="32">
        <v>0.625</v>
      </c>
      <c r="U13" s="92">
        <f t="shared" si="0"/>
        <v>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11834</v>
      </c>
      <c r="C14" s="65" t="s">
        <v>361</v>
      </c>
      <c r="D14" s="205" t="s">
        <v>362</v>
      </c>
      <c r="E14" s="181" t="s">
        <v>92</v>
      </c>
      <c r="F14" s="174">
        <v>1030</v>
      </c>
      <c r="G14" s="122" t="s">
        <v>144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117</v>
      </c>
      <c r="O14" s="318"/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79">
        <v>11</v>
      </c>
      <c r="B15" s="267">
        <v>11835</v>
      </c>
      <c r="C15" s="280" t="s">
        <v>363</v>
      </c>
      <c r="D15" s="281" t="s">
        <v>364</v>
      </c>
      <c r="E15" s="270" t="s">
        <v>92</v>
      </c>
      <c r="F15" s="282">
        <v>1030</v>
      </c>
      <c r="G15" s="267" t="s">
        <v>112</v>
      </c>
      <c r="H15" s="283"/>
      <c r="I15" s="273"/>
      <c r="J15" s="273" t="str">
        <f t="shared" si="1"/>
        <v>0</v>
      </c>
      <c r="K15" s="273">
        <v>79.16</v>
      </c>
      <c r="L15" s="274"/>
      <c r="M15" s="274">
        <v>475</v>
      </c>
      <c r="N15" s="268" t="s">
        <v>117</v>
      </c>
      <c r="O15" s="324" t="s">
        <v>365</v>
      </c>
      <c r="P15" s="325"/>
      <c r="Q15" s="32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11836</v>
      </c>
      <c r="C16" s="65" t="s">
        <v>366</v>
      </c>
      <c r="D16" s="205" t="s">
        <v>367</v>
      </c>
      <c r="E16" s="181" t="s">
        <v>92</v>
      </c>
      <c r="F16" s="174">
        <v>1030</v>
      </c>
      <c r="G16" s="122" t="s">
        <v>112</v>
      </c>
      <c r="H16" s="123"/>
      <c r="I16" s="124"/>
      <c r="J16" s="130" t="str">
        <f t="shared" si="1"/>
        <v>0</v>
      </c>
      <c r="K16" s="130">
        <v>79.16</v>
      </c>
      <c r="L16" s="131"/>
      <c r="M16" s="131"/>
      <c r="N16" s="134" t="s">
        <v>117</v>
      </c>
      <c r="O16" s="318" t="s">
        <v>368</v>
      </c>
      <c r="P16" s="319"/>
      <c r="Q16" s="320"/>
      <c r="R16" s="82">
        <f>H32/U16</f>
        <v>0.44444444444444442</v>
      </c>
      <c r="S16" s="83">
        <f>H32/(U16-U5)</f>
        <v>0.51239669421487599</v>
      </c>
      <c r="T16" s="83">
        <f>C32/U16</f>
        <v>45.949247311827961</v>
      </c>
      <c r="U16" s="83">
        <f>SUM(U5:U15)</f>
        <v>69.75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11837</v>
      </c>
      <c r="C17" s="18" t="s">
        <v>369</v>
      </c>
      <c r="D17" s="203" t="s">
        <v>370</v>
      </c>
      <c r="E17" s="181" t="s">
        <v>91</v>
      </c>
      <c r="F17" s="66">
        <v>1045</v>
      </c>
      <c r="G17" s="121" t="s">
        <v>44</v>
      </c>
      <c r="H17" s="123"/>
      <c r="I17" s="124"/>
      <c r="J17" s="130">
        <v>165</v>
      </c>
      <c r="K17" s="130" t="str">
        <f t="shared" si="2"/>
        <v>0</v>
      </c>
      <c r="L17" s="131"/>
      <c r="M17" s="131"/>
      <c r="N17" s="134" t="s">
        <v>117</v>
      </c>
      <c r="O17" s="318" t="s">
        <v>371</v>
      </c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11838</v>
      </c>
      <c r="C18" s="18" t="s">
        <v>372</v>
      </c>
      <c r="D18" s="203" t="s">
        <v>373</v>
      </c>
      <c r="E18" s="181" t="s">
        <v>92</v>
      </c>
      <c r="F18" s="66">
        <v>1100</v>
      </c>
      <c r="G18" s="20" t="s">
        <v>144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117</v>
      </c>
      <c r="O18" s="318"/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11839</v>
      </c>
      <c r="C19" s="18" t="s">
        <v>374</v>
      </c>
      <c r="D19" s="203" t="s">
        <v>375</v>
      </c>
      <c r="E19" s="181" t="s">
        <v>92</v>
      </c>
      <c r="F19" s="66">
        <v>1100</v>
      </c>
      <c r="G19" s="121" t="s">
        <v>165</v>
      </c>
      <c r="H19" s="123"/>
      <c r="I19" s="124">
        <v>120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117</v>
      </c>
      <c r="O19" s="318"/>
      <c r="P19" s="319"/>
      <c r="Q19" s="319"/>
      <c r="R19" s="93" t="s">
        <v>45</v>
      </c>
      <c r="S19" s="94">
        <f>COUNT(L5:M29,L37:M61,L69:M93)</f>
        <v>3</v>
      </c>
      <c r="T19" s="116">
        <f>SUM(L5:M29,L37:M61,L69:M93)</f>
        <v>1550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11840</v>
      </c>
      <c r="C20" s="18" t="s">
        <v>376</v>
      </c>
      <c r="D20" s="203" t="s">
        <v>377</v>
      </c>
      <c r="E20" s="181" t="s">
        <v>92</v>
      </c>
      <c r="F20" s="66">
        <v>1105</v>
      </c>
      <c r="G20" s="121" t="s">
        <v>116</v>
      </c>
      <c r="H20" s="123">
        <v>350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117</v>
      </c>
      <c r="O20" s="329"/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11841</v>
      </c>
      <c r="C21" s="18" t="s">
        <v>378</v>
      </c>
      <c r="D21" s="203" t="s">
        <v>379</v>
      </c>
      <c r="E21" s="181" t="s">
        <v>91</v>
      </c>
      <c r="F21" s="66">
        <v>1130</v>
      </c>
      <c r="G21" s="20" t="s">
        <v>106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117</v>
      </c>
      <c r="O21" s="318"/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11842</v>
      </c>
      <c r="C22" s="127" t="s">
        <v>380</v>
      </c>
      <c r="D22" s="206" t="s">
        <v>381</v>
      </c>
      <c r="E22" s="181" t="s">
        <v>92</v>
      </c>
      <c r="F22" s="175">
        <v>1140</v>
      </c>
      <c r="G22" s="263" t="s">
        <v>144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117</v>
      </c>
      <c r="O22" s="318"/>
      <c r="P22" s="319"/>
      <c r="Q22" s="32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11843</v>
      </c>
      <c r="C23" s="136" t="s">
        <v>401</v>
      </c>
      <c r="D23" s="207" t="s">
        <v>402</v>
      </c>
      <c r="E23" s="181" t="s">
        <v>92</v>
      </c>
      <c r="F23" s="176">
        <v>1130</v>
      </c>
      <c r="G23" s="165" t="s">
        <v>112</v>
      </c>
      <c r="H23" s="89"/>
      <c r="I23" s="141"/>
      <c r="J23" s="130" t="str">
        <f t="shared" si="1"/>
        <v>0</v>
      </c>
      <c r="K23" s="130">
        <v>79.16</v>
      </c>
      <c r="L23" s="126"/>
      <c r="M23" s="126"/>
      <c r="N23" s="134" t="s">
        <v>117</v>
      </c>
      <c r="O23" s="410" t="s">
        <v>403</v>
      </c>
      <c r="P23" s="410"/>
      <c r="Q23" s="410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11844</v>
      </c>
      <c r="C24" s="127" t="s">
        <v>382</v>
      </c>
      <c r="D24" s="206" t="s">
        <v>383</v>
      </c>
      <c r="E24" s="181" t="s">
        <v>91</v>
      </c>
      <c r="F24" s="175">
        <v>1250</v>
      </c>
      <c r="G24" s="263" t="s">
        <v>144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117</v>
      </c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11845</v>
      </c>
      <c r="C25" s="132" t="s">
        <v>384</v>
      </c>
      <c r="D25" s="208" t="s">
        <v>385</v>
      </c>
      <c r="E25" s="181" t="s">
        <v>92</v>
      </c>
      <c r="F25" s="175">
        <v>1200</v>
      </c>
      <c r="G25" s="263" t="s">
        <v>144</v>
      </c>
      <c r="H25" s="90">
        <v>95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117</v>
      </c>
      <c r="O25" s="318"/>
      <c r="P25" s="319"/>
      <c r="Q25" s="32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3204.96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279">
        <v>22</v>
      </c>
      <c r="B26" s="272">
        <v>11846</v>
      </c>
      <c r="C26" s="268" t="s">
        <v>386</v>
      </c>
      <c r="D26" s="269" t="s">
        <v>387</v>
      </c>
      <c r="E26" s="270" t="s">
        <v>92</v>
      </c>
      <c r="F26" s="297">
        <v>1200</v>
      </c>
      <c r="G26" s="272" t="s">
        <v>132</v>
      </c>
      <c r="H26" s="283"/>
      <c r="I26" s="283"/>
      <c r="J26" s="273" t="str">
        <f t="shared" si="1"/>
        <v>0</v>
      </c>
      <c r="K26" s="273">
        <v>100</v>
      </c>
      <c r="L26" s="273"/>
      <c r="M26" s="273">
        <v>600</v>
      </c>
      <c r="N26" s="268" t="s">
        <v>117</v>
      </c>
      <c r="O26" s="324" t="s">
        <v>388</v>
      </c>
      <c r="P26" s="325"/>
      <c r="Q26" s="326"/>
      <c r="R26" s="112">
        <f>R25*37.5</f>
        <v>0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11847</v>
      </c>
      <c r="C27" s="27" t="s">
        <v>389</v>
      </c>
      <c r="D27" s="209" t="s">
        <v>390</v>
      </c>
      <c r="E27" s="181" t="s">
        <v>91</v>
      </c>
      <c r="F27" s="177">
        <v>1245</v>
      </c>
      <c r="G27" s="20" t="s">
        <v>165</v>
      </c>
      <c r="H27" s="89">
        <v>150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117</v>
      </c>
      <c r="O27" s="318"/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11848</v>
      </c>
      <c r="C28" s="27" t="s">
        <v>391</v>
      </c>
      <c r="D28" s="209" t="s">
        <v>392</v>
      </c>
      <c r="E28" s="181" t="s">
        <v>92</v>
      </c>
      <c r="F28" s="177">
        <v>1300</v>
      </c>
      <c r="G28" s="20" t="s">
        <v>106</v>
      </c>
      <c r="H28" s="89"/>
      <c r="I28" s="141">
        <v>75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117</v>
      </c>
      <c r="O28" s="318"/>
      <c r="P28" s="319"/>
      <c r="Q28" s="320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11849</v>
      </c>
      <c r="C29" s="34" t="s">
        <v>393</v>
      </c>
      <c r="D29" s="210" t="s">
        <v>394</v>
      </c>
      <c r="E29" s="182" t="s">
        <v>91</v>
      </c>
      <c r="F29" s="177">
        <v>1330</v>
      </c>
      <c r="G29" s="20" t="s">
        <v>106</v>
      </c>
      <c r="H29" s="89">
        <v>75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117</v>
      </c>
      <c r="O29" s="349"/>
      <c r="P29" s="350"/>
      <c r="Q29" s="351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5" t="s">
        <v>48</v>
      </c>
      <c r="B30" s="356"/>
      <c r="C30" s="356"/>
      <c r="D30" s="356"/>
      <c r="E30" s="357"/>
      <c r="F30" s="356"/>
      <c r="G30" s="356"/>
      <c r="H30" s="264">
        <f t="shared" ref="H30:M30" si="3">SUM(H5:H29)</f>
        <v>1120</v>
      </c>
      <c r="I30" s="105">
        <f>SUM(I5:I29)</f>
        <v>725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574.95999999999992</v>
      </c>
      <c r="L30" s="106">
        <f t="shared" si="3"/>
        <v>475</v>
      </c>
      <c r="M30" s="106">
        <f t="shared" si="3"/>
        <v>1075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0" t="s">
        <v>16</v>
      </c>
      <c r="B31" s="361"/>
      <c r="C31" s="361"/>
      <c r="D31" s="361"/>
      <c r="E31" s="361"/>
      <c r="F31" s="361"/>
      <c r="G31" s="361"/>
      <c r="H31" s="265">
        <f t="shared" ref="H31:J31" si="4">H30+H62+H94</f>
        <v>1215</v>
      </c>
      <c r="I31" s="103">
        <f t="shared" si="4"/>
        <v>1195</v>
      </c>
      <c r="J31" s="103">
        <f t="shared" si="4"/>
        <v>220</v>
      </c>
      <c r="K31" s="103">
        <f>K30+K62+K94</f>
        <v>574.95999999999992</v>
      </c>
      <c r="L31" s="97">
        <f>L30+L62+L94</f>
        <v>475</v>
      </c>
      <c r="M31" s="97">
        <f>M30+M62+M94</f>
        <v>1075</v>
      </c>
      <c r="N31" s="262">
        <f>COUNT(H5:H29,H37:H61,H69:H93)</f>
        <v>9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7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1690</v>
      </c>
      <c r="T31" s="345">
        <f>H31+I31+L31+M31</f>
        <v>3960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36" t="s">
        <v>55</v>
      </c>
      <c r="B32" s="337"/>
      <c r="C32" s="107">
        <f>H31+I31+J31+K31</f>
        <v>3204.96</v>
      </c>
      <c r="D32" s="196"/>
      <c r="E32" s="107"/>
      <c r="F32" s="338" t="s">
        <v>53</v>
      </c>
      <c r="G32" s="338"/>
      <c r="H32" s="109">
        <f>COUNT(B5:B29,B37:B61,B69:B93)</f>
        <v>31</v>
      </c>
      <c r="I32" s="339" t="s">
        <v>54</v>
      </c>
      <c r="J32" s="339"/>
      <c r="K32" s="108">
        <f>C32/H32</f>
        <v>103.38580645161291</v>
      </c>
      <c r="L32" s="260"/>
      <c r="M32" s="260"/>
      <c r="N32" s="260">
        <f>H31/C32</f>
        <v>0.37909989516249815</v>
      </c>
      <c r="O32" s="260">
        <f>I31/C32</f>
        <v>0.3728595676701113</v>
      </c>
      <c r="P32" s="260">
        <f>K31/C32</f>
        <v>0.17939693475113572</v>
      </c>
      <c r="Q32" s="110">
        <f>J31/C32</f>
        <v>6.8643602416254806E-2</v>
      </c>
      <c r="R32" s="99" t="s">
        <v>82</v>
      </c>
      <c r="S32" s="266">
        <f>I31+M31</f>
        <v>2270</v>
      </c>
      <c r="T32" s="347"/>
      <c r="U32" s="348"/>
      <c r="V32" s="55"/>
      <c r="W32" s="55"/>
      <c r="X32" s="56" t="s">
        <v>27</v>
      </c>
      <c r="Y32" s="56"/>
      <c r="Z32" s="54">
        <f>I31</f>
        <v>1195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-1550</v>
      </c>
      <c r="AE33" s="37"/>
      <c r="AF33" s="37"/>
      <c r="AG33" s="59"/>
      <c r="AH33" s="37"/>
    </row>
    <row r="34" spans="1:34" ht="17.25" thickBot="1" x14ac:dyDescent="0.35">
      <c r="A34" s="301" t="str">
        <f>A2</f>
        <v>29-10-2022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SUNNY</v>
      </c>
      <c r="K34" s="303"/>
      <c r="L34" s="305" t="s">
        <v>50</v>
      </c>
      <c r="M34" s="306"/>
      <c r="N34" s="304"/>
      <c r="O34" s="302" t="str">
        <f>O2</f>
        <v>JOHN</v>
      </c>
      <c r="P34" s="302"/>
      <c r="Q34" s="303"/>
      <c r="R34" s="305" t="s">
        <v>51</v>
      </c>
      <c r="S34" s="304"/>
      <c r="T34" s="307">
        <f>T2</f>
        <v>8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1" t="s">
        <v>8</v>
      </c>
      <c r="P36" s="311"/>
      <c r="Q36" s="31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11850</v>
      </c>
      <c r="C37" s="68" t="s">
        <v>395</v>
      </c>
      <c r="D37" s="258" t="s">
        <v>396</v>
      </c>
      <c r="E37" s="181" t="s">
        <v>92</v>
      </c>
      <c r="F37" s="174">
        <v>1345</v>
      </c>
      <c r="G37" s="118" t="s">
        <v>144</v>
      </c>
      <c r="H37" s="91">
        <v>95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117</v>
      </c>
      <c r="O37" s="318"/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11851</v>
      </c>
      <c r="C38" s="67" t="s">
        <v>397</v>
      </c>
      <c r="D38" s="195" t="s">
        <v>398</v>
      </c>
      <c r="E38" s="181" t="s">
        <v>92</v>
      </c>
      <c r="F38" s="179">
        <v>1415</v>
      </c>
      <c r="G38" s="118" t="s">
        <v>144</v>
      </c>
      <c r="H38" s="91"/>
      <c r="I38" s="124">
        <v>95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117</v>
      </c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11852</v>
      </c>
      <c r="C39" s="27" t="s">
        <v>399</v>
      </c>
      <c r="D39" s="183" t="s">
        <v>400</v>
      </c>
      <c r="E39" s="181" t="s">
        <v>92</v>
      </c>
      <c r="F39" s="179">
        <v>1440</v>
      </c>
      <c r="G39" s="118" t="s">
        <v>106</v>
      </c>
      <c r="H39" s="91"/>
      <c r="I39" s="124">
        <v>55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117</v>
      </c>
      <c r="O39" s="318"/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89">
        <v>11853</v>
      </c>
      <c r="C40" s="63" t="s">
        <v>404</v>
      </c>
      <c r="D40" s="184" t="s">
        <v>405</v>
      </c>
      <c r="E40" s="181" t="s">
        <v>92</v>
      </c>
      <c r="F40" s="180">
        <v>1530</v>
      </c>
      <c r="G40" s="119" t="s">
        <v>144</v>
      </c>
      <c r="H40" s="91"/>
      <c r="I40" s="91">
        <v>95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117</v>
      </c>
      <c r="O40" s="321"/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11854</v>
      </c>
      <c r="C41" s="63" t="s">
        <v>407</v>
      </c>
      <c r="D41" s="184" t="s">
        <v>408</v>
      </c>
      <c r="E41" s="181" t="s">
        <v>91</v>
      </c>
      <c r="F41" s="180">
        <v>1550</v>
      </c>
      <c r="G41" s="119" t="s">
        <v>144</v>
      </c>
      <c r="H41" s="91"/>
      <c r="I41" s="91">
        <v>150</v>
      </c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117</v>
      </c>
      <c r="O41" s="321" t="s">
        <v>409</v>
      </c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89">
        <v>11855</v>
      </c>
      <c r="C42" s="28" t="s">
        <v>410</v>
      </c>
      <c r="D42" s="185" t="s">
        <v>411</v>
      </c>
      <c r="E42" s="181" t="s">
        <v>92</v>
      </c>
      <c r="F42" s="173">
        <v>1635</v>
      </c>
      <c r="G42" s="120" t="s">
        <v>106</v>
      </c>
      <c r="H42" s="123"/>
      <c r="I42" s="125">
        <v>75</v>
      </c>
      <c r="J42" s="130" t="str">
        <f t="shared" si="6"/>
        <v>0</v>
      </c>
      <c r="K42" s="130" t="str">
        <f t="shared" si="5"/>
        <v>0</v>
      </c>
      <c r="L42" s="131"/>
      <c r="M42" s="131"/>
      <c r="N42" s="33" t="s">
        <v>118</v>
      </c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95</v>
      </c>
      <c r="I62" s="372">
        <f t="shared" si="8"/>
        <v>470</v>
      </c>
      <c r="J62" s="372">
        <f>J61+J60+J59+J58+J57+J56+J55+J54+J53+J52+J51+J50+J49+J48+J47+J46+J45+J44+J43+J42+J41+J40+J39+J38+J37</f>
        <v>0</v>
      </c>
      <c r="K62" s="372">
        <f>K61+K60+K59+K58+K57+K56+K55+K54+K53+K52+K51+K50+K49+K48+K47+K46+K45+K44+K43+K42+K41+K40+K39+K38+K37</f>
        <v>0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29-10-2022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SUNNY</v>
      </c>
      <c r="K66" s="303"/>
      <c r="L66" s="305" t="s">
        <v>50</v>
      </c>
      <c r="M66" s="306"/>
      <c r="N66" s="304"/>
      <c r="O66" s="302" t="str">
        <f>O34</f>
        <v>JOHN</v>
      </c>
      <c r="P66" s="302"/>
      <c r="Q66" s="303"/>
      <c r="R66" s="305" t="s">
        <v>51</v>
      </c>
      <c r="S66" s="304"/>
      <c r="T66" s="307">
        <f>T34</f>
        <v>8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1" t="s">
        <v>8</v>
      </c>
      <c r="P68" s="311"/>
      <c r="Q68" s="31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2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23:Q2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topLeftCell="A20" zoomScaleNormal="100" zoomScaleSheetLayoutView="77" workbookViewId="0">
      <selection activeCell="G54" sqref="G5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01" t="s">
        <v>77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3"/>
    </row>
    <row r="2" spans="1:44" ht="17.25" thickBot="1" x14ac:dyDescent="0.35">
      <c r="A2" s="301" t="s">
        <v>412</v>
      </c>
      <c r="B2" s="302"/>
      <c r="C2" s="302"/>
      <c r="D2" s="302"/>
      <c r="E2" s="302"/>
      <c r="F2" s="302"/>
      <c r="G2" s="303"/>
      <c r="H2" s="304" t="s">
        <v>49</v>
      </c>
      <c r="I2" s="305"/>
      <c r="J2" s="301" t="s">
        <v>162</v>
      </c>
      <c r="K2" s="303"/>
      <c r="L2" s="305" t="s">
        <v>96</v>
      </c>
      <c r="M2" s="306"/>
      <c r="N2" s="304"/>
      <c r="O2" s="302" t="s">
        <v>117</v>
      </c>
      <c r="P2" s="302"/>
      <c r="Q2" s="303"/>
      <c r="R2" s="305" t="s">
        <v>51</v>
      </c>
      <c r="S2" s="304"/>
      <c r="T2" s="307">
        <v>6</v>
      </c>
      <c r="U2" s="307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1" t="s">
        <v>8</v>
      </c>
      <c r="P4" s="311"/>
      <c r="Q4" s="311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11856</v>
      </c>
      <c r="C5" s="68" t="s">
        <v>413</v>
      </c>
      <c r="D5" s="200" t="s">
        <v>414</v>
      </c>
      <c r="E5" s="181" t="s">
        <v>91</v>
      </c>
      <c r="F5" s="170">
        <v>910</v>
      </c>
      <c r="G5" s="118" t="s">
        <v>165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312"/>
      <c r="P5" s="313"/>
      <c r="Q5" s="314"/>
      <c r="R5" s="33" t="s">
        <v>117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11857</v>
      </c>
      <c r="C6" s="67" t="s">
        <v>415</v>
      </c>
      <c r="D6" s="200" t="s">
        <v>416</v>
      </c>
      <c r="E6" s="181" t="s">
        <v>92</v>
      </c>
      <c r="F6" s="171">
        <v>915</v>
      </c>
      <c r="G6" s="118" t="s">
        <v>144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15"/>
      <c r="P6" s="316"/>
      <c r="Q6" s="317"/>
      <c r="R6" s="132" t="s">
        <v>118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11858</v>
      </c>
      <c r="C7" s="67" t="s">
        <v>417</v>
      </c>
      <c r="D7" s="200" t="s">
        <v>418</v>
      </c>
      <c r="E7" s="181" t="s">
        <v>91</v>
      </c>
      <c r="F7" s="171">
        <v>925</v>
      </c>
      <c r="G7" s="118" t="s">
        <v>106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18"/>
      <c r="P7" s="319"/>
      <c r="Q7" s="320"/>
      <c r="R7" s="134" t="s">
        <v>212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66">
        <v>11859</v>
      </c>
      <c r="C8" s="27" t="s">
        <v>419</v>
      </c>
      <c r="D8" s="200" t="s">
        <v>420</v>
      </c>
      <c r="E8" s="181" t="s">
        <v>92</v>
      </c>
      <c r="F8" s="171">
        <v>930</v>
      </c>
      <c r="G8" s="118" t="s">
        <v>165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21"/>
      <c r="P8" s="322"/>
      <c r="Q8" s="323"/>
      <c r="R8" s="26" t="s">
        <v>125</v>
      </c>
      <c r="S8" s="31">
        <v>0.38541666666666669</v>
      </c>
      <c r="T8" s="32">
        <v>0.72916666666666663</v>
      </c>
      <c r="U8" s="92">
        <f t="shared" si="0"/>
        <v>8.2499999999999982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66">
        <v>11860</v>
      </c>
      <c r="C9" s="63" t="s">
        <v>421</v>
      </c>
      <c r="D9" s="201" t="s">
        <v>422</v>
      </c>
      <c r="E9" s="181" t="s">
        <v>92</v>
      </c>
      <c r="F9" s="172">
        <v>950</v>
      </c>
      <c r="G9" s="119" t="s">
        <v>144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21"/>
      <c r="P9" s="322"/>
      <c r="Q9" s="323"/>
      <c r="R9" s="26" t="s">
        <v>126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11861</v>
      </c>
      <c r="C10" s="28" t="s">
        <v>423</v>
      </c>
      <c r="D10" s="202" t="s">
        <v>424</v>
      </c>
      <c r="E10" s="181" t="s">
        <v>91</v>
      </c>
      <c r="F10" s="173">
        <v>1000</v>
      </c>
      <c r="G10" s="120" t="s">
        <v>144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8"/>
      <c r="P10" s="309"/>
      <c r="Q10" s="310"/>
      <c r="R10" s="26" t="s">
        <v>334</v>
      </c>
      <c r="S10" s="31">
        <v>0.38541666666666669</v>
      </c>
      <c r="T10" s="32">
        <v>0.72916666666666663</v>
      </c>
      <c r="U10" s="92">
        <f t="shared" si="0"/>
        <v>8.2499999999999982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11862</v>
      </c>
      <c r="C11" s="18" t="s">
        <v>425</v>
      </c>
      <c r="D11" s="203" t="s">
        <v>426</v>
      </c>
      <c r="E11" s="181" t="s">
        <v>91</v>
      </c>
      <c r="F11" s="66">
        <v>1000</v>
      </c>
      <c r="G11" s="121" t="s">
        <v>132</v>
      </c>
      <c r="H11" s="123"/>
      <c r="I11" s="124"/>
      <c r="J11" s="130" t="str">
        <f t="shared" si="1"/>
        <v>0</v>
      </c>
      <c r="K11" s="130">
        <v>62.5</v>
      </c>
      <c r="L11" s="131"/>
      <c r="M11" s="131"/>
      <c r="N11" s="134"/>
      <c r="O11" s="318" t="s">
        <v>271</v>
      </c>
      <c r="P11" s="319"/>
      <c r="Q11" s="32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11863</v>
      </c>
      <c r="C12" s="64" t="s">
        <v>427</v>
      </c>
      <c r="D12" s="204" t="s">
        <v>428</v>
      </c>
      <c r="E12" s="181" t="s">
        <v>91</v>
      </c>
      <c r="F12" s="173">
        <v>1000</v>
      </c>
      <c r="G12" s="119" t="s">
        <v>44</v>
      </c>
      <c r="H12" s="123"/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/>
      <c r="O12" s="318" t="s">
        <v>429</v>
      </c>
      <c r="P12" s="319"/>
      <c r="Q12" s="32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11864</v>
      </c>
      <c r="C13" s="64" t="s">
        <v>430</v>
      </c>
      <c r="D13" s="204" t="s">
        <v>431</v>
      </c>
      <c r="E13" s="181" t="s">
        <v>91</v>
      </c>
      <c r="F13" s="173">
        <v>1010</v>
      </c>
      <c r="G13" s="119" t="s">
        <v>144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8"/>
      <c r="P13" s="319"/>
      <c r="Q13" s="32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11865</v>
      </c>
      <c r="C14" s="65" t="s">
        <v>432</v>
      </c>
      <c r="D14" s="205" t="s">
        <v>433</v>
      </c>
      <c r="E14" s="181" t="s">
        <v>92</v>
      </c>
      <c r="F14" s="174">
        <v>1015</v>
      </c>
      <c r="G14" s="122" t="s">
        <v>165</v>
      </c>
      <c r="H14" s="123"/>
      <c r="I14" s="125">
        <v>150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8"/>
      <c r="P14" s="319"/>
      <c r="Q14" s="32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11866</v>
      </c>
      <c r="C15" s="65" t="s">
        <v>434</v>
      </c>
      <c r="D15" s="205" t="s">
        <v>435</v>
      </c>
      <c r="E15" s="181" t="s">
        <v>92</v>
      </c>
      <c r="F15" s="174">
        <v>1020</v>
      </c>
      <c r="G15" s="122" t="s">
        <v>112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/>
      <c r="O15" s="318" t="s">
        <v>436</v>
      </c>
      <c r="P15" s="319"/>
      <c r="Q15" s="32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272">
        <v>11867</v>
      </c>
      <c r="C16" s="280" t="s">
        <v>437</v>
      </c>
      <c r="D16" s="281" t="s">
        <v>438</v>
      </c>
      <c r="E16" s="270" t="s">
        <v>91</v>
      </c>
      <c r="F16" s="282">
        <v>1100</v>
      </c>
      <c r="G16" s="267" t="s">
        <v>112</v>
      </c>
      <c r="H16" s="283"/>
      <c r="I16" s="273"/>
      <c r="J16" s="273" t="str">
        <f t="shared" si="1"/>
        <v>0</v>
      </c>
      <c r="K16" s="273">
        <v>79.099999999999994</v>
      </c>
      <c r="L16" s="274"/>
      <c r="M16" s="274">
        <v>475</v>
      </c>
      <c r="N16" s="268"/>
      <c r="O16" s="324" t="s">
        <v>439</v>
      </c>
      <c r="P16" s="325"/>
      <c r="Q16" s="326"/>
      <c r="R16" s="82">
        <f>H32/U16</f>
        <v>0.58490566037735847</v>
      </c>
      <c r="S16" s="83">
        <f>H32/(U16-U5)</f>
        <v>0.71264367816091956</v>
      </c>
      <c r="T16" s="83">
        <f>C32/U16</f>
        <v>54.258490566037736</v>
      </c>
      <c r="U16" s="83">
        <f>SUM(U5:U15)</f>
        <v>53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11868</v>
      </c>
      <c r="C17" s="18" t="s">
        <v>440</v>
      </c>
      <c r="D17" s="203" t="s">
        <v>441</v>
      </c>
      <c r="E17" s="181" t="s">
        <v>92</v>
      </c>
      <c r="F17" s="66">
        <v>1105</v>
      </c>
      <c r="G17" s="121" t="s">
        <v>144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8"/>
      <c r="P17" s="319"/>
      <c r="Q17" s="32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11869</v>
      </c>
      <c r="C18" s="18" t="s">
        <v>442</v>
      </c>
      <c r="D18" s="203" t="s">
        <v>443</v>
      </c>
      <c r="E18" s="181" t="s">
        <v>91</v>
      </c>
      <c r="F18" s="66">
        <v>1110</v>
      </c>
      <c r="G18" s="20" t="s">
        <v>136</v>
      </c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8" t="s">
        <v>444</v>
      </c>
      <c r="P18" s="319"/>
      <c r="Q18" s="32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11870</v>
      </c>
      <c r="C19" s="18" t="s">
        <v>445</v>
      </c>
      <c r="D19" s="203" t="s">
        <v>446</v>
      </c>
      <c r="E19" s="181" t="s">
        <v>92</v>
      </c>
      <c r="F19" s="66">
        <v>1150</v>
      </c>
      <c r="G19" s="121" t="s">
        <v>44</v>
      </c>
      <c r="H19" s="123"/>
      <c r="I19" s="124"/>
      <c r="J19" s="130" t="str">
        <f t="shared" si="1"/>
        <v>55</v>
      </c>
      <c r="K19" s="130" t="str">
        <f t="shared" si="2"/>
        <v>0</v>
      </c>
      <c r="L19" s="131"/>
      <c r="M19" s="131"/>
      <c r="N19" s="134"/>
      <c r="O19" s="318" t="s">
        <v>447</v>
      </c>
      <c r="P19" s="319"/>
      <c r="Q19" s="319"/>
      <c r="R19" s="93" t="s">
        <v>45</v>
      </c>
      <c r="S19" s="94">
        <f>COUNT(L5:M29,L37:M61,L69:M93)</f>
        <v>3</v>
      </c>
      <c r="T19" s="116">
        <f>SUM(L5:M29,L37:M61,L69:M93)</f>
        <v>1700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11871</v>
      </c>
      <c r="C20" s="18" t="s">
        <v>448</v>
      </c>
      <c r="D20" s="203" t="s">
        <v>449</v>
      </c>
      <c r="E20" s="181" t="s">
        <v>91</v>
      </c>
      <c r="F20" s="66">
        <v>1220</v>
      </c>
      <c r="G20" s="121" t="s">
        <v>132</v>
      </c>
      <c r="H20" s="123"/>
      <c r="I20" s="219"/>
      <c r="J20" s="130" t="str">
        <f t="shared" si="1"/>
        <v>0</v>
      </c>
      <c r="K20" s="221">
        <v>62.5</v>
      </c>
      <c r="L20" s="220"/>
      <c r="M20" s="220"/>
      <c r="N20" s="134"/>
      <c r="O20" s="329" t="s">
        <v>450</v>
      </c>
      <c r="P20" s="330"/>
      <c r="Q20" s="33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11872</v>
      </c>
      <c r="C21" s="18" t="s">
        <v>451</v>
      </c>
      <c r="D21" s="203" t="s">
        <v>452</v>
      </c>
      <c r="E21" s="181" t="s">
        <v>92</v>
      </c>
      <c r="F21" s="66">
        <v>1220</v>
      </c>
      <c r="G21" s="20" t="s">
        <v>144</v>
      </c>
      <c r="H21" s="123">
        <v>95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8"/>
      <c r="P21" s="319"/>
      <c r="Q21" s="31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272">
        <v>11873</v>
      </c>
      <c r="C22" s="782" t="s">
        <v>453</v>
      </c>
      <c r="D22" s="783" t="s">
        <v>454</v>
      </c>
      <c r="E22" s="270" t="s">
        <v>91</v>
      </c>
      <c r="F22" s="297">
        <v>1230</v>
      </c>
      <c r="G22" s="272" t="s">
        <v>112</v>
      </c>
      <c r="H22" s="283"/>
      <c r="I22" s="283"/>
      <c r="J22" s="273" t="str">
        <f t="shared" si="1"/>
        <v>0</v>
      </c>
      <c r="K22" s="273">
        <v>125</v>
      </c>
      <c r="L22" s="273">
        <v>750</v>
      </c>
      <c r="M22" s="273"/>
      <c r="N22" s="268"/>
      <c r="O22" s="324" t="s">
        <v>455</v>
      </c>
      <c r="P22" s="325"/>
      <c r="Q22" s="32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11874</v>
      </c>
      <c r="C23" s="136" t="s">
        <v>456</v>
      </c>
      <c r="D23" s="207" t="s">
        <v>457</v>
      </c>
      <c r="E23" s="181" t="s">
        <v>92</v>
      </c>
      <c r="F23" s="176">
        <v>1315</v>
      </c>
      <c r="G23" s="165" t="s">
        <v>103</v>
      </c>
      <c r="H23" s="89"/>
      <c r="I23" s="141">
        <v>195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7"/>
      <c r="Y23" s="328"/>
      <c r="Z23" s="328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11875</v>
      </c>
      <c r="C24" s="127" t="s">
        <v>458</v>
      </c>
      <c r="D24" s="206" t="s">
        <v>459</v>
      </c>
      <c r="E24" s="181" t="s">
        <v>92</v>
      </c>
      <c r="F24" s="175">
        <v>1325</v>
      </c>
      <c r="G24" s="263" t="s">
        <v>106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8"/>
      <c r="P24" s="319"/>
      <c r="Q24" s="32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11876</v>
      </c>
      <c r="C25" s="132" t="s">
        <v>460</v>
      </c>
      <c r="D25" s="208" t="s">
        <v>461</v>
      </c>
      <c r="E25" s="181" t="s">
        <v>91</v>
      </c>
      <c r="F25" s="175">
        <v>1345</v>
      </c>
      <c r="G25" s="263" t="s">
        <v>44</v>
      </c>
      <c r="H25" s="90">
        <v>40</v>
      </c>
      <c r="I25" s="90"/>
      <c r="J25" s="130" t="str">
        <f t="shared" si="1"/>
        <v>55</v>
      </c>
      <c r="K25" s="130" t="str">
        <f t="shared" si="2"/>
        <v>0</v>
      </c>
      <c r="L25" s="69"/>
      <c r="M25" s="69"/>
      <c r="N25" s="134"/>
      <c r="O25" s="318" t="s">
        <v>462</v>
      </c>
      <c r="P25" s="319"/>
      <c r="Q25" s="320"/>
      <c r="R25" s="100">
        <f>COUNTIF(G5:G29,"GV1")+COUNTIF(G37:G61,"GV1")+COUNTIF(G69:G93,"GV1")</f>
        <v>2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31">
        <f>((C32+(R26+S26+T26)*0.5))</f>
        <v>2913.2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11877</v>
      </c>
      <c r="C26" s="27" t="s">
        <v>463</v>
      </c>
      <c r="D26" s="209" t="s">
        <v>464</v>
      </c>
      <c r="E26" s="181" t="s">
        <v>92</v>
      </c>
      <c r="F26" s="177">
        <v>1350</v>
      </c>
      <c r="G26" s="20" t="s">
        <v>103</v>
      </c>
      <c r="H26" s="89">
        <v>250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8"/>
      <c r="P26" s="319"/>
      <c r="Q26" s="320"/>
      <c r="R26" s="112">
        <f>R25*37.5</f>
        <v>75</v>
      </c>
      <c r="S26" s="102">
        <f>S25*41.5</f>
        <v>0</v>
      </c>
      <c r="T26" s="102">
        <f>T25*50</f>
        <v>0</v>
      </c>
      <c r="U26" s="33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11878</v>
      </c>
      <c r="C27" s="27" t="s">
        <v>465</v>
      </c>
      <c r="D27" s="209" t="s">
        <v>466</v>
      </c>
      <c r="E27" s="181" t="s">
        <v>91</v>
      </c>
      <c r="F27" s="177">
        <v>1415</v>
      </c>
      <c r="G27" s="20" t="s">
        <v>144</v>
      </c>
      <c r="H27" s="89"/>
      <c r="I27" s="141">
        <v>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8"/>
      <c r="P27" s="319"/>
      <c r="Q27" s="320"/>
      <c r="R27" s="340" t="s">
        <v>56</v>
      </c>
      <c r="S27" s="341"/>
      <c r="T27" s="341"/>
      <c r="U27" s="34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11879</v>
      </c>
      <c r="C28" s="27" t="s">
        <v>467</v>
      </c>
      <c r="D28" s="209" t="s">
        <v>468</v>
      </c>
      <c r="E28" s="181" t="s">
        <v>92</v>
      </c>
      <c r="F28" s="177">
        <v>1420</v>
      </c>
      <c r="G28" s="20" t="s">
        <v>165</v>
      </c>
      <c r="H28" s="89"/>
      <c r="I28" s="141">
        <v>120</v>
      </c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8"/>
      <c r="P28" s="319"/>
      <c r="Q28" s="320"/>
      <c r="R28" s="333"/>
      <c r="S28" s="334"/>
      <c r="T28" s="33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267">
        <v>11880</v>
      </c>
      <c r="C29" s="784" t="s">
        <v>469</v>
      </c>
      <c r="D29" s="785" t="s">
        <v>470</v>
      </c>
      <c r="E29" s="786" t="s">
        <v>92</v>
      </c>
      <c r="F29" s="297">
        <v>1420</v>
      </c>
      <c r="G29" s="272" t="s">
        <v>136</v>
      </c>
      <c r="H29" s="283"/>
      <c r="I29" s="283"/>
      <c r="J29" s="273" t="str">
        <f t="shared" si="1"/>
        <v>0</v>
      </c>
      <c r="K29" s="273" t="str">
        <f t="shared" si="2"/>
        <v>0</v>
      </c>
      <c r="L29" s="273"/>
      <c r="M29" s="273">
        <v>475</v>
      </c>
      <c r="N29" s="268"/>
      <c r="O29" s="787" t="s">
        <v>471</v>
      </c>
      <c r="P29" s="788"/>
      <c r="Q29" s="789"/>
      <c r="R29" s="352"/>
      <c r="S29" s="353"/>
      <c r="T29" s="354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5" t="s">
        <v>48</v>
      </c>
      <c r="B30" s="356"/>
      <c r="C30" s="356"/>
      <c r="D30" s="356"/>
      <c r="E30" s="357"/>
      <c r="F30" s="356"/>
      <c r="G30" s="356"/>
      <c r="H30" s="264">
        <f t="shared" ref="H30:M30" si="3">SUM(H5:H29)</f>
        <v>610</v>
      </c>
      <c r="I30" s="105">
        <f>SUM(I5:I29)</f>
        <v>1200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408.2</v>
      </c>
      <c r="L30" s="106">
        <f t="shared" si="3"/>
        <v>750</v>
      </c>
      <c r="M30" s="106">
        <f t="shared" si="3"/>
        <v>950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8"/>
      <c r="S30" s="358"/>
      <c r="T30" s="359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0" t="s">
        <v>16</v>
      </c>
      <c r="B31" s="361"/>
      <c r="C31" s="361"/>
      <c r="D31" s="361"/>
      <c r="E31" s="361"/>
      <c r="F31" s="361"/>
      <c r="G31" s="361"/>
      <c r="H31" s="265">
        <f t="shared" ref="H31:J31" si="4">H30+H62+H94</f>
        <v>885</v>
      </c>
      <c r="I31" s="103">
        <f t="shared" si="4"/>
        <v>1300</v>
      </c>
      <c r="J31" s="103">
        <f t="shared" si="4"/>
        <v>220</v>
      </c>
      <c r="K31" s="103">
        <f>K30+K62+K94</f>
        <v>470.7</v>
      </c>
      <c r="L31" s="97">
        <f>L30+L62+L94</f>
        <v>750</v>
      </c>
      <c r="M31" s="97">
        <f>M30+M62+M94</f>
        <v>950</v>
      </c>
      <c r="N31" s="262">
        <f>COUNT(H5:H29,H37:H61,H69:H93)</f>
        <v>10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8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1635</v>
      </c>
      <c r="T31" s="345">
        <f>H31+I31+L31+M31</f>
        <v>3885</v>
      </c>
      <c r="U31" s="346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36" t="s">
        <v>55</v>
      </c>
      <c r="B32" s="337"/>
      <c r="C32" s="107">
        <f>H31+I31+J31+K31</f>
        <v>2875.7</v>
      </c>
      <c r="D32" s="196"/>
      <c r="E32" s="107"/>
      <c r="F32" s="338" t="s">
        <v>53</v>
      </c>
      <c r="G32" s="338"/>
      <c r="H32" s="109">
        <f>COUNT(B5:B29,B37:B61,B69:B93)</f>
        <v>31</v>
      </c>
      <c r="I32" s="339" t="s">
        <v>54</v>
      </c>
      <c r="J32" s="339"/>
      <c r="K32" s="108">
        <f>C32/H32</f>
        <v>92.764516129032259</v>
      </c>
      <c r="L32" s="260"/>
      <c r="M32" s="260"/>
      <c r="N32" s="260">
        <f>H31/C32</f>
        <v>0.30775115624021981</v>
      </c>
      <c r="O32" s="260">
        <f>I31/C32</f>
        <v>0.45206384532461663</v>
      </c>
      <c r="P32" s="260">
        <f>K31/C32</f>
        <v>0.16368188614945928</v>
      </c>
      <c r="Q32" s="110">
        <f>J31/C32</f>
        <v>7.6503112285704361E-2</v>
      </c>
      <c r="R32" s="99" t="s">
        <v>82</v>
      </c>
      <c r="S32" s="266">
        <f>I31+M31</f>
        <v>2250</v>
      </c>
      <c r="T32" s="347"/>
      <c r="U32" s="348"/>
      <c r="V32" s="55"/>
      <c r="W32" s="55"/>
      <c r="X32" s="56" t="s">
        <v>27</v>
      </c>
      <c r="Y32" s="56"/>
      <c r="Z32" s="54">
        <f>I31</f>
        <v>1300</v>
      </c>
      <c r="AE32" s="37"/>
      <c r="AF32" s="37"/>
      <c r="AG32" s="37"/>
      <c r="AH32" s="37"/>
    </row>
    <row r="33" spans="1:34" ht="17.25" thickBot="1" x14ac:dyDescent="0.35">
      <c r="A33" s="343" t="s">
        <v>24</v>
      </c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02"/>
      <c r="U33" s="303"/>
      <c r="X33" s="57" t="s">
        <v>29</v>
      </c>
      <c r="Y33" s="57"/>
      <c r="Z33" s="58">
        <f>SUM(Z31:Z32)</f>
        <v>-1445</v>
      </c>
      <c r="AE33" s="37"/>
      <c r="AF33" s="37"/>
      <c r="AG33" s="59"/>
      <c r="AH33" s="37"/>
    </row>
    <row r="34" spans="1:34" ht="17.25" thickBot="1" x14ac:dyDescent="0.35">
      <c r="A34" s="301" t="str">
        <f>A2</f>
        <v>30-10-2022</v>
      </c>
      <c r="B34" s="302"/>
      <c r="C34" s="302"/>
      <c r="D34" s="302"/>
      <c r="E34" s="302"/>
      <c r="F34" s="302"/>
      <c r="G34" s="303"/>
      <c r="H34" s="304" t="s">
        <v>49</v>
      </c>
      <c r="I34" s="305"/>
      <c r="J34" s="301" t="str">
        <f>J2</f>
        <v>SUNNY</v>
      </c>
      <c r="K34" s="303"/>
      <c r="L34" s="305" t="s">
        <v>50</v>
      </c>
      <c r="M34" s="306"/>
      <c r="N34" s="304"/>
      <c r="O34" s="302" t="str">
        <f>O2</f>
        <v>JOHN</v>
      </c>
      <c r="P34" s="302"/>
      <c r="Q34" s="303"/>
      <c r="R34" s="305" t="s">
        <v>51</v>
      </c>
      <c r="S34" s="304"/>
      <c r="T34" s="307">
        <f>T2</f>
        <v>6</v>
      </c>
      <c r="U34" s="307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1" t="s">
        <v>8</v>
      </c>
      <c r="P36" s="311"/>
      <c r="Q36" s="311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11881</v>
      </c>
      <c r="C37" s="68" t="s">
        <v>472</v>
      </c>
      <c r="D37" s="258" t="s">
        <v>473</v>
      </c>
      <c r="E37" s="181" t="s">
        <v>91</v>
      </c>
      <c r="F37" s="174">
        <v>1455</v>
      </c>
      <c r="G37" s="118" t="s">
        <v>144</v>
      </c>
      <c r="H37" s="91">
        <v>95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8"/>
      <c r="P37" s="319"/>
      <c r="Q37" s="320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11882</v>
      </c>
      <c r="C38" s="67" t="s">
        <v>474</v>
      </c>
      <c r="D38" s="195" t="s">
        <v>475</v>
      </c>
      <c r="E38" s="181" t="s">
        <v>92</v>
      </c>
      <c r="F38" s="179">
        <v>1500</v>
      </c>
      <c r="G38" s="118" t="s">
        <v>476</v>
      </c>
      <c r="H38" s="91"/>
      <c r="I38" s="124">
        <v>100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5"/>
      <c r="P38" s="316"/>
      <c r="Q38" s="31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11883</v>
      </c>
      <c r="C39" s="27" t="s">
        <v>477</v>
      </c>
      <c r="D39" s="183" t="s">
        <v>478</v>
      </c>
      <c r="E39" s="181" t="s">
        <v>91</v>
      </c>
      <c r="F39" s="179">
        <v>1500</v>
      </c>
      <c r="G39" s="118" t="s">
        <v>144</v>
      </c>
      <c r="H39" s="91">
        <v>95</v>
      </c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8"/>
      <c r="P39" s="319"/>
      <c r="Q39" s="320"/>
      <c r="R39" s="79"/>
      <c r="S39" s="13"/>
      <c r="T39" s="12"/>
      <c r="U39" s="72"/>
    </row>
    <row r="40" spans="1:34" x14ac:dyDescent="0.3">
      <c r="A40" s="128">
        <f t="shared" si="7"/>
        <v>29</v>
      </c>
      <c r="B40" s="296">
        <v>11884</v>
      </c>
      <c r="C40" s="63" t="s">
        <v>479</v>
      </c>
      <c r="D40" s="184" t="s">
        <v>480</v>
      </c>
      <c r="E40" s="181" t="s">
        <v>91</v>
      </c>
      <c r="F40" s="180">
        <v>1500</v>
      </c>
      <c r="G40" s="119" t="s">
        <v>132</v>
      </c>
      <c r="H40" s="91"/>
      <c r="I40" s="91"/>
      <c r="J40" s="130" t="str">
        <f t="shared" si="6"/>
        <v>0</v>
      </c>
      <c r="K40" s="130">
        <v>62.5</v>
      </c>
      <c r="L40" s="131"/>
      <c r="M40" s="131"/>
      <c r="N40" s="69"/>
      <c r="O40" s="321" t="s">
        <v>481</v>
      </c>
      <c r="P40" s="322"/>
      <c r="Q40" s="323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11885</v>
      </c>
      <c r="C41" s="63" t="s">
        <v>482</v>
      </c>
      <c r="D41" s="184" t="s">
        <v>483</v>
      </c>
      <c r="E41" s="181" t="s">
        <v>92</v>
      </c>
      <c r="F41" s="180">
        <v>1520</v>
      </c>
      <c r="G41" s="119" t="s">
        <v>44</v>
      </c>
      <c r="H41" s="91">
        <v>10</v>
      </c>
      <c r="I41" s="91"/>
      <c r="J41" s="130" t="str">
        <f t="shared" si="6"/>
        <v>55</v>
      </c>
      <c r="K41" s="130" t="str">
        <f t="shared" si="5"/>
        <v>0</v>
      </c>
      <c r="L41" s="131"/>
      <c r="M41" s="131"/>
      <c r="N41" s="69"/>
      <c r="O41" s="321" t="s">
        <v>484</v>
      </c>
      <c r="P41" s="322"/>
      <c r="Q41" s="323"/>
      <c r="R41" s="80"/>
      <c r="S41" s="73"/>
      <c r="T41" s="73"/>
      <c r="U41" s="74"/>
    </row>
    <row r="42" spans="1:34" x14ac:dyDescent="0.3">
      <c r="A42" s="128">
        <f t="shared" si="7"/>
        <v>31</v>
      </c>
      <c r="B42" s="296">
        <v>11886</v>
      </c>
      <c r="C42" s="28" t="s">
        <v>485</v>
      </c>
      <c r="D42" s="185" t="s">
        <v>486</v>
      </c>
      <c r="E42" s="181" t="s">
        <v>92</v>
      </c>
      <c r="F42" s="173">
        <v>1555</v>
      </c>
      <c r="G42" s="120" t="s">
        <v>144</v>
      </c>
      <c r="H42" s="123">
        <v>75</v>
      </c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8"/>
      <c r="P42" s="309"/>
      <c r="Q42" s="310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8"/>
      <c r="P43" s="319"/>
      <c r="Q43" s="32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8"/>
      <c r="P44" s="319"/>
      <c r="Q44" s="32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8"/>
      <c r="P45" s="319"/>
      <c r="Q45" s="32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8"/>
      <c r="P46" s="319"/>
      <c r="Q46" s="32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8"/>
      <c r="P47" s="319"/>
      <c r="Q47" s="32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8"/>
      <c r="P48" s="319"/>
      <c r="Q48" s="32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8"/>
      <c r="P49" s="319"/>
      <c r="Q49" s="32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8"/>
      <c r="P50" s="319"/>
      <c r="Q50" s="32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8"/>
      <c r="P51" s="319"/>
      <c r="Q51" s="31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8"/>
      <c r="P52" s="319"/>
      <c r="Q52" s="31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2"/>
      <c r="P53" s="318"/>
      <c r="Q53" s="31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2"/>
      <c r="P54" s="318"/>
      <c r="Q54" s="31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2"/>
      <c r="P55" s="318"/>
      <c r="Q55" s="31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9"/>
      <c r="P56" s="319"/>
      <c r="Q56" s="31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8"/>
      <c r="P57" s="319"/>
      <c r="Q57" s="31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9"/>
      <c r="P58" s="319"/>
      <c r="Q58" s="31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9"/>
      <c r="P59" s="319"/>
      <c r="Q59" s="31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8"/>
      <c r="P60" s="319"/>
      <c r="Q60" s="32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3"/>
      <c r="P61" s="364"/>
      <c r="Q61" s="365"/>
      <c r="R61" s="81"/>
      <c r="S61" s="68"/>
      <c r="T61" s="68"/>
      <c r="U61" s="77"/>
    </row>
    <row r="62" spans="1:21" x14ac:dyDescent="0.3">
      <c r="A62" s="366" t="s">
        <v>48</v>
      </c>
      <c r="B62" s="367"/>
      <c r="C62" s="367"/>
      <c r="D62" s="367"/>
      <c r="E62" s="367"/>
      <c r="F62" s="367"/>
      <c r="G62" s="367"/>
      <c r="H62" s="367">
        <f t="shared" ref="H62:M62" si="8">SUM(H37:H61)</f>
        <v>275</v>
      </c>
      <c r="I62" s="372">
        <f t="shared" si="8"/>
        <v>100</v>
      </c>
      <c r="J62" s="372">
        <f>J61+J60+J59+J58+J57+J56+J55+J54+J53+J52+J51+J50+J49+J48+J47+J46+J45+J44+J43+J42+J41+J40+J39+J38+J37</f>
        <v>55</v>
      </c>
      <c r="K62" s="372">
        <f>K61+K60+K59+K58+K57+K56+K55+K54+K53+K52+K51+K50+K49+K48+K47+K46+K45+K44+K43+K42+K41+K40+K39+K38+K37</f>
        <v>62.5</v>
      </c>
      <c r="L62" s="375">
        <f t="shared" si="8"/>
        <v>0</v>
      </c>
      <c r="M62" s="378">
        <f t="shared" si="8"/>
        <v>0</v>
      </c>
      <c r="N62" s="381"/>
      <c r="O62" s="382"/>
      <c r="P62" s="382"/>
      <c r="Q62" s="383"/>
      <c r="R62" s="5"/>
      <c r="S62" s="6"/>
      <c r="T62" s="7"/>
      <c r="U62" s="8"/>
    </row>
    <row r="63" spans="1:21" ht="17.25" thickBot="1" x14ac:dyDescent="0.35">
      <c r="A63" s="368"/>
      <c r="B63" s="369"/>
      <c r="C63" s="369"/>
      <c r="D63" s="369"/>
      <c r="E63" s="369"/>
      <c r="F63" s="369"/>
      <c r="G63" s="369"/>
      <c r="H63" s="369"/>
      <c r="I63" s="373"/>
      <c r="J63" s="373"/>
      <c r="K63" s="373"/>
      <c r="L63" s="376"/>
      <c r="M63" s="379"/>
      <c r="N63" s="384"/>
      <c r="O63" s="385"/>
      <c r="P63" s="385"/>
      <c r="Q63" s="386"/>
      <c r="R63" s="1"/>
      <c r="S63" s="2"/>
      <c r="T63" s="3"/>
      <c r="U63" s="4"/>
    </row>
    <row r="64" spans="1:21" ht="17.25" thickBot="1" x14ac:dyDescent="0.35">
      <c r="A64" s="370"/>
      <c r="B64" s="371"/>
      <c r="C64" s="371"/>
      <c r="D64" s="371"/>
      <c r="E64" s="371"/>
      <c r="F64" s="371"/>
      <c r="G64" s="371"/>
      <c r="H64" s="371"/>
      <c r="I64" s="374"/>
      <c r="J64" s="374"/>
      <c r="K64" s="374"/>
      <c r="L64" s="377"/>
      <c r="M64" s="380"/>
      <c r="N64" s="343"/>
      <c r="O64" s="344"/>
      <c r="P64" s="344"/>
      <c r="Q64" s="387"/>
      <c r="R64" s="388" t="s">
        <v>17</v>
      </c>
      <c r="S64" s="389"/>
      <c r="T64" s="389"/>
      <c r="U64" s="390"/>
    </row>
    <row r="65" spans="1:21" ht="17.25" thickBot="1" x14ac:dyDescent="0.35">
      <c r="A65" s="301" t="s">
        <v>24</v>
      </c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3"/>
    </row>
    <row r="66" spans="1:21" ht="17.25" thickBot="1" x14ac:dyDescent="0.35">
      <c r="A66" s="301" t="str">
        <f>A34</f>
        <v>30-10-2022</v>
      </c>
      <c r="B66" s="302"/>
      <c r="C66" s="302"/>
      <c r="D66" s="302"/>
      <c r="E66" s="302"/>
      <c r="F66" s="302"/>
      <c r="G66" s="303"/>
      <c r="H66" s="304" t="s">
        <v>49</v>
      </c>
      <c r="I66" s="305"/>
      <c r="J66" s="301" t="str">
        <f>J34</f>
        <v>SUNNY</v>
      </c>
      <c r="K66" s="303"/>
      <c r="L66" s="305" t="s">
        <v>50</v>
      </c>
      <c r="M66" s="306"/>
      <c r="N66" s="304"/>
      <c r="O66" s="302" t="str">
        <f>O34</f>
        <v>JOHN</v>
      </c>
      <c r="P66" s="302"/>
      <c r="Q66" s="303"/>
      <c r="R66" s="305" t="s">
        <v>51</v>
      </c>
      <c r="S66" s="304"/>
      <c r="T66" s="307">
        <f>T34</f>
        <v>6</v>
      </c>
      <c r="U66" s="307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1" t="s">
        <v>8</v>
      </c>
      <c r="P68" s="311"/>
      <c r="Q68" s="311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8"/>
      <c r="P69" s="319"/>
      <c r="Q69" s="32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5"/>
      <c r="P70" s="316"/>
      <c r="Q70" s="31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8"/>
      <c r="P71" s="319"/>
      <c r="Q71" s="32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1"/>
      <c r="P72" s="322"/>
      <c r="Q72" s="323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1"/>
      <c r="P73" s="322"/>
      <c r="Q73" s="323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8"/>
      <c r="P74" s="309"/>
      <c r="Q74" s="310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8"/>
      <c r="P75" s="319"/>
      <c r="Q75" s="32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8"/>
      <c r="P76" s="319"/>
      <c r="Q76" s="32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8"/>
      <c r="P77" s="319"/>
      <c r="Q77" s="32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8"/>
      <c r="P78" s="319"/>
      <c r="Q78" s="32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8"/>
      <c r="P79" s="319"/>
      <c r="Q79" s="32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8"/>
      <c r="P80" s="319"/>
      <c r="Q80" s="32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8"/>
      <c r="P81" s="319"/>
      <c r="Q81" s="32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8"/>
      <c r="P82" s="319"/>
      <c r="Q82" s="32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8"/>
      <c r="P83" s="319"/>
      <c r="Q83" s="31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8"/>
      <c r="P84" s="319"/>
      <c r="Q84" s="31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2"/>
      <c r="P85" s="318"/>
      <c r="Q85" s="31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2"/>
      <c r="P86" s="318"/>
      <c r="Q86" s="31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2"/>
      <c r="P87" s="318"/>
      <c r="Q87" s="31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9"/>
      <c r="P88" s="319"/>
      <c r="Q88" s="31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8"/>
      <c r="P89" s="319"/>
      <c r="Q89" s="31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9"/>
      <c r="P90" s="319"/>
      <c r="Q90" s="31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9"/>
      <c r="P91" s="319"/>
      <c r="Q91" s="31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8"/>
      <c r="P92" s="319"/>
      <c r="Q92" s="32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3"/>
      <c r="P93" s="364"/>
      <c r="Q93" s="365"/>
      <c r="R93" s="81"/>
      <c r="S93" s="68"/>
      <c r="T93" s="68"/>
      <c r="U93" s="77"/>
    </row>
    <row r="94" spans="1:21" x14ac:dyDescent="0.3">
      <c r="A94" s="366" t="s">
        <v>48</v>
      </c>
      <c r="B94" s="367"/>
      <c r="C94" s="367"/>
      <c r="D94" s="367"/>
      <c r="E94" s="391"/>
      <c r="F94" s="367"/>
      <c r="G94" s="367"/>
      <c r="H94" s="367">
        <f t="shared" ref="H94:M94" si="12">SUM(H69:H93)</f>
        <v>0</v>
      </c>
      <c r="I94" s="372">
        <f t="shared" si="12"/>
        <v>0</v>
      </c>
      <c r="J94" s="372">
        <f>J93+J92+J91+J90+J89+J88+J87+J86+J85+J84+J83+J82+J81+J80+J79+J78+J77+J76+J75+J74+J73+J72+J71+J70+J69</f>
        <v>0</v>
      </c>
      <c r="K94" s="372">
        <f>K93+K92+K91+K90+K89+K88+K87+K86+K85+K84+K83+K82+K81+K80+K79+K78+K77+K76+K75+K74+K73+K72+K71+K70+K69</f>
        <v>0</v>
      </c>
      <c r="L94" s="375">
        <f t="shared" si="12"/>
        <v>0</v>
      </c>
      <c r="M94" s="378">
        <f t="shared" si="12"/>
        <v>0</v>
      </c>
      <c r="N94" s="381"/>
      <c r="O94" s="382"/>
      <c r="P94" s="382"/>
      <c r="Q94" s="383"/>
      <c r="R94" s="5"/>
      <c r="S94" s="6"/>
      <c r="T94" s="7"/>
      <c r="U94" s="8"/>
    </row>
    <row r="95" spans="1:21" ht="17.25" thickBot="1" x14ac:dyDescent="0.35">
      <c r="A95" s="368"/>
      <c r="B95" s="369"/>
      <c r="C95" s="369"/>
      <c r="D95" s="369"/>
      <c r="E95" s="369"/>
      <c r="F95" s="369"/>
      <c r="G95" s="369"/>
      <c r="H95" s="369"/>
      <c r="I95" s="373"/>
      <c r="J95" s="373"/>
      <c r="K95" s="373"/>
      <c r="L95" s="376"/>
      <c r="M95" s="379"/>
      <c r="N95" s="384"/>
      <c r="O95" s="385"/>
      <c r="P95" s="385"/>
      <c r="Q95" s="386"/>
      <c r="R95" s="1"/>
      <c r="S95" s="2"/>
      <c r="T95" s="3"/>
      <c r="U95" s="4"/>
    </row>
    <row r="96" spans="1:21" ht="17.25" thickBot="1" x14ac:dyDescent="0.35">
      <c r="A96" s="370"/>
      <c r="B96" s="371"/>
      <c r="C96" s="371"/>
      <c r="D96" s="371"/>
      <c r="E96" s="371"/>
      <c r="F96" s="371"/>
      <c r="G96" s="371"/>
      <c r="H96" s="371"/>
      <c r="I96" s="374"/>
      <c r="J96" s="374"/>
      <c r="K96" s="374"/>
      <c r="L96" s="377"/>
      <c r="M96" s="380"/>
      <c r="N96" s="343"/>
      <c r="O96" s="344"/>
      <c r="P96" s="344"/>
      <c r="Q96" s="387"/>
      <c r="R96" s="388" t="s">
        <v>52</v>
      </c>
      <c r="S96" s="389"/>
      <c r="T96" s="389"/>
      <c r="U96" s="390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5" workbookViewId="0">
      <selection activeCell="H25" sqref="H25:K25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60"/>
      <c r="B1" s="560"/>
      <c r="C1" s="560"/>
      <c r="D1" s="560"/>
      <c r="E1" s="558" t="s">
        <v>59</v>
      </c>
      <c r="F1" s="558"/>
      <c r="G1" s="558"/>
      <c r="H1" s="558" t="s">
        <v>60</v>
      </c>
      <c r="I1" s="558"/>
      <c r="J1" s="558"/>
      <c r="K1" s="558"/>
      <c r="L1" s="558" t="s">
        <v>61</v>
      </c>
      <c r="M1" s="558"/>
      <c r="N1" s="558"/>
      <c r="O1" s="558"/>
      <c r="P1" s="558"/>
      <c r="Q1" s="558" t="s">
        <v>62</v>
      </c>
      <c r="R1" s="558"/>
      <c r="S1" s="558"/>
      <c r="T1" s="558"/>
      <c r="U1" s="558"/>
      <c r="V1" s="558" t="s">
        <v>63</v>
      </c>
      <c r="W1" s="558"/>
      <c r="X1" s="558"/>
      <c r="Y1" s="558"/>
      <c r="Z1" s="558"/>
      <c r="AA1" s="558" t="s">
        <v>64</v>
      </c>
      <c r="AB1" s="558"/>
      <c r="AC1" s="558"/>
      <c r="AD1" s="558"/>
    </row>
    <row r="2" spans="1:30" ht="20.100000000000001" customHeight="1" x14ac:dyDescent="0.3">
      <c r="A2" s="477" t="s">
        <v>66</v>
      </c>
      <c r="B2" s="500" t="s">
        <v>57</v>
      </c>
      <c r="C2" s="500"/>
      <c r="D2" s="559"/>
      <c r="E2" s="559">
        <f>MON!N31</f>
        <v>2</v>
      </c>
      <c r="F2" s="559"/>
      <c r="G2" s="559"/>
      <c r="H2" s="561">
        <f>MON!S31</f>
        <v>1450</v>
      </c>
      <c r="I2" s="561"/>
      <c r="J2" s="561"/>
      <c r="K2" s="561"/>
      <c r="L2" s="562">
        <f>MON!N32</f>
        <v>0.56000000000000005</v>
      </c>
      <c r="M2" s="562"/>
      <c r="N2" s="562"/>
      <c r="O2" s="562"/>
      <c r="P2" s="562"/>
      <c r="Q2" s="630">
        <f>SUM(E2:G5)</f>
        <v>7</v>
      </c>
      <c r="R2" s="631"/>
      <c r="S2" s="631"/>
      <c r="T2" s="631"/>
      <c r="U2" s="632"/>
      <c r="V2" s="572">
        <f>SUM(H2,H3,H5)</f>
        <v>1875</v>
      </c>
      <c r="W2" s="573"/>
      <c r="X2" s="573"/>
      <c r="Y2" s="573"/>
      <c r="Z2" s="574"/>
      <c r="AA2" s="581">
        <f>V2/Q2</f>
        <v>267.85714285714283</v>
      </c>
      <c r="AB2" s="582"/>
      <c r="AC2" s="582"/>
      <c r="AD2" s="583"/>
    </row>
    <row r="3" spans="1:30" ht="20.100000000000001" customHeight="1" x14ac:dyDescent="0.3">
      <c r="A3" s="478"/>
      <c r="B3" s="500" t="s">
        <v>58</v>
      </c>
      <c r="C3" s="500"/>
      <c r="D3" s="559"/>
      <c r="E3" s="559">
        <f>MON!O31</f>
        <v>3</v>
      </c>
      <c r="F3" s="559"/>
      <c r="G3" s="559"/>
      <c r="H3" s="561">
        <f>MON!S32</f>
        <v>370</v>
      </c>
      <c r="I3" s="561"/>
      <c r="J3" s="561"/>
      <c r="K3" s="561"/>
      <c r="L3" s="562">
        <f>MON!O32</f>
        <v>0.29599999999999999</v>
      </c>
      <c r="M3" s="562"/>
      <c r="N3" s="562"/>
      <c r="O3" s="562"/>
      <c r="P3" s="562"/>
      <c r="Q3" s="633"/>
      <c r="R3" s="634"/>
      <c r="S3" s="634"/>
      <c r="T3" s="634"/>
      <c r="U3" s="635"/>
      <c r="V3" s="575"/>
      <c r="W3" s="576"/>
      <c r="X3" s="576"/>
      <c r="Y3" s="576"/>
      <c r="Z3" s="577"/>
      <c r="AA3" s="584"/>
      <c r="AB3" s="585"/>
      <c r="AC3" s="585"/>
      <c r="AD3" s="586"/>
    </row>
    <row r="4" spans="1:30" ht="20.100000000000001" customHeight="1" x14ac:dyDescent="0.3">
      <c r="A4" s="478"/>
      <c r="B4" s="500" t="s">
        <v>45</v>
      </c>
      <c r="C4" s="500"/>
      <c r="D4" s="559"/>
      <c r="E4" s="559">
        <f>MON!P31</f>
        <v>1</v>
      </c>
      <c r="F4" s="559"/>
      <c r="G4" s="559"/>
      <c r="H4" s="561">
        <f>MON!K31</f>
        <v>125</v>
      </c>
      <c r="I4" s="561"/>
      <c r="J4" s="561"/>
      <c r="K4" s="561"/>
      <c r="L4" s="562">
        <f>MON!P32</f>
        <v>0.1</v>
      </c>
      <c r="M4" s="562"/>
      <c r="N4" s="562"/>
      <c r="O4" s="562"/>
      <c r="P4" s="562"/>
      <c r="Q4" s="633"/>
      <c r="R4" s="634"/>
      <c r="S4" s="634"/>
      <c r="T4" s="634"/>
      <c r="U4" s="635"/>
      <c r="V4" s="575"/>
      <c r="W4" s="576"/>
      <c r="X4" s="576"/>
      <c r="Y4" s="576"/>
      <c r="Z4" s="577"/>
      <c r="AA4" s="584"/>
      <c r="AB4" s="585"/>
      <c r="AC4" s="585"/>
      <c r="AD4" s="586"/>
    </row>
    <row r="5" spans="1:30" ht="20.100000000000001" customHeight="1" x14ac:dyDescent="0.3">
      <c r="A5" s="478"/>
      <c r="B5" s="498" t="s">
        <v>65</v>
      </c>
      <c r="C5" s="499"/>
      <c r="D5" s="500"/>
      <c r="E5" s="498">
        <f>MON!Q31</f>
        <v>1</v>
      </c>
      <c r="F5" s="499"/>
      <c r="G5" s="500"/>
      <c r="H5" s="618">
        <f>MON!J31</f>
        <v>55</v>
      </c>
      <c r="I5" s="619"/>
      <c r="J5" s="619"/>
      <c r="K5" s="620"/>
      <c r="L5" s="621">
        <f>MON!Q32</f>
        <v>4.3999999999999997E-2</v>
      </c>
      <c r="M5" s="622"/>
      <c r="N5" s="622"/>
      <c r="O5" s="622"/>
      <c r="P5" s="623"/>
      <c r="Q5" s="636"/>
      <c r="R5" s="637"/>
      <c r="S5" s="637"/>
      <c r="T5" s="637"/>
      <c r="U5" s="638"/>
      <c r="V5" s="578"/>
      <c r="W5" s="579"/>
      <c r="X5" s="579"/>
      <c r="Y5" s="579"/>
      <c r="Z5" s="580"/>
      <c r="AA5" s="587"/>
      <c r="AB5" s="588"/>
      <c r="AC5" s="588"/>
      <c r="AD5" s="589"/>
    </row>
    <row r="6" spans="1:30" ht="20.100000000000001" customHeight="1" x14ac:dyDescent="0.3">
      <c r="A6" s="479"/>
      <c r="B6" s="498" t="s">
        <v>94</v>
      </c>
      <c r="C6" s="499"/>
      <c r="D6" s="500"/>
      <c r="E6" s="498">
        <f>MON!U16</f>
        <v>17.75</v>
      </c>
      <c r="F6" s="499"/>
      <c r="G6" s="500"/>
      <c r="H6" s="618" t="s">
        <v>95</v>
      </c>
      <c r="I6" s="619"/>
      <c r="J6" s="619"/>
      <c r="K6" s="620"/>
      <c r="L6" s="678">
        <f>MON!T2</f>
        <v>2</v>
      </c>
      <c r="M6" s="679"/>
      <c r="N6" s="679"/>
      <c r="O6" s="679"/>
      <c r="P6" s="680"/>
      <c r="Q6" s="681"/>
      <c r="R6" s="682"/>
      <c r="S6" s="682"/>
      <c r="T6" s="682"/>
      <c r="U6" s="683"/>
      <c r="V6" s="448"/>
      <c r="W6" s="449"/>
      <c r="X6" s="449"/>
      <c r="Y6" s="449"/>
      <c r="Z6" s="450"/>
      <c r="AA6" s="451"/>
      <c r="AB6" s="452"/>
      <c r="AC6" s="452"/>
      <c r="AD6" s="453"/>
    </row>
    <row r="7" spans="1:30" ht="20.100000000000001" customHeight="1" x14ac:dyDescent="0.3">
      <c r="A7" s="480" t="s">
        <v>67</v>
      </c>
      <c r="B7" s="456" t="s">
        <v>57</v>
      </c>
      <c r="C7" s="456"/>
      <c r="D7" s="472"/>
      <c r="E7" s="472">
        <f>TUE!N31</f>
        <v>4</v>
      </c>
      <c r="F7" s="472"/>
      <c r="G7" s="472"/>
      <c r="H7" s="473">
        <f>TUE!S31</f>
        <v>565</v>
      </c>
      <c r="I7" s="473"/>
      <c r="J7" s="473"/>
      <c r="K7" s="473"/>
      <c r="L7" s="474">
        <f>TUE!N32</f>
        <v>0.54721549636803879</v>
      </c>
      <c r="M7" s="475"/>
      <c r="N7" s="475"/>
      <c r="O7" s="475"/>
      <c r="P7" s="476"/>
      <c r="Q7" s="660">
        <f>SUM(E7:G10)</f>
        <v>12</v>
      </c>
      <c r="R7" s="661"/>
      <c r="S7" s="661"/>
      <c r="T7" s="661"/>
      <c r="U7" s="662"/>
      <c r="V7" s="563">
        <f>SUM(H7,H8,H10)</f>
        <v>1595</v>
      </c>
      <c r="W7" s="564"/>
      <c r="X7" s="564"/>
      <c r="Y7" s="564"/>
      <c r="Z7" s="565"/>
      <c r="AA7" s="590">
        <f>V7/Q7</f>
        <v>132.91666666666666</v>
      </c>
      <c r="AB7" s="591"/>
      <c r="AC7" s="591"/>
      <c r="AD7" s="592"/>
    </row>
    <row r="8" spans="1:30" ht="20.100000000000001" customHeight="1" x14ac:dyDescent="0.3">
      <c r="A8" s="481"/>
      <c r="B8" s="456" t="s">
        <v>58</v>
      </c>
      <c r="C8" s="456"/>
      <c r="D8" s="472"/>
      <c r="E8" s="472">
        <f>TUE!O31</f>
        <v>4</v>
      </c>
      <c r="F8" s="472"/>
      <c r="G8" s="472"/>
      <c r="H8" s="473">
        <f>TUE!S32</f>
        <v>1030</v>
      </c>
      <c r="I8" s="473"/>
      <c r="J8" s="473"/>
      <c r="K8" s="473"/>
      <c r="L8" s="474">
        <f>TUE!O32</f>
        <v>0.2711864406779661</v>
      </c>
      <c r="M8" s="475"/>
      <c r="N8" s="475"/>
      <c r="O8" s="475"/>
      <c r="P8" s="476"/>
      <c r="Q8" s="663"/>
      <c r="R8" s="664"/>
      <c r="S8" s="664"/>
      <c r="T8" s="664"/>
      <c r="U8" s="665"/>
      <c r="V8" s="566"/>
      <c r="W8" s="567"/>
      <c r="X8" s="567"/>
      <c r="Y8" s="567"/>
      <c r="Z8" s="568"/>
      <c r="AA8" s="593"/>
      <c r="AB8" s="594"/>
      <c r="AC8" s="594"/>
      <c r="AD8" s="595"/>
    </row>
    <row r="9" spans="1:30" ht="20.100000000000001" customHeight="1" x14ac:dyDescent="0.3">
      <c r="A9" s="481"/>
      <c r="B9" s="456" t="s">
        <v>45</v>
      </c>
      <c r="C9" s="456"/>
      <c r="D9" s="472"/>
      <c r="E9" s="472">
        <f>TUE!P31</f>
        <v>4</v>
      </c>
      <c r="F9" s="472"/>
      <c r="G9" s="472"/>
      <c r="H9" s="473">
        <f>TUE!K31</f>
        <v>187.5</v>
      </c>
      <c r="I9" s="473"/>
      <c r="J9" s="473"/>
      <c r="K9" s="473"/>
      <c r="L9" s="474">
        <f>TUE!P32</f>
        <v>0.18159806295399517</v>
      </c>
      <c r="M9" s="475"/>
      <c r="N9" s="475"/>
      <c r="O9" s="475"/>
      <c r="P9" s="476"/>
      <c r="Q9" s="663"/>
      <c r="R9" s="664"/>
      <c r="S9" s="664"/>
      <c r="T9" s="664"/>
      <c r="U9" s="665"/>
      <c r="V9" s="566"/>
      <c r="W9" s="567"/>
      <c r="X9" s="567"/>
      <c r="Y9" s="567"/>
      <c r="Z9" s="568"/>
      <c r="AA9" s="593"/>
      <c r="AB9" s="594"/>
      <c r="AC9" s="594"/>
      <c r="AD9" s="595"/>
    </row>
    <row r="10" spans="1:30" ht="20.100000000000001" customHeight="1" x14ac:dyDescent="0.3">
      <c r="A10" s="481"/>
      <c r="B10" s="454" t="s">
        <v>65</v>
      </c>
      <c r="C10" s="455"/>
      <c r="D10" s="456"/>
      <c r="E10" s="454">
        <f>TUE!Q31</f>
        <v>0</v>
      </c>
      <c r="F10" s="455"/>
      <c r="G10" s="456"/>
      <c r="H10" s="457">
        <f>TUE!J31</f>
        <v>0</v>
      </c>
      <c r="I10" s="458"/>
      <c r="J10" s="458"/>
      <c r="K10" s="459"/>
      <c r="L10" s="474">
        <f>TUE!Q32</f>
        <v>0</v>
      </c>
      <c r="M10" s="475"/>
      <c r="N10" s="475"/>
      <c r="O10" s="475"/>
      <c r="P10" s="476"/>
      <c r="Q10" s="666"/>
      <c r="R10" s="667"/>
      <c r="S10" s="667"/>
      <c r="T10" s="667"/>
      <c r="U10" s="668"/>
      <c r="V10" s="569"/>
      <c r="W10" s="570"/>
      <c r="X10" s="570"/>
      <c r="Y10" s="570"/>
      <c r="Z10" s="571"/>
      <c r="AA10" s="596"/>
      <c r="AB10" s="597"/>
      <c r="AC10" s="597"/>
      <c r="AD10" s="598"/>
    </row>
    <row r="11" spans="1:30" ht="20.100000000000001" customHeight="1" x14ac:dyDescent="0.3">
      <c r="A11" s="482"/>
      <c r="B11" s="454" t="s">
        <v>94</v>
      </c>
      <c r="C11" s="455"/>
      <c r="D11" s="456"/>
      <c r="E11" s="454">
        <f>TUE!U16</f>
        <v>30</v>
      </c>
      <c r="F11" s="455"/>
      <c r="G11" s="456"/>
      <c r="H11" s="457" t="s">
        <v>95</v>
      </c>
      <c r="I11" s="458"/>
      <c r="J11" s="458"/>
      <c r="K11" s="459"/>
      <c r="L11" s="460">
        <f>TUE!T2</f>
        <v>4</v>
      </c>
      <c r="M11" s="461"/>
      <c r="N11" s="461"/>
      <c r="O11" s="461"/>
      <c r="P11" s="462"/>
      <c r="Q11" s="463"/>
      <c r="R11" s="464"/>
      <c r="S11" s="464"/>
      <c r="T11" s="464"/>
      <c r="U11" s="465"/>
      <c r="V11" s="466"/>
      <c r="W11" s="467"/>
      <c r="X11" s="467"/>
      <c r="Y11" s="467"/>
      <c r="Z11" s="468"/>
      <c r="AA11" s="469"/>
      <c r="AB11" s="470"/>
      <c r="AC11" s="470"/>
      <c r="AD11" s="471"/>
    </row>
    <row r="12" spans="1:30" ht="20.100000000000001" customHeight="1" x14ac:dyDescent="0.3">
      <c r="A12" s="483" t="s">
        <v>68</v>
      </c>
      <c r="B12" s="503" t="s">
        <v>57</v>
      </c>
      <c r="C12" s="503"/>
      <c r="D12" s="369"/>
      <c r="E12" s="369">
        <f>WED!N31</f>
        <v>6</v>
      </c>
      <c r="F12" s="369"/>
      <c r="G12" s="369"/>
      <c r="H12" s="624">
        <f>WED!S31</f>
        <v>505</v>
      </c>
      <c r="I12" s="625"/>
      <c r="J12" s="625"/>
      <c r="K12" s="626"/>
      <c r="L12" s="627">
        <f>WED!N32</f>
        <v>0.31867230390610213</v>
      </c>
      <c r="M12" s="628"/>
      <c r="N12" s="628"/>
      <c r="O12" s="628"/>
      <c r="P12" s="629"/>
      <c r="Q12" s="639">
        <f>SUM(E12:G15)</f>
        <v>20</v>
      </c>
      <c r="R12" s="640"/>
      <c r="S12" s="640"/>
      <c r="T12" s="640"/>
      <c r="U12" s="641"/>
      <c r="V12" s="420">
        <f>SUM(H12,H13,H15)</f>
        <v>1885</v>
      </c>
      <c r="W12" s="421"/>
      <c r="X12" s="421"/>
      <c r="Y12" s="421"/>
      <c r="Z12" s="422"/>
      <c r="AA12" s="411">
        <f>V12/Q12</f>
        <v>94.25</v>
      </c>
      <c r="AB12" s="412"/>
      <c r="AC12" s="412"/>
      <c r="AD12" s="413"/>
    </row>
    <row r="13" spans="1:30" ht="20.100000000000001" customHeight="1" x14ac:dyDescent="0.3">
      <c r="A13" s="484"/>
      <c r="B13" s="503" t="s">
        <v>58</v>
      </c>
      <c r="C13" s="503"/>
      <c r="D13" s="369"/>
      <c r="E13" s="369">
        <f>WED!O31</f>
        <v>5</v>
      </c>
      <c r="F13" s="369"/>
      <c r="G13" s="369"/>
      <c r="H13" s="624">
        <f>WED!S32</f>
        <v>1325</v>
      </c>
      <c r="I13" s="625"/>
      <c r="J13" s="625"/>
      <c r="K13" s="626"/>
      <c r="L13" s="627">
        <f>WED!O32</f>
        <v>0.29974127595128419</v>
      </c>
      <c r="M13" s="628"/>
      <c r="N13" s="628"/>
      <c r="O13" s="628"/>
      <c r="P13" s="629"/>
      <c r="Q13" s="642"/>
      <c r="R13" s="643"/>
      <c r="S13" s="643"/>
      <c r="T13" s="643"/>
      <c r="U13" s="644"/>
      <c r="V13" s="423"/>
      <c r="W13" s="424"/>
      <c r="X13" s="424"/>
      <c r="Y13" s="424"/>
      <c r="Z13" s="425"/>
      <c r="AA13" s="414"/>
      <c r="AB13" s="415"/>
      <c r="AC13" s="415"/>
      <c r="AD13" s="416"/>
    </row>
    <row r="14" spans="1:30" ht="20.100000000000001" customHeight="1" x14ac:dyDescent="0.3">
      <c r="A14" s="484"/>
      <c r="B14" s="503" t="s">
        <v>45</v>
      </c>
      <c r="C14" s="503"/>
      <c r="D14" s="369"/>
      <c r="E14" s="369">
        <f>WED!P31</f>
        <v>8</v>
      </c>
      <c r="F14" s="369"/>
      <c r="G14" s="369"/>
      <c r="H14" s="624">
        <f>WED!K31</f>
        <v>549.69999999999993</v>
      </c>
      <c r="I14" s="625"/>
      <c r="J14" s="625"/>
      <c r="K14" s="626"/>
      <c r="L14" s="627">
        <f>WED!P32</f>
        <v>0.34687953555878082</v>
      </c>
      <c r="M14" s="628"/>
      <c r="N14" s="628"/>
      <c r="O14" s="628"/>
      <c r="P14" s="629"/>
      <c r="Q14" s="642"/>
      <c r="R14" s="643"/>
      <c r="S14" s="643"/>
      <c r="T14" s="643"/>
      <c r="U14" s="644"/>
      <c r="V14" s="423"/>
      <c r="W14" s="424"/>
      <c r="X14" s="424"/>
      <c r="Y14" s="424"/>
      <c r="Z14" s="425"/>
      <c r="AA14" s="414"/>
      <c r="AB14" s="415"/>
      <c r="AC14" s="415"/>
      <c r="AD14" s="416"/>
    </row>
    <row r="15" spans="1:30" ht="20.100000000000001" customHeight="1" x14ac:dyDescent="0.3">
      <c r="A15" s="484"/>
      <c r="B15" s="501" t="s">
        <v>65</v>
      </c>
      <c r="C15" s="502"/>
      <c r="D15" s="503"/>
      <c r="E15" s="501">
        <f>WED!Q31</f>
        <v>1</v>
      </c>
      <c r="F15" s="502"/>
      <c r="G15" s="503"/>
      <c r="H15" s="624">
        <f>WED!J31</f>
        <v>55</v>
      </c>
      <c r="I15" s="625"/>
      <c r="J15" s="625"/>
      <c r="K15" s="626"/>
      <c r="L15" s="627">
        <f>WED!Q32</f>
        <v>3.4706884583832906E-2</v>
      </c>
      <c r="M15" s="628"/>
      <c r="N15" s="628"/>
      <c r="O15" s="628"/>
      <c r="P15" s="629"/>
      <c r="Q15" s="645"/>
      <c r="R15" s="646"/>
      <c r="S15" s="646"/>
      <c r="T15" s="646"/>
      <c r="U15" s="647"/>
      <c r="V15" s="426"/>
      <c r="W15" s="427"/>
      <c r="X15" s="427"/>
      <c r="Y15" s="427"/>
      <c r="Z15" s="428"/>
      <c r="AA15" s="417"/>
      <c r="AB15" s="418"/>
      <c r="AC15" s="418"/>
      <c r="AD15" s="419"/>
    </row>
    <row r="16" spans="1:30" ht="20.100000000000001" customHeight="1" x14ac:dyDescent="0.3">
      <c r="A16" s="485"/>
      <c r="B16" s="501" t="s">
        <v>94</v>
      </c>
      <c r="C16" s="502"/>
      <c r="D16" s="503"/>
      <c r="E16" s="501">
        <f>WED!U16</f>
        <v>36.75</v>
      </c>
      <c r="F16" s="502"/>
      <c r="G16" s="503"/>
      <c r="H16" s="624" t="s">
        <v>95</v>
      </c>
      <c r="I16" s="625"/>
      <c r="J16" s="625"/>
      <c r="K16" s="626"/>
      <c r="L16" s="684">
        <f>WED!T2</f>
        <v>5</v>
      </c>
      <c r="M16" s="685"/>
      <c r="N16" s="685"/>
      <c r="O16" s="685"/>
      <c r="P16" s="686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86" t="s">
        <v>69</v>
      </c>
      <c r="B17" s="506" t="s">
        <v>57</v>
      </c>
      <c r="C17" s="506"/>
      <c r="D17" s="433"/>
      <c r="E17" s="433">
        <f>THU!N31</f>
        <v>7</v>
      </c>
      <c r="F17" s="433"/>
      <c r="G17" s="433"/>
      <c r="H17" s="432">
        <f>THU!S31</f>
        <v>445</v>
      </c>
      <c r="I17" s="432"/>
      <c r="J17" s="432"/>
      <c r="K17" s="432"/>
      <c r="L17" s="442">
        <f>THU!N32</f>
        <v>0.29293660720163256</v>
      </c>
      <c r="M17" s="442"/>
      <c r="N17" s="442"/>
      <c r="O17" s="442"/>
      <c r="P17" s="442"/>
      <c r="Q17" s="669">
        <f>SUM(E17:G20)</f>
        <v>20</v>
      </c>
      <c r="R17" s="670"/>
      <c r="S17" s="670"/>
      <c r="T17" s="670"/>
      <c r="U17" s="671"/>
      <c r="V17" s="609">
        <f>SUM(H17,H18,H20)</f>
        <v>1440</v>
      </c>
      <c r="W17" s="610"/>
      <c r="X17" s="610"/>
      <c r="Y17" s="610"/>
      <c r="Z17" s="611"/>
      <c r="AA17" s="600">
        <f>V17/Q17</f>
        <v>72</v>
      </c>
      <c r="AB17" s="601"/>
      <c r="AC17" s="601"/>
      <c r="AD17" s="602"/>
    </row>
    <row r="18" spans="1:30" ht="20.100000000000001" customHeight="1" x14ac:dyDescent="0.3">
      <c r="A18" s="487"/>
      <c r="B18" s="506" t="s">
        <v>58</v>
      </c>
      <c r="C18" s="506"/>
      <c r="D18" s="433"/>
      <c r="E18" s="433">
        <f>THU!O31</f>
        <v>10</v>
      </c>
      <c r="F18" s="433"/>
      <c r="G18" s="433"/>
      <c r="H18" s="432">
        <f>THU!S32</f>
        <v>885</v>
      </c>
      <c r="I18" s="432"/>
      <c r="J18" s="432"/>
      <c r="K18" s="432"/>
      <c r="L18" s="442">
        <f>THU!O32</f>
        <v>0.58258179185043779</v>
      </c>
      <c r="M18" s="442"/>
      <c r="N18" s="442"/>
      <c r="O18" s="442"/>
      <c r="P18" s="442"/>
      <c r="Q18" s="672"/>
      <c r="R18" s="673"/>
      <c r="S18" s="673"/>
      <c r="T18" s="673"/>
      <c r="U18" s="674"/>
      <c r="V18" s="612"/>
      <c r="W18" s="613"/>
      <c r="X18" s="613"/>
      <c r="Y18" s="613"/>
      <c r="Z18" s="614"/>
      <c r="AA18" s="603"/>
      <c r="AB18" s="604"/>
      <c r="AC18" s="604"/>
      <c r="AD18" s="605"/>
    </row>
    <row r="19" spans="1:30" ht="20.100000000000001" customHeight="1" x14ac:dyDescent="0.3">
      <c r="A19" s="487"/>
      <c r="B19" s="506" t="s">
        <v>45</v>
      </c>
      <c r="C19" s="506"/>
      <c r="D19" s="433"/>
      <c r="E19" s="433">
        <f>THU!P31</f>
        <v>1</v>
      </c>
      <c r="F19" s="433"/>
      <c r="G19" s="433"/>
      <c r="H19" s="432">
        <f>THU!K31</f>
        <v>79.099999999999994</v>
      </c>
      <c r="I19" s="432"/>
      <c r="J19" s="432"/>
      <c r="K19" s="432"/>
      <c r="L19" s="442">
        <f>THU!P32</f>
        <v>5.207030478572839E-2</v>
      </c>
      <c r="M19" s="442"/>
      <c r="N19" s="442"/>
      <c r="O19" s="442"/>
      <c r="P19" s="442"/>
      <c r="Q19" s="672"/>
      <c r="R19" s="673"/>
      <c r="S19" s="673"/>
      <c r="T19" s="673"/>
      <c r="U19" s="674"/>
      <c r="V19" s="612"/>
      <c r="W19" s="613"/>
      <c r="X19" s="613"/>
      <c r="Y19" s="613"/>
      <c r="Z19" s="614"/>
      <c r="AA19" s="603"/>
      <c r="AB19" s="604"/>
      <c r="AC19" s="604"/>
      <c r="AD19" s="605"/>
    </row>
    <row r="20" spans="1:30" ht="20.100000000000001" customHeight="1" x14ac:dyDescent="0.3">
      <c r="A20" s="487"/>
      <c r="B20" s="504" t="s">
        <v>65</v>
      </c>
      <c r="C20" s="505"/>
      <c r="D20" s="506"/>
      <c r="E20" s="504">
        <f>THU!Q31</f>
        <v>2</v>
      </c>
      <c r="F20" s="505"/>
      <c r="G20" s="506"/>
      <c r="H20" s="687">
        <f>THU!J31</f>
        <v>110</v>
      </c>
      <c r="I20" s="688"/>
      <c r="J20" s="688"/>
      <c r="K20" s="689"/>
      <c r="L20" s="699">
        <f>THU!Q32</f>
        <v>7.2411296162201308E-2</v>
      </c>
      <c r="M20" s="700"/>
      <c r="N20" s="700"/>
      <c r="O20" s="700"/>
      <c r="P20" s="701"/>
      <c r="Q20" s="675"/>
      <c r="R20" s="676"/>
      <c r="S20" s="676"/>
      <c r="T20" s="676"/>
      <c r="U20" s="677"/>
      <c r="V20" s="615"/>
      <c r="W20" s="616"/>
      <c r="X20" s="616"/>
      <c r="Y20" s="616"/>
      <c r="Z20" s="617"/>
      <c r="AA20" s="606"/>
      <c r="AB20" s="607"/>
      <c r="AC20" s="607"/>
      <c r="AD20" s="608"/>
    </row>
    <row r="21" spans="1:30" ht="20.100000000000001" customHeight="1" x14ac:dyDescent="0.3">
      <c r="A21" s="488"/>
      <c r="B21" s="504" t="s">
        <v>94</v>
      </c>
      <c r="C21" s="505"/>
      <c r="D21" s="506"/>
      <c r="E21" s="504">
        <f>THU!U16</f>
        <v>40</v>
      </c>
      <c r="F21" s="505"/>
      <c r="G21" s="506"/>
      <c r="H21" s="687" t="s">
        <v>95</v>
      </c>
      <c r="I21" s="688"/>
      <c r="J21" s="688"/>
      <c r="K21" s="689"/>
      <c r="L21" s="706">
        <f>THU!T2</f>
        <v>4</v>
      </c>
      <c r="M21" s="707"/>
      <c r="N21" s="707"/>
      <c r="O21" s="707"/>
      <c r="P21" s="708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89" t="s">
        <v>93</v>
      </c>
      <c r="B22" s="509" t="s">
        <v>57</v>
      </c>
      <c r="C22" s="509"/>
      <c r="D22" s="514"/>
      <c r="E22" s="514">
        <f>FRI!N31</f>
        <v>13</v>
      </c>
      <c r="F22" s="514"/>
      <c r="G22" s="514"/>
      <c r="H22" s="437">
        <f>FRI!S31</f>
        <v>1140</v>
      </c>
      <c r="I22" s="437"/>
      <c r="J22" s="437"/>
      <c r="K22" s="437"/>
      <c r="L22" s="438">
        <f>FRI!N32</f>
        <v>0.31667018522428025</v>
      </c>
      <c r="M22" s="438"/>
      <c r="N22" s="438"/>
      <c r="O22" s="438"/>
      <c r="P22" s="438"/>
      <c r="Q22" s="745">
        <f>SUM(E22:G25)</f>
        <v>34</v>
      </c>
      <c r="R22" s="746"/>
      <c r="S22" s="746"/>
      <c r="T22" s="746"/>
      <c r="U22" s="747"/>
      <c r="V22" s="690">
        <f>SUM(H22,H23,H25)</f>
        <v>3475</v>
      </c>
      <c r="W22" s="691"/>
      <c r="X22" s="691"/>
      <c r="Y22" s="691"/>
      <c r="Z22" s="692"/>
      <c r="AA22" s="712">
        <f>V22/Q22</f>
        <v>102.20588235294117</v>
      </c>
      <c r="AB22" s="713"/>
      <c r="AC22" s="713"/>
      <c r="AD22" s="714"/>
    </row>
    <row r="23" spans="1:30" ht="20.100000000000001" customHeight="1" x14ac:dyDescent="0.3">
      <c r="A23" s="490"/>
      <c r="B23" s="509" t="s">
        <v>58</v>
      </c>
      <c r="C23" s="509"/>
      <c r="D23" s="514"/>
      <c r="E23" s="514">
        <f>FRI!O31</f>
        <v>8</v>
      </c>
      <c r="F23" s="514"/>
      <c r="G23" s="514"/>
      <c r="H23" s="437">
        <f>FRI!S32</f>
        <v>2005</v>
      </c>
      <c r="I23" s="437"/>
      <c r="J23" s="437"/>
      <c r="K23" s="437"/>
      <c r="L23" s="438">
        <f>FRI!O32</f>
        <v>0.42500472227469194</v>
      </c>
      <c r="M23" s="438"/>
      <c r="N23" s="438"/>
      <c r="O23" s="438"/>
      <c r="P23" s="438"/>
      <c r="Q23" s="748"/>
      <c r="R23" s="749"/>
      <c r="S23" s="749"/>
      <c r="T23" s="749"/>
      <c r="U23" s="750"/>
      <c r="V23" s="693"/>
      <c r="W23" s="694"/>
      <c r="X23" s="694"/>
      <c r="Y23" s="694"/>
      <c r="Z23" s="695"/>
      <c r="AA23" s="715"/>
      <c r="AB23" s="716"/>
      <c r="AC23" s="716"/>
      <c r="AD23" s="717"/>
    </row>
    <row r="24" spans="1:30" ht="20.100000000000001" customHeight="1" x14ac:dyDescent="0.3">
      <c r="A24" s="490"/>
      <c r="B24" s="509" t="s">
        <v>45</v>
      </c>
      <c r="C24" s="509"/>
      <c r="D24" s="514"/>
      <c r="E24" s="514">
        <f>FRI!P31</f>
        <v>8</v>
      </c>
      <c r="F24" s="514"/>
      <c r="G24" s="514"/>
      <c r="H24" s="437">
        <f>FRI!K31</f>
        <v>599.95999999999992</v>
      </c>
      <c r="I24" s="437"/>
      <c r="J24" s="437"/>
      <c r="K24" s="437"/>
      <c r="L24" s="438">
        <f>FRI!P32</f>
        <v>0.16665740730452558</v>
      </c>
      <c r="M24" s="438"/>
      <c r="N24" s="438"/>
      <c r="O24" s="438"/>
      <c r="P24" s="438"/>
      <c r="Q24" s="748"/>
      <c r="R24" s="749"/>
      <c r="S24" s="749"/>
      <c r="T24" s="749"/>
      <c r="U24" s="750"/>
      <c r="V24" s="693"/>
      <c r="W24" s="694"/>
      <c r="X24" s="694"/>
      <c r="Y24" s="694"/>
      <c r="Z24" s="695"/>
      <c r="AA24" s="715"/>
      <c r="AB24" s="716"/>
      <c r="AC24" s="716"/>
      <c r="AD24" s="717"/>
    </row>
    <row r="25" spans="1:30" ht="20.100000000000001" customHeight="1" x14ac:dyDescent="0.3">
      <c r="A25" s="490"/>
      <c r="B25" s="507" t="s">
        <v>65</v>
      </c>
      <c r="C25" s="508"/>
      <c r="D25" s="509"/>
      <c r="E25" s="507">
        <f>FRI!Q31</f>
        <v>5</v>
      </c>
      <c r="F25" s="508"/>
      <c r="G25" s="509"/>
      <c r="H25" s="739">
        <f>FRI!J31</f>
        <v>330</v>
      </c>
      <c r="I25" s="740"/>
      <c r="J25" s="740"/>
      <c r="K25" s="741"/>
      <c r="L25" s="742">
        <f>FRI!Q32</f>
        <v>9.1667685196502188E-2</v>
      </c>
      <c r="M25" s="743"/>
      <c r="N25" s="743"/>
      <c r="O25" s="743"/>
      <c r="P25" s="744"/>
      <c r="Q25" s="751"/>
      <c r="R25" s="752"/>
      <c r="S25" s="752"/>
      <c r="T25" s="752"/>
      <c r="U25" s="753"/>
      <c r="V25" s="696"/>
      <c r="W25" s="697"/>
      <c r="X25" s="697"/>
      <c r="Y25" s="697"/>
      <c r="Z25" s="698"/>
      <c r="AA25" s="718"/>
      <c r="AB25" s="719"/>
      <c r="AC25" s="719"/>
      <c r="AD25" s="720"/>
    </row>
    <row r="26" spans="1:30" ht="20.100000000000001" customHeight="1" x14ac:dyDescent="0.3">
      <c r="A26" s="491"/>
      <c r="B26" s="507" t="s">
        <v>94</v>
      </c>
      <c r="C26" s="508"/>
      <c r="D26" s="509"/>
      <c r="E26" s="507">
        <f>FRI!U16</f>
        <v>58.5</v>
      </c>
      <c r="F26" s="508"/>
      <c r="G26" s="509"/>
      <c r="H26" s="739" t="s">
        <v>95</v>
      </c>
      <c r="I26" s="740"/>
      <c r="J26" s="740"/>
      <c r="K26" s="741"/>
      <c r="L26" s="709">
        <f>FRI!T2</f>
        <v>6</v>
      </c>
      <c r="M26" s="710"/>
      <c r="N26" s="710"/>
      <c r="O26" s="710"/>
      <c r="P26" s="711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92" t="s">
        <v>70</v>
      </c>
      <c r="B27" s="447" t="s">
        <v>57</v>
      </c>
      <c r="C27" s="447"/>
      <c r="D27" s="444"/>
      <c r="E27" s="444">
        <f>SAT!N31</f>
        <v>9</v>
      </c>
      <c r="F27" s="444"/>
      <c r="G27" s="444"/>
      <c r="H27" s="599">
        <f>SAT!S31</f>
        <v>1690</v>
      </c>
      <c r="I27" s="599"/>
      <c r="J27" s="599"/>
      <c r="K27" s="599"/>
      <c r="L27" s="443">
        <f>SAT!N32</f>
        <v>0.37909989516249815</v>
      </c>
      <c r="M27" s="443"/>
      <c r="N27" s="443"/>
      <c r="O27" s="443"/>
      <c r="P27" s="443"/>
      <c r="Q27" s="648">
        <f>SUM(E27:G30)</f>
        <v>31</v>
      </c>
      <c r="R27" s="649"/>
      <c r="S27" s="649"/>
      <c r="T27" s="649"/>
      <c r="U27" s="650"/>
      <c r="V27" s="730">
        <f>SUM(H27,H28,H30)</f>
        <v>4180</v>
      </c>
      <c r="W27" s="731"/>
      <c r="X27" s="731"/>
      <c r="Y27" s="731"/>
      <c r="Z27" s="732"/>
      <c r="AA27" s="721">
        <f>V27/Q27</f>
        <v>134.83870967741936</v>
      </c>
      <c r="AB27" s="722"/>
      <c r="AC27" s="722"/>
      <c r="AD27" s="723"/>
    </row>
    <row r="28" spans="1:30" ht="20.100000000000001" customHeight="1" x14ac:dyDescent="0.3">
      <c r="A28" s="493"/>
      <c r="B28" s="447" t="s">
        <v>58</v>
      </c>
      <c r="C28" s="447"/>
      <c r="D28" s="444"/>
      <c r="E28" s="444">
        <f>SAT!O31</f>
        <v>13</v>
      </c>
      <c r="F28" s="444"/>
      <c r="G28" s="444"/>
      <c r="H28" s="599">
        <f>SAT!S32</f>
        <v>2270</v>
      </c>
      <c r="I28" s="599"/>
      <c r="J28" s="599"/>
      <c r="K28" s="599"/>
      <c r="L28" s="443">
        <f>SAT!O32</f>
        <v>0.3728595676701113</v>
      </c>
      <c r="M28" s="443"/>
      <c r="N28" s="443"/>
      <c r="O28" s="443"/>
      <c r="P28" s="443"/>
      <c r="Q28" s="651"/>
      <c r="R28" s="652"/>
      <c r="S28" s="652"/>
      <c r="T28" s="652"/>
      <c r="U28" s="653"/>
      <c r="V28" s="733"/>
      <c r="W28" s="734"/>
      <c r="X28" s="734"/>
      <c r="Y28" s="734"/>
      <c r="Z28" s="735"/>
      <c r="AA28" s="724"/>
      <c r="AB28" s="725"/>
      <c r="AC28" s="725"/>
      <c r="AD28" s="726"/>
    </row>
    <row r="29" spans="1:30" ht="20.100000000000001" customHeight="1" x14ac:dyDescent="0.3">
      <c r="A29" s="493"/>
      <c r="B29" s="447" t="s">
        <v>45</v>
      </c>
      <c r="C29" s="447"/>
      <c r="D29" s="444"/>
      <c r="E29" s="444">
        <f>SAT!P31</f>
        <v>7</v>
      </c>
      <c r="F29" s="444"/>
      <c r="G29" s="444"/>
      <c r="H29" s="599">
        <f>SAT!K31</f>
        <v>574.95999999999992</v>
      </c>
      <c r="I29" s="599"/>
      <c r="J29" s="599"/>
      <c r="K29" s="599"/>
      <c r="L29" s="443">
        <f>SAT!P32</f>
        <v>0.17939693475113572</v>
      </c>
      <c r="M29" s="443"/>
      <c r="N29" s="443"/>
      <c r="O29" s="443"/>
      <c r="P29" s="443"/>
      <c r="Q29" s="651"/>
      <c r="R29" s="652"/>
      <c r="S29" s="652"/>
      <c r="T29" s="652"/>
      <c r="U29" s="653"/>
      <c r="V29" s="733"/>
      <c r="W29" s="734"/>
      <c r="X29" s="734"/>
      <c r="Y29" s="734"/>
      <c r="Z29" s="735"/>
      <c r="AA29" s="724"/>
      <c r="AB29" s="725"/>
      <c r="AC29" s="725"/>
      <c r="AD29" s="726"/>
    </row>
    <row r="30" spans="1:30" ht="20.100000000000001" customHeight="1" x14ac:dyDescent="0.3">
      <c r="A30" s="493"/>
      <c r="B30" s="445" t="s">
        <v>65</v>
      </c>
      <c r="C30" s="446"/>
      <c r="D30" s="447"/>
      <c r="E30" s="445">
        <f>SAT!Q31</f>
        <v>2</v>
      </c>
      <c r="F30" s="446"/>
      <c r="G30" s="447"/>
      <c r="H30" s="439">
        <f>SAT!J31</f>
        <v>220</v>
      </c>
      <c r="I30" s="440"/>
      <c r="J30" s="440"/>
      <c r="K30" s="441"/>
      <c r="L30" s="657">
        <f>SAT!Q32</f>
        <v>6.8643602416254806E-2</v>
      </c>
      <c r="M30" s="658"/>
      <c r="N30" s="658"/>
      <c r="O30" s="658"/>
      <c r="P30" s="659"/>
      <c r="Q30" s="654"/>
      <c r="R30" s="655"/>
      <c r="S30" s="655"/>
      <c r="T30" s="655"/>
      <c r="U30" s="656"/>
      <c r="V30" s="736"/>
      <c r="W30" s="737"/>
      <c r="X30" s="737"/>
      <c r="Y30" s="737"/>
      <c r="Z30" s="738"/>
      <c r="AA30" s="727"/>
      <c r="AB30" s="728"/>
      <c r="AC30" s="728"/>
      <c r="AD30" s="729"/>
    </row>
    <row r="31" spans="1:30" ht="20.100000000000001" customHeight="1" x14ac:dyDescent="0.3">
      <c r="A31" s="494"/>
      <c r="B31" s="445" t="s">
        <v>94</v>
      </c>
      <c r="C31" s="446"/>
      <c r="D31" s="447"/>
      <c r="E31" s="445">
        <f>SAT!U16</f>
        <v>69.75</v>
      </c>
      <c r="F31" s="446"/>
      <c r="G31" s="447"/>
      <c r="H31" s="439" t="s">
        <v>95</v>
      </c>
      <c r="I31" s="440"/>
      <c r="J31" s="440"/>
      <c r="K31" s="441"/>
      <c r="L31" s="429">
        <f>SAT!T2</f>
        <v>8</v>
      </c>
      <c r="M31" s="430"/>
      <c r="N31" s="430"/>
      <c r="O31" s="430"/>
      <c r="P31" s="431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95" t="s">
        <v>71</v>
      </c>
      <c r="B32" s="513" t="s">
        <v>57</v>
      </c>
      <c r="C32" s="434"/>
      <c r="D32" s="434"/>
      <c r="E32" s="434">
        <f>SUN!N31</f>
        <v>10</v>
      </c>
      <c r="F32" s="434"/>
      <c r="G32" s="434"/>
      <c r="H32" s="435">
        <f>SUN!S31</f>
        <v>1635</v>
      </c>
      <c r="I32" s="435"/>
      <c r="J32" s="435"/>
      <c r="K32" s="435"/>
      <c r="L32" s="436">
        <f>SUN!N32</f>
        <v>0.30775115624021981</v>
      </c>
      <c r="M32" s="436"/>
      <c r="N32" s="436"/>
      <c r="O32" s="436"/>
      <c r="P32" s="436"/>
      <c r="Q32" s="705">
        <f>SUM(E32:G35)</f>
        <v>33</v>
      </c>
      <c r="R32" s="705"/>
      <c r="S32" s="705"/>
      <c r="T32" s="705"/>
      <c r="U32" s="705"/>
      <c r="V32" s="763">
        <f>SUM(H32,H33,H35)</f>
        <v>4105</v>
      </c>
      <c r="W32" s="763"/>
      <c r="X32" s="763"/>
      <c r="Y32" s="763"/>
      <c r="Z32" s="763"/>
      <c r="AA32" s="777">
        <f>V32/Q32</f>
        <v>124.39393939393939</v>
      </c>
      <c r="AB32" s="778"/>
      <c r="AC32" s="778"/>
      <c r="AD32" s="778"/>
    </row>
    <row r="33" spans="1:30" ht="20.100000000000001" customHeight="1" x14ac:dyDescent="0.3">
      <c r="A33" s="496"/>
      <c r="B33" s="513" t="s">
        <v>58</v>
      </c>
      <c r="C33" s="434"/>
      <c r="D33" s="434"/>
      <c r="E33" s="434">
        <f>SUN!O31</f>
        <v>11</v>
      </c>
      <c r="F33" s="434"/>
      <c r="G33" s="434"/>
      <c r="H33" s="435">
        <f>SUN!S32</f>
        <v>2250</v>
      </c>
      <c r="I33" s="435"/>
      <c r="J33" s="435"/>
      <c r="K33" s="435"/>
      <c r="L33" s="436">
        <f>SUN!O32</f>
        <v>0.45206384532461663</v>
      </c>
      <c r="M33" s="436"/>
      <c r="N33" s="436"/>
      <c r="O33" s="436"/>
      <c r="P33" s="436"/>
      <c r="Q33" s="705"/>
      <c r="R33" s="705"/>
      <c r="S33" s="705"/>
      <c r="T33" s="705"/>
      <c r="U33" s="705"/>
      <c r="V33" s="763"/>
      <c r="W33" s="763"/>
      <c r="X33" s="763"/>
      <c r="Y33" s="763"/>
      <c r="Z33" s="763"/>
      <c r="AA33" s="778"/>
      <c r="AB33" s="778"/>
      <c r="AC33" s="778"/>
      <c r="AD33" s="778"/>
    </row>
    <row r="34" spans="1:30" ht="20.100000000000001" customHeight="1" x14ac:dyDescent="0.3">
      <c r="A34" s="496"/>
      <c r="B34" s="513" t="s">
        <v>45</v>
      </c>
      <c r="C34" s="434"/>
      <c r="D34" s="434"/>
      <c r="E34" s="434">
        <f>SUN!P31</f>
        <v>8</v>
      </c>
      <c r="F34" s="434"/>
      <c r="G34" s="434"/>
      <c r="H34" s="435">
        <f>SUN!K31</f>
        <v>470.7</v>
      </c>
      <c r="I34" s="435"/>
      <c r="J34" s="435"/>
      <c r="K34" s="435"/>
      <c r="L34" s="436">
        <f>SUN!P32</f>
        <v>0.16368188614945928</v>
      </c>
      <c r="M34" s="436"/>
      <c r="N34" s="436"/>
      <c r="O34" s="436"/>
      <c r="P34" s="436"/>
      <c r="Q34" s="705"/>
      <c r="R34" s="705"/>
      <c r="S34" s="705"/>
      <c r="T34" s="705"/>
      <c r="U34" s="705"/>
      <c r="V34" s="763"/>
      <c r="W34" s="763"/>
      <c r="X34" s="763"/>
      <c r="Y34" s="763"/>
      <c r="Z34" s="763"/>
      <c r="AA34" s="778"/>
      <c r="AB34" s="778"/>
      <c r="AC34" s="778"/>
      <c r="AD34" s="778"/>
    </row>
    <row r="35" spans="1:30" ht="20.100000000000001" customHeight="1" x14ac:dyDescent="0.3">
      <c r="A35" s="496"/>
      <c r="B35" s="513" t="s">
        <v>65</v>
      </c>
      <c r="C35" s="434"/>
      <c r="D35" s="434"/>
      <c r="E35" s="434">
        <f>SUN!Q31</f>
        <v>4</v>
      </c>
      <c r="F35" s="434"/>
      <c r="G35" s="434"/>
      <c r="H35" s="435">
        <f>SUN!J31</f>
        <v>220</v>
      </c>
      <c r="I35" s="435"/>
      <c r="J35" s="435"/>
      <c r="K35" s="435"/>
      <c r="L35" s="436">
        <f>SUN!Q32</f>
        <v>7.6503112285704361E-2</v>
      </c>
      <c r="M35" s="436"/>
      <c r="N35" s="436"/>
      <c r="O35" s="436"/>
      <c r="P35" s="436"/>
      <c r="Q35" s="705"/>
      <c r="R35" s="705"/>
      <c r="S35" s="705"/>
      <c r="T35" s="705"/>
      <c r="U35" s="705"/>
      <c r="V35" s="763"/>
      <c r="W35" s="763"/>
      <c r="X35" s="763"/>
      <c r="Y35" s="763"/>
      <c r="Z35" s="763"/>
      <c r="AA35" s="778"/>
      <c r="AB35" s="778"/>
      <c r="AC35" s="778"/>
      <c r="AD35" s="778"/>
    </row>
    <row r="36" spans="1:30" ht="20.100000000000001" customHeight="1" thickBot="1" x14ac:dyDescent="0.35">
      <c r="A36" s="497"/>
      <c r="B36" s="510" t="s">
        <v>94</v>
      </c>
      <c r="C36" s="511"/>
      <c r="D36" s="512"/>
      <c r="E36" s="510">
        <f>SUN!U16</f>
        <v>53</v>
      </c>
      <c r="F36" s="511"/>
      <c r="G36" s="512"/>
      <c r="H36" s="510" t="s">
        <v>95</v>
      </c>
      <c r="I36" s="511"/>
      <c r="J36" s="511"/>
      <c r="K36" s="512"/>
      <c r="L36" s="779">
        <f>SUN!T2</f>
        <v>6</v>
      </c>
      <c r="M36" s="780"/>
      <c r="N36" s="780"/>
      <c r="O36" s="780"/>
      <c r="P36" s="781"/>
      <c r="Q36" s="702"/>
      <c r="R36" s="703"/>
      <c r="S36" s="703"/>
      <c r="T36" s="703"/>
      <c r="U36" s="704"/>
      <c r="V36" s="766"/>
      <c r="W36" s="767"/>
      <c r="X36" s="767"/>
      <c r="Y36" s="767"/>
      <c r="Z36" s="768"/>
      <c r="AA36" s="769"/>
      <c r="AB36" s="770"/>
      <c r="AC36" s="770"/>
      <c r="AD36" s="771"/>
    </row>
    <row r="37" spans="1:30" ht="16.5" customHeight="1" x14ac:dyDescent="0.3">
      <c r="A37" s="754" t="s">
        <v>72</v>
      </c>
      <c r="B37" s="755"/>
      <c r="C37" s="755"/>
      <c r="D37" s="755"/>
      <c r="E37" s="755" t="s">
        <v>73</v>
      </c>
      <c r="F37" s="755"/>
      <c r="G37" s="755"/>
      <c r="H37" s="755"/>
      <c r="I37" s="755"/>
      <c r="J37" s="755"/>
      <c r="K37" s="755" t="s">
        <v>74</v>
      </c>
      <c r="L37" s="755"/>
      <c r="M37" s="755"/>
      <c r="N37" s="755"/>
      <c r="O37" s="755" t="s">
        <v>65</v>
      </c>
      <c r="P37" s="755"/>
      <c r="Q37" s="755"/>
      <c r="R37" s="755"/>
      <c r="S37" s="755"/>
      <c r="T37" s="755" t="s">
        <v>75</v>
      </c>
      <c r="U37" s="755"/>
      <c r="V37" s="755"/>
      <c r="W37" s="755"/>
      <c r="X37" s="755"/>
      <c r="Y37" s="755" t="s">
        <v>76</v>
      </c>
      <c r="Z37" s="755"/>
      <c r="AA37" s="755"/>
      <c r="AB37" s="755"/>
      <c r="AC37" s="755"/>
      <c r="AD37" s="764"/>
    </row>
    <row r="38" spans="1:30" ht="16.5" customHeight="1" x14ac:dyDescent="0.3">
      <c r="A38" s="756"/>
      <c r="B38" s="757"/>
      <c r="C38" s="757"/>
      <c r="D38" s="757"/>
      <c r="E38" s="757"/>
      <c r="F38" s="757"/>
      <c r="G38" s="757"/>
      <c r="H38" s="757"/>
      <c r="I38" s="757"/>
      <c r="J38" s="757"/>
      <c r="K38" s="757"/>
      <c r="L38" s="757"/>
      <c r="M38" s="757"/>
      <c r="N38" s="757"/>
      <c r="O38" s="757"/>
      <c r="P38" s="757"/>
      <c r="Q38" s="757"/>
      <c r="R38" s="757"/>
      <c r="S38" s="757"/>
      <c r="T38" s="757"/>
      <c r="U38" s="757"/>
      <c r="V38" s="757"/>
      <c r="W38" s="757"/>
      <c r="X38" s="757"/>
      <c r="Y38" s="757"/>
      <c r="Z38" s="757"/>
      <c r="AA38" s="757"/>
      <c r="AB38" s="757"/>
      <c r="AC38" s="757"/>
      <c r="AD38" s="765"/>
    </row>
    <row r="39" spans="1:30" ht="16.5" customHeight="1" x14ac:dyDescent="0.3">
      <c r="A39" s="758">
        <f>SUM(Q2:U35)</f>
        <v>157</v>
      </c>
      <c r="B39" s="759"/>
      <c r="C39" s="759"/>
      <c r="D39" s="759"/>
      <c r="E39" s="762">
        <f>SUM(V2:Z35)</f>
        <v>18555</v>
      </c>
      <c r="F39" s="759"/>
      <c r="G39" s="759"/>
      <c r="H39" s="759"/>
      <c r="I39" s="759"/>
      <c r="J39" s="759"/>
      <c r="K39" s="762">
        <f>E39/A39</f>
        <v>118.18471337579618</v>
      </c>
      <c r="L39" s="759"/>
      <c r="M39" s="759"/>
      <c r="N39" s="759"/>
      <c r="O39" s="759">
        <f>SUM(MON:SUN!Q31)</f>
        <v>15</v>
      </c>
      <c r="P39" s="759"/>
      <c r="Q39" s="759"/>
      <c r="R39" s="759"/>
      <c r="S39" s="759"/>
      <c r="T39" s="759">
        <f>SUM(MON:SUN!P31)</f>
        <v>37</v>
      </c>
      <c r="U39" s="759"/>
      <c r="V39" s="759"/>
      <c r="W39" s="759"/>
      <c r="X39" s="759"/>
      <c r="Y39" s="759">
        <f>SUM(MON:SUN!S19)</f>
        <v>12</v>
      </c>
      <c r="Z39" s="759"/>
      <c r="AA39" s="759"/>
      <c r="AB39" s="759"/>
      <c r="AC39" s="759"/>
      <c r="AD39" s="774"/>
    </row>
    <row r="40" spans="1:30" ht="16.5" customHeight="1" x14ac:dyDescent="0.3">
      <c r="A40" s="758"/>
      <c r="B40" s="759"/>
      <c r="C40" s="759"/>
      <c r="D40" s="759"/>
      <c r="E40" s="759"/>
      <c r="F40" s="759"/>
      <c r="G40" s="759"/>
      <c r="H40" s="759"/>
      <c r="I40" s="759"/>
      <c r="J40" s="759"/>
      <c r="K40" s="759"/>
      <c r="L40" s="759"/>
      <c r="M40" s="759"/>
      <c r="N40" s="759"/>
      <c r="O40" s="759"/>
      <c r="P40" s="759"/>
      <c r="Q40" s="759"/>
      <c r="R40" s="759"/>
      <c r="S40" s="759"/>
      <c r="T40" s="759"/>
      <c r="U40" s="759"/>
      <c r="V40" s="759"/>
      <c r="W40" s="759"/>
      <c r="X40" s="759"/>
      <c r="Y40" s="759"/>
      <c r="Z40" s="759"/>
      <c r="AA40" s="759"/>
      <c r="AB40" s="759"/>
      <c r="AC40" s="759"/>
      <c r="AD40" s="774"/>
    </row>
    <row r="41" spans="1:30" ht="16.5" customHeight="1" x14ac:dyDescent="0.3">
      <c r="A41" s="758"/>
      <c r="B41" s="759"/>
      <c r="C41" s="759"/>
      <c r="D41" s="759"/>
      <c r="E41" s="759"/>
      <c r="F41" s="759"/>
      <c r="G41" s="759"/>
      <c r="H41" s="759"/>
      <c r="I41" s="759"/>
      <c r="J41" s="759"/>
      <c r="K41" s="759"/>
      <c r="L41" s="759"/>
      <c r="M41" s="759"/>
      <c r="N41" s="759"/>
      <c r="O41" s="772">
        <f>SUM(MON:SUN!J31)</f>
        <v>990</v>
      </c>
      <c r="P41" s="772"/>
      <c r="Q41" s="772"/>
      <c r="R41" s="772"/>
      <c r="S41" s="772"/>
      <c r="T41" s="772">
        <f>SUM(MON:SUN!K31)</f>
        <v>2586.9199999999996</v>
      </c>
      <c r="U41" s="772"/>
      <c r="V41" s="772"/>
      <c r="W41" s="772"/>
      <c r="X41" s="772"/>
      <c r="Y41" s="772">
        <f>SUM(MON:SUN!T19)</f>
        <v>6075</v>
      </c>
      <c r="Z41" s="772"/>
      <c r="AA41" s="772"/>
      <c r="AB41" s="772"/>
      <c r="AC41" s="772"/>
      <c r="AD41" s="775"/>
    </row>
    <row r="42" spans="1:30" ht="16.5" customHeight="1" thickBot="1" x14ac:dyDescent="0.35">
      <c r="A42" s="760"/>
      <c r="B42" s="761"/>
      <c r="C42" s="761"/>
      <c r="D42" s="761"/>
      <c r="E42" s="761"/>
      <c r="F42" s="761"/>
      <c r="G42" s="761"/>
      <c r="H42" s="761"/>
      <c r="I42" s="761"/>
      <c r="J42" s="761"/>
      <c r="K42" s="761"/>
      <c r="L42" s="761"/>
      <c r="M42" s="761"/>
      <c r="N42" s="761"/>
      <c r="O42" s="773"/>
      <c r="P42" s="773"/>
      <c r="Q42" s="773"/>
      <c r="R42" s="773"/>
      <c r="S42" s="773"/>
      <c r="T42" s="773"/>
      <c r="U42" s="773"/>
      <c r="V42" s="773"/>
      <c r="W42" s="773"/>
      <c r="X42" s="773"/>
      <c r="Y42" s="773"/>
      <c r="Z42" s="773"/>
      <c r="AA42" s="773"/>
      <c r="AB42" s="773"/>
      <c r="AC42" s="773"/>
      <c r="AD42" s="776"/>
    </row>
    <row r="43" spans="1:30" ht="17.45" customHeight="1" x14ac:dyDescent="0.3">
      <c r="A43" s="533" t="s">
        <v>84</v>
      </c>
      <c r="B43" s="534"/>
      <c r="C43" s="534"/>
      <c r="D43" s="534"/>
      <c r="E43" s="535"/>
      <c r="F43" s="533" t="s">
        <v>85</v>
      </c>
      <c r="G43" s="534"/>
      <c r="H43" s="534"/>
      <c r="I43" s="534"/>
      <c r="J43" s="535"/>
      <c r="K43" s="533" t="s">
        <v>86</v>
      </c>
      <c r="L43" s="534"/>
      <c r="M43" s="534"/>
      <c r="N43" s="534"/>
      <c r="O43" s="535"/>
      <c r="P43" s="533" t="s">
        <v>87</v>
      </c>
      <c r="Q43" s="534"/>
      <c r="R43" s="534"/>
      <c r="S43" s="534"/>
      <c r="T43" s="535"/>
      <c r="U43" s="533" t="s">
        <v>90</v>
      </c>
      <c r="V43" s="534"/>
      <c r="W43" s="534"/>
      <c r="X43" s="534"/>
      <c r="Y43" s="535"/>
      <c r="Z43" s="539" t="s">
        <v>95</v>
      </c>
      <c r="AA43" s="540"/>
      <c r="AB43" s="540"/>
      <c r="AC43" s="540"/>
      <c r="AD43" s="541"/>
    </row>
    <row r="44" spans="1:30" ht="17.45" customHeight="1" x14ac:dyDescent="0.3">
      <c r="A44" s="536"/>
      <c r="B44" s="537"/>
      <c r="C44" s="537"/>
      <c r="D44" s="537"/>
      <c r="E44" s="538"/>
      <c r="F44" s="536"/>
      <c r="G44" s="537"/>
      <c r="H44" s="537"/>
      <c r="I44" s="537"/>
      <c r="J44" s="538"/>
      <c r="K44" s="536"/>
      <c r="L44" s="537"/>
      <c r="M44" s="537"/>
      <c r="N44" s="537"/>
      <c r="O44" s="538"/>
      <c r="P44" s="536"/>
      <c r="Q44" s="537"/>
      <c r="R44" s="537"/>
      <c r="S44" s="537"/>
      <c r="T44" s="538"/>
      <c r="U44" s="536"/>
      <c r="V44" s="537"/>
      <c r="W44" s="537"/>
      <c r="X44" s="537"/>
      <c r="Y44" s="538"/>
      <c r="Z44" s="542"/>
      <c r="AA44" s="543"/>
      <c r="AB44" s="543"/>
      <c r="AC44" s="543"/>
      <c r="AD44" s="544"/>
    </row>
    <row r="45" spans="1:30" x14ac:dyDescent="0.3">
      <c r="A45" s="545">
        <f>SUM(H2,H7,H12,H17,H22,H27,H32)</f>
        <v>7430</v>
      </c>
      <c r="B45" s="546"/>
      <c r="C45" s="546"/>
      <c r="D45" s="546"/>
      <c r="E45" s="547"/>
      <c r="F45" s="545">
        <f>SUM(,H3,H8,H13,H18,H23,H28,H33)</f>
        <v>10135</v>
      </c>
      <c r="G45" s="546"/>
      <c r="H45" s="546"/>
      <c r="I45" s="546"/>
      <c r="J45" s="547"/>
      <c r="K45" s="545">
        <f>SUM(H5,H10,H15,H20,H25,H30,H35)</f>
        <v>990</v>
      </c>
      <c r="L45" s="546"/>
      <c r="M45" s="546"/>
      <c r="N45" s="546"/>
      <c r="O45" s="547"/>
      <c r="P45" s="545">
        <f>SUM(H4,H9,H14,H19,H24,H29,H34)</f>
        <v>2586.9199999999996</v>
      </c>
      <c r="Q45" s="546"/>
      <c r="R45" s="546"/>
      <c r="S45" s="546"/>
      <c r="T45" s="547"/>
      <c r="U45" s="554">
        <f>SUM(E6,E11,E16,E21,E26,E31,E36)</f>
        <v>305.75</v>
      </c>
      <c r="V45" s="546"/>
      <c r="W45" s="546"/>
      <c r="X45" s="546"/>
      <c r="Y45" s="547"/>
      <c r="Z45" s="554">
        <f>SUM(L6,L11,L16,L21,L26,L31,L36)</f>
        <v>35</v>
      </c>
      <c r="AA45" s="546"/>
      <c r="AB45" s="546"/>
      <c r="AC45" s="546"/>
      <c r="AD45" s="555"/>
    </row>
    <row r="46" spans="1:30" x14ac:dyDescent="0.3">
      <c r="A46" s="548"/>
      <c r="B46" s="549"/>
      <c r="C46" s="549"/>
      <c r="D46" s="549"/>
      <c r="E46" s="550"/>
      <c r="F46" s="548"/>
      <c r="G46" s="549"/>
      <c r="H46" s="549"/>
      <c r="I46" s="549"/>
      <c r="J46" s="550"/>
      <c r="K46" s="548"/>
      <c r="L46" s="549"/>
      <c r="M46" s="549"/>
      <c r="N46" s="549"/>
      <c r="O46" s="550"/>
      <c r="P46" s="548"/>
      <c r="Q46" s="549"/>
      <c r="R46" s="549"/>
      <c r="S46" s="549"/>
      <c r="T46" s="550"/>
      <c r="U46" s="548"/>
      <c r="V46" s="549"/>
      <c r="W46" s="549"/>
      <c r="X46" s="549"/>
      <c r="Y46" s="550"/>
      <c r="Z46" s="548"/>
      <c r="AA46" s="549"/>
      <c r="AB46" s="549"/>
      <c r="AC46" s="549"/>
      <c r="AD46" s="556"/>
    </row>
    <row r="47" spans="1:30" x14ac:dyDescent="0.3">
      <c r="A47" s="548"/>
      <c r="B47" s="549"/>
      <c r="C47" s="549"/>
      <c r="D47" s="549"/>
      <c r="E47" s="550"/>
      <c r="F47" s="548"/>
      <c r="G47" s="549"/>
      <c r="H47" s="549"/>
      <c r="I47" s="549"/>
      <c r="J47" s="550"/>
      <c r="K47" s="548"/>
      <c r="L47" s="549"/>
      <c r="M47" s="549"/>
      <c r="N47" s="549"/>
      <c r="O47" s="550"/>
      <c r="P47" s="548"/>
      <c r="Q47" s="549"/>
      <c r="R47" s="549"/>
      <c r="S47" s="549"/>
      <c r="T47" s="550"/>
      <c r="U47" s="548"/>
      <c r="V47" s="549"/>
      <c r="W47" s="549"/>
      <c r="X47" s="549"/>
      <c r="Y47" s="550"/>
      <c r="Z47" s="548"/>
      <c r="AA47" s="549"/>
      <c r="AB47" s="549"/>
      <c r="AC47" s="549"/>
      <c r="AD47" s="556"/>
    </row>
    <row r="48" spans="1:30" ht="17.25" thickBot="1" x14ac:dyDescent="0.35">
      <c r="A48" s="551"/>
      <c r="B48" s="552"/>
      <c r="C48" s="552"/>
      <c r="D48" s="552"/>
      <c r="E48" s="553"/>
      <c r="F48" s="551"/>
      <c r="G48" s="552"/>
      <c r="H48" s="552"/>
      <c r="I48" s="552"/>
      <c r="J48" s="553"/>
      <c r="K48" s="551"/>
      <c r="L48" s="552"/>
      <c r="M48" s="552"/>
      <c r="N48" s="552"/>
      <c r="O48" s="553"/>
      <c r="P48" s="551"/>
      <c r="Q48" s="552"/>
      <c r="R48" s="552"/>
      <c r="S48" s="552"/>
      <c r="T48" s="553"/>
      <c r="U48" s="551"/>
      <c r="V48" s="552"/>
      <c r="W48" s="552"/>
      <c r="X48" s="552"/>
      <c r="Y48" s="553"/>
      <c r="Z48" s="551"/>
      <c r="AA48" s="552"/>
      <c r="AB48" s="552"/>
      <c r="AC48" s="552"/>
      <c r="AD48" s="557"/>
    </row>
    <row r="49" spans="1:30" ht="17.45" customHeight="1" x14ac:dyDescent="0.3">
      <c r="A49" s="515">
        <f>A45/E39</f>
        <v>0.40043115063325252</v>
      </c>
      <c r="B49" s="516"/>
      <c r="C49" s="516"/>
      <c r="D49" s="516"/>
      <c r="E49" s="517"/>
      <c r="F49" s="515">
        <f>F45/E39</f>
        <v>0.54621395850175158</v>
      </c>
      <c r="G49" s="516"/>
      <c r="H49" s="516"/>
      <c r="I49" s="516"/>
      <c r="J49" s="517"/>
      <c r="K49" s="515">
        <f>K45/E39</f>
        <v>5.3354890864995959E-2</v>
      </c>
      <c r="L49" s="516"/>
      <c r="M49" s="516"/>
      <c r="N49" s="516"/>
      <c r="O49" s="517"/>
      <c r="P49" s="515">
        <f>P45/E39</f>
        <v>0.13941902452169225</v>
      </c>
      <c r="Q49" s="516"/>
      <c r="R49" s="516"/>
      <c r="S49" s="516"/>
      <c r="T49" s="517"/>
      <c r="U49" s="524">
        <f>U45/7</f>
        <v>43.678571428571431</v>
      </c>
      <c r="V49" s="525"/>
      <c r="W49" s="525"/>
      <c r="X49" s="525"/>
      <c r="Y49" s="526"/>
      <c r="Z49" s="524">
        <f>U45/Z45</f>
        <v>8.7357142857142858</v>
      </c>
      <c r="AA49" s="525"/>
      <c r="AB49" s="525"/>
      <c r="AC49" s="525"/>
      <c r="AD49" s="526"/>
    </row>
    <row r="50" spans="1:30" ht="17.45" customHeight="1" x14ac:dyDescent="0.3">
      <c r="A50" s="518"/>
      <c r="B50" s="519"/>
      <c r="C50" s="519"/>
      <c r="D50" s="519"/>
      <c r="E50" s="520"/>
      <c r="F50" s="518"/>
      <c r="G50" s="519"/>
      <c r="H50" s="519"/>
      <c r="I50" s="519"/>
      <c r="J50" s="520"/>
      <c r="K50" s="518"/>
      <c r="L50" s="519"/>
      <c r="M50" s="519"/>
      <c r="N50" s="519"/>
      <c r="O50" s="520"/>
      <c r="P50" s="518"/>
      <c r="Q50" s="519"/>
      <c r="R50" s="519"/>
      <c r="S50" s="519"/>
      <c r="T50" s="520"/>
      <c r="U50" s="527"/>
      <c r="V50" s="528"/>
      <c r="W50" s="528"/>
      <c r="X50" s="528"/>
      <c r="Y50" s="529"/>
      <c r="Z50" s="527"/>
      <c r="AA50" s="528"/>
      <c r="AB50" s="528"/>
      <c r="AC50" s="528"/>
      <c r="AD50" s="529"/>
    </row>
    <row r="51" spans="1:30" ht="17.45" customHeight="1" x14ac:dyDescent="0.3">
      <c r="A51" s="518"/>
      <c r="B51" s="519"/>
      <c r="C51" s="519"/>
      <c r="D51" s="519"/>
      <c r="E51" s="520"/>
      <c r="F51" s="518"/>
      <c r="G51" s="519"/>
      <c r="H51" s="519"/>
      <c r="I51" s="519"/>
      <c r="J51" s="520"/>
      <c r="K51" s="518"/>
      <c r="L51" s="519"/>
      <c r="M51" s="519"/>
      <c r="N51" s="519"/>
      <c r="O51" s="520"/>
      <c r="P51" s="518"/>
      <c r="Q51" s="519"/>
      <c r="R51" s="519"/>
      <c r="S51" s="519"/>
      <c r="T51" s="520"/>
      <c r="U51" s="527"/>
      <c r="V51" s="528"/>
      <c r="W51" s="528"/>
      <c r="X51" s="528"/>
      <c r="Y51" s="529"/>
      <c r="Z51" s="527"/>
      <c r="AA51" s="528"/>
      <c r="AB51" s="528"/>
      <c r="AC51" s="528"/>
      <c r="AD51" s="529"/>
    </row>
    <row r="52" spans="1:30" ht="18" customHeight="1" thickBot="1" x14ac:dyDescent="0.35">
      <c r="A52" s="521"/>
      <c r="B52" s="522"/>
      <c r="C52" s="522"/>
      <c r="D52" s="522"/>
      <c r="E52" s="523"/>
      <c r="F52" s="521"/>
      <c r="G52" s="522"/>
      <c r="H52" s="522"/>
      <c r="I52" s="522"/>
      <c r="J52" s="523"/>
      <c r="K52" s="521"/>
      <c r="L52" s="522"/>
      <c r="M52" s="522"/>
      <c r="N52" s="522"/>
      <c r="O52" s="523"/>
      <c r="P52" s="521"/>
      <c r="Q52" s="522"/>
      <c r="R52" s="522"/>
      <c r="S52" s="522"/>
      <c r="T52" s="523"/>
      <c r="U52" s="530"/>
      <c r="V52" s="531"/>
      <c r="W52" s="531"/>
      <c r="X52" s="531"/>
      <c r="Y52" s="532"/>
      <c r="Z52" s="530"/>
      <c r="AA52" s="531"/>
      <c r="AB52" s="531"/>
      <c r="AC52" s="531"/>
      <c r="AD52" s="532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F6137276-C085-41DE-BAAB-8B629D16E4C0}"/>
</file>

<file path=customXml/itemProps2.xml><?xml version="1.0" encoding="utf-8"?>
<ds:datastoreItem xmlns:ds="http://schemas.openxmlformats.org/officeDocument/2006/customXml" ds:itemID="{413D0BCB-0870-4158-99C4-0F8BE0577047}"/>
</file>

<file path=customXml/itemProps3.xml><?xml version="1.0" encoding="utf-8"?>
<ds:datastoreItem xmlns:ds="http://schemas.openxmlformats.org/officeDocument/2006/customXml" ds:itemID="{58144CCC-A942-4D7C-94CE-258D6AC7D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2022-10-30T06:38:53Z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