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B2 DR\2022\9. Sep\"/>
    </mc:Choice>
  </mc:AlternateContent>
  <xr:revisionPtr revIDLastSave="0" documentId="13_ncr:1_{AEF47ED6-20F9-4D41-B2F6-6A7FA09452FD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8" l="1"/>
  <c r="V22" i="8" s="1"/>
  <c r="J7" i="6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L31" i="2"/>
  <c r="M30" i="2"/>
  <c r="M31" i="2" s="1"/>
  <c r="L30" i="2"/>
  <c r="I30" i="2"/>
  <c r="I31" i="2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J22" i="2"/>
  <c r="K21" i="2"/>
  <c r="J21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J22" i="1"/>
  <c r="J21" i="1"/>
  <c r="K20" i="1"/>
  <c r="J20" i="1"/>
  <c r="T19" i="1"/>
  <c r="S19" i="1"/>
  <c r="K19" i="1"/>
  <c r="J19" i="1"/>
  <c r="J18" i="1"/>
  <c r="K17" i="1"/>
  <c r="J17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0" i="3"/>
  <c r="M31" i="3" s="1"/>
  <c r="L30" i="3"/>
  <c r="L31" i="3" s="1"/>
  <c r="I30" i="3"/>
  <c r="I31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6" i="3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J12" i="3"/>
  <c r="U11" i="3"/>
  <c r="K11" i="3"/>
  <c r="J11" i="3"/>
  <c r="U10" i="3"/>
  <c r="K10" i="3"/>
  <c r="J10" i="3"/>
  <c r="U9" i="3"/>
  <c r="K9" i="3"/>
  <c r="J9" i="3"/>
  <c r="U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L31" i="4"/>
  <c r="M30" i="4"/>
  <c r="M31" i="4" s="1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J10" i="4"/>
  <c r="U9" i="4"/>
  <c r="K9" i="4"/>
  <c r="J9" i="4"/>
  <c r="U8" i="4"/>
  <c r="J8" i="4"/>
  <c r="U7" i="4"/>
  <c r="K7" i="4"/>
  <c r="J7" i="4"/>
  <c r="U6" i="4"/>
  <c r="J6" i="4"/>
  <c r="U5" i="4"/>
  <c r="K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T66" i="5"/>
  <c r="J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O34" i="5"/>
  <c r="O66" i="5" s="1"/>
  <c r="J34" i="5"/>
  <c r="A34" i="5"/>
  <c r="A66" i="5" s="1"/>
  <c r="H32" i="5"/>
  <c r="Z31" i="5"/>
  <c r="Q31" i="5"/>
  <c r="P31" i="5"/>
  <c r="O31" i="5"/>
  <c r="N31" i="5"/>
  <c r="L31" i="5"/>
  <c r="M30" i="5"/>
  <c r="M31" i="5" s="1"/>
  <c r="L30" i="5"/>
  <c r="I30" i="5"/>
  <c r="I31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J10" i="5"/>
  <c r="U9" i="5"/>
  <c r="K9" i="5"/>
  <c r="J9" i="5"/>
  <c r="U8" i="5"/>
  <c r="J8" i="5"/>
  <c r="U7" i="5"/>
  <c r="J7" i="5"/>
  <c r="U6" i="5"/>
  <c r="K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M30" i="6"/>
  <c r="M31" i="6" s="1"/>
  <c r="L30" i="6"/>
  <c r="I30" i="6"/>
  <c r="I31" i="6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J16" i="6"/>
  <c r="U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J10" i="6"/>
  <c r="U9" i="6"/>
  <c r="J9" i="6"/>
  <c r="U8" i="6"/>
  <c r="K8" i="6"/>
  <c r="J8" i="6"/>
  <c r="U7" i="6"/>
  <c r="K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6" i="7"/>
  <c r="J5" i="7"/>
  <c r="T19" i="7"/>
  <c r="S19" i="7"/>
  <c r="K24" i="7"/>
  <c r="S32" i="2" l="1"/>
  <c r="H33" i="8" s="1"/>
  <c r="K30" i="2"/>
  <c r="K31" i="2" s="1"/>
  <c r="H34" i="8" s="1"/>
  <c r="J30" i="2"/>
  <c r="J31" i="2" s="1"/>
  <c r="H35" i="8" s="1"/>
  <c r="U16" i="2"/>
  <c r="R16" i="2" s="1"/>
  <c r="U16" i="1"/>
  <c r="S16" i="1" s="1"/>
  <c r="I31" i="1"/>
  <c r="S32" i="1" s="1"/>
  <c r="H28" i="8" s="1"/>
  <c r="J62" i="1"/>
  <c r="K62" i="1"/>
  <c r="K30" i="1"/>
  <c r="K31" i="1" s="1"/>
  <c r="J30" i="1"/>
  <c r="S32" i="3"/>
  <c r="J30" i="3"/>
  <c r="J31" i="3" s="1"/>
  <c r="K30" i="3"/>
  <c r="K31" i="3" s="1"/>
  <c r="U16" i="3"/>
  <c r="S32" i="4"/>
  <c r="H18" i="8" s="1"/>
  <c r="U16" i="4"/>
  <c r="S16" i="4" s="1"/>
  <c r="J30" i="4"/>
  <c r="J31" i="4" s="1"/>
  <c r="K30" i="4"/>
  <c r="K31" i="4" s="1"/>
  <c r="U16" i="5"/>
  <c r="S16" i="5" s="1"/>
  <c r="S32" i="5"/>
  <c r="H13" i="8" s="1"/>
  <c r="K30" i="5"/>
  <c r="K31" i="5" s="1"/>
  <c r="J30" i="5"/>
  <c r="J31" i="5" s="1"/>
  <c r="U16" i="6"/>
  <c r="S16" i="6" s="1"/>
  <c r="S32" i="6"/>
  <c r="H8" i="8" s="1"/>
  <c r="K30" i="6"/>
  <c r="K31" i="6" s="1"/>
  <c r="J30" i="6"/>
  <c r="J31" i="6" s="1"/>
  <c r="AD25" i="2"/>
  <c r="AI25" i="2"/>
  <c r="Z32" i="2"/>
  <c r="Z33" i="2" s="1"/>
  <c r="S31" i="2"/>
  <c r="H32" i="8" s="1"/>
  <c r="T31" i="2"/>
  <c r="AD25" i="1"/>
  <c r="AI25" i="1"/>
  <c r="S31" i="1"/>
  <c r="H27" i="8" s="1"/>
  <c r="AD25" i="3"/>
  <c r="AI25" i="3"/>
  <c r="S16" i="3"/>
  <c r="R16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L36" i="8"/>
  <c r="L31" i="8"/>
  <c r="L26" i="8"/>
  <c r="L21" i="8"/>
  <c r="L16" i="8"/>
  <c r="L11" i="8"/>
  <c r="L6" i="8"/>
  <c r="E26" i="8"/>
  <c r="E1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V32" i="8" l="1"/>
  <c r="C32" i="2"/>
  <c r="O32" i="2" s="1"/>
  <c r="L33" i="8" s="1"/>
  <c r="E36" i="8"/>
  <c r="S16" i="2"/>
  <c r="T31" i="1"/>
  <c r="E31" i="8"/>
  <c r="R16" i="1"/>
  <c r="Z32" i="1"/>
  <c r="Z33" i="1" s="1"/>
  <c r="J31" i="1"/>
  <c r="C32" i="1" s="1"/>
  <c r="O32" i="1" s="1"/>
  <c r="C32" i="3"/>
  <c r="O32" i="3" s="1"/>
  <c r="R16" i="4"/>
  <c r="C32" i="4"/>
  <c r="U25" i="4" s="1"/>
  <c r="R16" i="5"/>
  <c r="C32" i="5"/>
  <c r="O32" i="5" s="1"/>
  <c r="R16" i="6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Q32" i="2" l="1"/>
  <c r="L35" i="8" s="1"/>
  <c r="T16" i="2"/>
  <c r="U25" i="2"/>
  <c r="N32" i="2"/>
  <c r="L32" i="8" s="1"/>
  <c r="P32" i="2"/>
  <c r="L34" i="8" s="1"/>
  <c r="K32" i="2"/>
  <c r="T16" i="1"/>
  <c r="K32" i="1"/>
  <c r="Q32" i="1"/>
  <c r="U25" i="1"/>
  <c r="N32" i="1"/>
  <c r="P32" i="1"/>
  <c r="U25" i="3"/>
  <c r="Q32" i="3"/>
  <c r="L25" i="8" s="1"/>
  <c r="P32" i="3"/>
  <c r="L24" i="8" s="1"/>
  <c r="K32" i="3"/>
  <c r="N32" i="3"/>
  <c r="L22" i="8" s="1"/>
  <c r="T16" i="3"/>
  <c r="P32" i="4"/>
  <c r="Q32" i="4"/>
  <c r="T16" i="4"/>
  <c r="N32" i="4"/>
  <c r="K32" i="4"/>
  <c r="O32" i="4"/>
  <c r="T16" i="5"/>
  <c r="K32" i="5"/>
  <c r="P32" i="5"/>
  <c r="Q32" i="5"/>
  <c r="U25" i="5"/>
  <c r="N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<sst xmlns="http://schemas.openxmlformats.org/spreadsheetml/2006/main" count="1678" uniqueCount="385">
  <si>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</si>
  <si>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</si>
  <si>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</si>
  <si>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</si>
  <si>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</si>
  <si>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</si>
  <si>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</si>
  <si>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</si>
  <si>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</si>
  <si>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</si>
  <si>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</si>
  <si>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</si>
  <si>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</si>
  <si>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</si>
  <si>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</si>
  <si>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</si>
  <si>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</si>
  <si>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</si>
  <si>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</si>
  <si>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</si>
  <si>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</si>
  <si>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</si>
  <si>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</si>
  <si>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</si>
  <si>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</si>
  <si>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</si>
  <si>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</si>
  <si>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</si>
  <si>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</si>
  <si>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</si>
  <si>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</si>
  <si>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</si>
  <si>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</si>
  <si>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</si>
  <si>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</si>
  <si>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</si>
  <si>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</si>
  <si>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</si>
  <si>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</si>
  <si>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</si>
  <si>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</si>
  <si>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</si>
  <si>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</si>
  <si>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</si>
  <si>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</si>
  <si>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</si>
  <si>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</si>
  <si>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</si>
  <si>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</si>
  <si>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</si>
  <si>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</si>
  <si>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</si>
  <si>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</si>
  <si>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</si>
  <si>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</si>
  <si>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</si>
  <si>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</si>
  <si>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</si>
  <si>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</si>
  <si>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</si>
  <si>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</si>
  <si>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</si>
  <si>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</si>
  <si>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</si>
  <si>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</si>
  <si>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</si>
  <si>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</si>
  <si>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</si>
  <si>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</si>
  <si>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</si>
  <si>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</si>
  <si>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</si>
  <si>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</si>
  <si>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</si>
  <si>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</si>
  <si>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</si>
  <si>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</si>
  <si>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</si>
  <si>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</si>
  <si>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</si>
  <si>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</si>
  <si>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</si>
  <si>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</si>
  <si>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</si>
  <si>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</si>
  <si>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</si>
  <si>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</si>
  <si>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</si>
  <si>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</si>
  <si>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</si>
  <si>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</si>
  <si>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</si>
  <si>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</si>
  <si>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</si>
  <si>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</si>
  <si>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</si>
  <si>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</si>
  <si>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05-09-2022</t>
    <phoneticPr fontId="4" type="noConversion"/>
  </si>
  <si>
    <t>JOHN</t>
    <phoneticPr fontId="4" type="noConversion"/>
  </si>
  <si>
    <t>HENDRA</t>
    <phoneticPr fontId="4" type="noConversion"/>
  </si>
  <si>
    <t>CMU50K</t>
    <phoneticPr fontId="4" type="noConversion"/>
  </si>
  <si>
    <t>0406209301</t>
    <phoneticPr fontId="4" type="noConversion"/>
  </si>
  <si>
    <t>F</t>
  </si>
  <si>
    <t>X</t>
    <phoneticPr fontId="4" type="noConversion"/>
  </si>
  <si>
    <t>EOL52D</t>
    <phoneticPr fontId="4" type="noConversion"/>
  </si>
  <si>
    <t>0422919821</t>
    <phoneticPr fontId="4" type="noConversion"/>
  </si>
  <si>
    <t>202206011,202207016(H)</t>
    <phoneticPr fontId="4" type="noConversion"/>
  </si>
  <si>
    <t>BKZ25W</t>
    <phoneticPr fontId="4" type="noConversion"/>
  </si>
  <si>
    <t>0432077961</t>
    <phoneticPr fontId="4" type="noConversion"/>
  </si>
  <si>
    <t>W/O</t>
    <phoneticPr fontId="4" type="noConversion"/>
  </si>
  <si>
    <t>GBI</t>
    <phoneticPr fontId="4" type="noConversion"/>
  </si>
  <si>
    <t>H</t>
    <phoneticPr fontId="4" type="noConversion"/>
  </si>
  <si>
    <t>BMP29B</t>
    <phoneticPr fontId="4" type="noConversion"/>
  </si>
  <si>
    <t>0416142324</t>
    <phoneticPr fontId="4" type="noConversion"/>
  </si>
  <si>
    <t>202206055(D)</t>
    <phoneticPr fontId="4" type="noConversion"/>
  </si>
  <si>
    <t>DQV55K</t>
    <phoneticPr fontId="4" type="noConversion"/>
  </si>
  <si>
    <t>0416949055</t>
    <phoneticPr fontId="4" type="noConversion"/>
  </si>
  <si>
    <t>0420883991</t>
    <phoneticPr fontId="4" type="noConversion"/>
  </si>
  <si>
    <t>IN/ID</t>
    <phoneticPr fontId="4" type="noConversion"/>
  </si>
  <si>
    <t>FS388</t>
    <phoneticPr fontId="4" type="noConversion"/>
  </si>
  <si>
    <t>0428663420</t>
    <phoneticPr fontId="4" type="noConversion"/>
  </si>
  <si>
    <t>202208015(X)</t>
    <phoneticPr fontId="4" type="noConversion"/>
  </si>
  <si>
    <t>FIG00B</t>
    <phoneticPr fontId="4" type="noConversion"/>
  </si>
  <si>
    <t>0409299086</t>
    <phoneticPr fontId="4" type="noConversion"/>
  </si>
  <si>
    <t>88BMWM</t>
    <phoneticPr fontId="4" type="noConversion"/>
  </si>
  <si>
    <t>0479077545</t>
    <phoneticPr fontId="4" type="noConversion"/>
  </si>
  <si>
    <t>D</t>
    <phoneticPr fontId="4" type="noConversion"/>
  </si>
  <si>
    <t>ARIANTO</t>
    <phoneticPr fontId="4" type="noConversion"/>
  </si>
  <si>
    <t>SUNNY</t>
    <phoneticPr fontId="4" type="noConversion"/>
  </si>
  <si>
    <t>EJD27C</t>
    <phoneticPr fontId="4" type="noConversion"/>
  </si>
  <si>
    <t>0433569809</t>
    <phoneticPr fontId="4" type="noConversion"/>
  </si>
  <si>
    <t>0415888891</t>
    <phoneticPr fontId="4" type="noConversion"/>
  </si>
  <si>
    <t>6 - 9 - 2022</t>
    <phoneticPr fontId="4" type="noConversion"/>
  </si>
  <si>
    <t>JUNIOR</t>
    <phoneticPr fontId="4" type="noConversion"/>
  </si>
  <si>
    <t>VINNY</t>
    <phoneticPr fontId="4" type="noConversion"/>
  </si>
  <si>
    <t>CG00JP</t>
    <phoneticPr fontId="4" type="noConversion"/>
  </si>
  <si>
    <t>0403073628</t>
    <phoneticPr fontId="4" type="noConversion"/>
  </si>
  <si>
    <t>YIL900</t>
    <phoneticPr fontId="4" type="noConversion"/>
  </si>
  <si>
    <t>0414995099</t>
    <phoneticPr fontId="4" type="noConversion"/>
  </si>
  <si>
    <t>NCP01L</t>
    <phoneticPr fontId="4" type="noConversion"/>
  </si>
  <si>
    <t>0409037279</t>
    <phoneticPr fontId="4" type="noConversion"/>
  </si>
  <si>
    <t>NCD72A</t>
    <phoneticPr fontId="4" type="noConversion"/>
  </si>
  <si>
    <t>0412334009</t>
    <phoneticPr fontId="4" type="noConversion"/>
  </si>
  <si>
    <t>CQL74Q</t>
    <phoneticPr fontId="4" type="noConversion"/>
  </si>
  <si>
    <t>0428888046</t>
    <phoneticPr fontId="4" type="noConversion"/>
  </si>
  <si>
    <t>PCM</t>
    <phoneticPr fontId="4" type="noConversion"/>
  </si>
  <si>
    <t>B2 22007(3/6), XD50-169-175</t>
    <phoneticPr fontId="4" type="noConversion"/>
  </si>
  <si>
    <t>ELH32H</t>
    <phoneticPr fontId="4" type="noConversion"/>
  </si>
  <si>
    <t>0410448633</t>
    <phoneticPr fontId="4" type="noConversion"/>
  </si>
  <si>
    <t>PCL</t>
    <phoneticPr fontId="4" type="noConversion"/>
  </si>
  <si>
    <t>B2 21038(6/6)</t>
    <phoneticPr fontId="4" type="noConversion"/>
  </si>
  <si>
    <t>DTI84T</t>
    <phoneticPr fontId="4" type="noConversion"/>
  </si>
  <si>
    <t>0434928034</t>
    <phoneticPr fontId="4" type="noConversion"/>
  </si>
  <si>
    <t>DSF21Y</t>
    <phoneticPr fontId="4" type="noConversion"/>
  </si>
  <si>
    <t>0416089330</t>
    <phoneticPr fontId="4" type="noConversion"/>
  </si>
  <si>
    <t>RM656</t>
    <phoneticPr fontId="4" type="noConversion"/>
  </si>
  <si>
    <t>0414428617</t>
    <phoneticPr fontId="4" type="noConversion"/>
  </si>
  <si>
    <t>ABL78E</t>
    <phoneticPr fontId="4" type="noConversion"/>
  </si>
  <si>
    <t>0411163322</t>
    <phoneticPr fontId="4" type="noConversion"/>
  </si>
  <si>
    <t>S/D</t>
    <phoneticPr fontId="4" type="noConversion"/>
  </si>
  <si>
    <t>D110X</t>
    <phoneticPr fontId="4" type="noConversion"/>
  </si>
  <si>
    <t>0433017205</t>
    <phoneticPr fontId="4" type="noConversion"/>
  </si>
  <si>
    <t>B2 22077(1/6)</t>
    <phoneticPr fontId="4" type="noConversion"/>
  </si>
  <si>
    <t>DNK08Z</t>
    <phoneticPr fontId="4" type="noConversion"/>
  </si>
  <si>
    <t>0426818096</t>
    <phoneticPr fontId="4" type="noConversion"/>
  </si>
  <si>
    <t>PCS</t>
    <phoneticPr fontId="4" type="noConversion"/>
  </si>
  <si>
    <t>B2 22045(1/6)</t>
    <phoneticPr fontId="4" type="noConversion"/>
  </si>
  <si>
    <t>7 - 9 - 2022</t>
    <phoneticPr fontId="4" type="noConversion"/>
  </si>
  <si>
    <t>KUROSH</t>
    <phoneticPr fontId="4" type="noConversion"/>
  </si>
  <si>
    <t>EED95K</t>
    <phoneticPr fontId="4" type="noConversion"/>
  </si>
  <si>
    <t>0408228252</t>
    <phoneticPr fontId="4" type="noConversion"/>
  </si>
  <si>
    <t>EKJ74X</t>
    <phoneticPr fontId="4" type="noConversion"/>
  </si>
  <si>
    <t>0452367828</t>
    <phoneticPr fontId="4" type="noConversion"/>
  </si>
  <si>
    <t>NCA15F</t>
    <phoneticPr fontId="4" type="noConversion"/>
  </si>
  <si>
    <t>0411139378</t>
    <phoneticPr fontId="4" type="noConversion"/>
  </si>
  <si>
    <t>B2 22078(1/6)</t>
    <phoneticPr fontId="4" type="noConversion"/>
  </si>
  <si>
    <t>JY2828</t>
    <phoneticPr fontId="4" type="noConversion"/>
  </si>
  <si>
    <t>B2 22078(2/6)</t>
    <phoneticPr fontId="4" type="noConversion"/>
  </si>
  <si>
    <t>CTB27N</t>
    <phoneticPr fontId="4" type="noConversion"/>
  </si>
  <si>
    <t>0404021633</t>
    <phoneticPr fontId="4" type="noConversion"/>
  </si>
  <si>
    <t>ESS70G</t>
    <phoneticPr fontId="4" type="noConversion"/>
  </si>
  <si>
    <t>0424384598</t>
    <phoneticPr fontId="4" type="noConversion"/>
  </si>
  <si>
    <t>B2 22002(5/6)</t>
    <phoneticPr fontId="4" type="noConversion"/>
  </si>
  <si>
    <t>EVX73Q</t>
    <phoneticPr fontId="4" type="noConversion"/>
  </si>
  <si>
    <t>0402798302</t>
    <phoneticPr fontId="4" type="noConversion"/>
  </si>
  <si>
    <t>DJY94M</t>
    <phoneticPr fontId="4" type="noConversion"/>
  </si>
  <si>
    <t>0418140834</t>
    <phoneticPr fontId="4" type="noConversion"/>
  </si>
  <si>
    <t>DKS29V</t>
    <phoneticPr fontId="4" type="noConversion"/>
  </si>
  <si>
    <t>0406356863</t>
    <phoneticPr fontId="4" type="noConversion"/>
  </si>
  <si>
    <t>CJH67R</t>
    <phoneticPr fontId="4" type="noConversion"/>
  </si>
  <si>
    <t>0412449620</t>
    <phoneticPr fontId="4" type="noConversion"/>
  </si>
  <si>
    <t>BSK81J</t>
    <phoneticPr fontId="4" type="noConversion"/>
  </si>
  <si>
    <t>0409220912</t>
    <phoneticPr fontId="4" type="noConversion"/>
  </si>
  <si>
    <t>JS336</t>
    <phoneticPr fontId="4" type="noConversion"/>
  </si>
  <si>
    <t>0419203905</t>
    <phoneticPr fontId="4" type="noConversion"/>
  </si>
  <si>
    <t>JD2634</t>
    <phoneticPr fontId="4" type="noConversion"/>
  </si>
  <si>
    <t>0417092220</t>
    <phoneticPr fontId="4" type="noConversion"/>
  </si>
  <si>
    <t>CYX80N</t>
    <phoneticPr fontId="4" type="noConversion"/>
  </si>
  <si>
    <t>0431544928</t>
    <phoneticPr fontId="4" type="noConversion"/>
  </si>
  <si>
    <t>CHARLIE</t>
    <phoneticPr fontId="4" type="noConversion"/>
  </si>
  <si>
    <t>NDW022</t>
    <phoneticPr fontId="4" type="noConversion"/>
  </si>
  <si>
    <t>0448459711</t>
    <phoneticPr fontId="4" type="noConversion"/>
  </si>
  <si>
    <t>ERW68X</t>
    <phoneticPr fontId="4" type="noConversion"/>
  </si>
  <si>
    <t>0410626003</t>
    <phoneticPr fontId="4" type="noConversion"/>
  </si>
  <si>
    <t>21038(6/6)</t>
    <phoneticPr fontId="4" type="noConversion"/>
  </si>
  <si>
    <t>chris voucher</t>
    <phoneticPr fontId="4" type="noConversion"/>
  </si>
  <si>
    <t>08-09-2022</t>
    <phoneticPr fontId="4" type="noConversion"/>
  </si>
  <si>
    <t>ERB29F</t>
    <phoneticPr fontId="4" type="noConversion"/>
  </si>
  <si>
    <t>0428086896</t>
    <phoneticPr fontId="4" type="noConversion"/>
  </si>
  <si>
    <t>20220600, 202205032</t>
    <phoneticPr fontId="4" type="noConversion"/>
  </si>
  <si>
    <t>JC438</t>
    <phoneticPr fontId="4" type="noConversion"/>
  </si>
  <si>
    <t>0406120826</t>
    <phoneticPr fontId="4" type="noConversion"/>
  </si>
  <si>
    <t>21122810(4/6)</t>
    <phoneticPr fontId="4" type="noConversion"/>
  </si>
  <si>
    <t>ET068M</t>
    <phoneticPr fontId="4" type="noConversion"/>
  </si>
  <si>
    <t>0431133102</t>
    <phoneticPr fontId="4" type="noConversion"/>
  </si>
  <si>
    <t>CLB30E</t>
    <phoneticPr fontId="4" type="noConversion"/>
  </si>
  <si>
    <t>0434022699</t>
    <phoneticPr fontId="4" type="noConversion"/>
  </si>
  <si>
    <t>22029(4/6)</t>
    <phoneticPr fontId="4" type="noConversion"/>
  </si>
  <si>
    <t>AZL292</t>
    <phoneticPr fontId="4" type="noConversion"/>
  </si>
  <si>
    <t>0408617100</t>
    <phoneticPr fontId="4" type="noConversion"/>
  </si>
  <si>
    <t>IU999</t>
    <phoneticPr fontId="4" type="noConversion"/>
  </si>
  <si>
    <t>0448526888</t>
    <phoneticPr fontId="4" type="noConversion"/>
  </si>
  <si>
    <t>22040(2/6)</t>
    <phoneticPr fontId="4" type="noConversion"/>
  </si>
  <si>
    <t>BMD250</t>
    <phoneticPr fontId="4" type="noConversion"/>
  </si>
  <si>
    <t>0438545914</t>
    <phoneticPr fontId="4" type="noConversion"/>
  </si>
  <si>
    <t>BZB84A</t>
    <phoneticPr fontId="4" type="noConversion"/>
  </si>
  <si>
    <t>0408969223</t>
    <phoneticPr fontId="4" type="noConversion"/>
  </si>
  <si>
    <t>CZY84F</t>
    <phoneticPr fontId="4" type="noConversion"/>
  </si>
  <si>
    <t>?????</t>
    <phoneticPr fontId="4" type="noConversion"/>
  </si>
  <si>
    <t>NBX20K</t>
    <phoneticPr fontId="4" type="noConversion"/>
  </si>
  <si>
    <t>0407410544</t>
    <phoneticPr fontId="4" type="noConversion"/>
  </si>
  <si>
    <t>EHB59L</t>
    <phoneticPr fontId="4" type="noConversion"/>
  </si>
  <si>
    <t>0419269458</t>
    <phoneticPr fontId="4" type="noConversion"/>
  </si>
  <si>
    <t>DAU80J</t>
    <phoneticPr fontId="4" type="noConversion"/>
  </si>
  <si>
    <t>0419986528</t>
    <phoneticPr fontId="4" type="noConversion"/>
  </si>
  <si>
    <t>NBX09V</t>
    <phoneticPr fontId="4" type="noConversion"/>
  </si>
  <si>
    <t>0416875988</t>
    <phoneticPr fontId="4" type="noConversion"/>
  </si>
  <si>
    <t>DPZ55H</t>
    <phoneticPr fontId="4" type="noConversion"/>
  </si>
  <si>
    <t>0475016555</t>
    <phoneticPr fontId="4" type="noConversion"/>
  </si>
  <si>
    <t>EJN62A</t>
    <phoneticPr fontId="4" type="noConversion"/>
  </si>
  <si>
    <t>0408244243</t>
    <phoneticPr fontId="4" type="noConversion"/>
  </si>
  <si>
    <t>DISC $5</t>
    <phoneticPr fontId="4" type="noConversion"/>
  </si>
  <si>
    <t>BJU06A</t>
    <phoneticPr fontId="4" type="noConversion"/>
  </si>
  <si>
    <t>0403133676</t>
    <phoneticPr fontId="4" type="noConversion"/>
  </si>
  <si>
    <t>040143734</t>
    <phoneticPr fontId="4" type="noConversion"/>
  </si>
  <si>
    <t>CDA47Z</t>
    <phoneticPr fontId="4" type="noConversion"/>
  </si>
  <si>
    <t>0426646769</t>
    <phoneticPr fontId="4" type="noConversion"/>
  </si>
  <si>
    <t>0425365529</t>
    <phoneticPr fontId="4" type="noConversion"/>
  </si>
  <si>
    <t>ERR86N</t>
    <phoneticPr fontId="4" type="noConversion"/>
  </si>
  <si>
    <t>22046(1/6)</t>
    <phoneticPr fontId="4" type="noConversion"/>
  </si>
  <si>
    <t>NBF78H</t>
    <phoneticPr fontId="4" type="noConversion"/>
  </si>
  <si>
    <t>0412397727</t>
    <phoneticPr fontId="4" type="noConversion"/>
  </si>
  <si>
    <t>9 - 9 - 2020</t>
    <phoneticPr fontId="4" type="noConversion"/>
  </si>
  <si>
    <t>SHOWER</t>
    <phoneticPr fontId="4" type="noConversion"/>
  </si>
  <si>
    <t>ERY51B</t>
    <phoneticPr fontId="4" type="noConversion"/>
  </si>
  <si>
    <t>0407770517</t>
    <phoneticPr fontId="4" type="noConversion"/>
  </si>
  <si>
    <t>WHEEL &amp; WINDOW</t>
    <phoneticPr fontId="4" type="noConversion"/>
  </si>
  <si>
    <t>EEQ91C</t>
    <phoneticPr fontId="4" type="noConversion"/>
  </si>
  <si>
    <t>0405357559</t>
    <phoneticPr fontId="4" type="noConversion"/>
  </si>
  <si>
    <t>JM99</t>
    <phoneticPr fontId="4" type="noConversion"/>
  </si>
  <si>
    <t>0450109599</t>
    <phoneticPr fontId="4" type="noConversion"/>
  </si>
  <si>
    <t>ETI70T</t>
    <phoneticPr fontId="4" type="noConversion"/>
  </si>
  <si>
    <t>0403090066</t>
    <phoneticPr fontId="4" type="noConversion"/>
  </si>
  <si>
    <t>XD50-101</t>
    <phoneticPr fontId="4" type="noConversion"/>
  </si>
  <si>
    <t>EUB21L</t>
    <phoneticPr fontId="4" type="noConversion"/>
  </si>
  <si>
    <t>0406073389</t>
    <phoneticPr fontId="4" type="noConversion"/>
  </si>
  <si>
    <t>88NONO</t>
    <phoneticPr fontId="4" type="noConversion"/>
  </si>
  <si>
    <t>0430096287</t>
    <phoneticPr fontId="4" type="noConversion"/>
  </si>
  <si>
    <t>GV1</t>
    <phoneticPr fontId="4" type="noConversion"/>
  </si>
  <si>
    <t>192670(5-6/6)</t>
    <phoneticPr fontId="4" type="noConversion"/>
  </si>
  <si>
    <t>0419190446</t>
    <phoneticPr fontId="4" type="noConversion"/>
  </si>
  <si>
    <t>DBI12C</t>
    <phoneticPr fontId="4" type="noConversion"/>
  </si>
  <si>
    <t>0404479199</t>
    <phoneticPr fontId="4" type="noConversion"/>
  </si>
  <si>
    <t>22047(1/6)</t>
    <phoneticPr fontId="4" type="noConversion"/>
  </si>
  <si>
    <t>10-09-2022</t>
    <phoneticPr fontId="4" type="noConversion"/>
  </si>
  <si>
    <t>KAVIN</t>
    <phoneticPr fontId="4" type="noConversion"/>
  </si>
  <si>
    <t>EGY97R</t>
    <phoneticPr fontId="4" type="noConversion"/>
  </si>
  <si>
    <t>0413773588</t>
    <phoneticPr fontId="4" type="noConversion"/>
  </si>
  <si>
    <t>M</t>
  </si>
  <si>
    <t>EKP02D</t>
    <phoneticPr fontId="4" type="noConversion"/>
  </si>
  <si>
    <t>0403706803</t>
    <phoneticPr fontId="4" type="noConversion"/>
  </si>
  <si>
    <t>EBP60T</t>
    <phoneticPr fontId="4" type="noConversion"/>
  </si>
  <si>
    <t>0413850455</t>
    <phoneticPr fontId="4" type="noConversion"/>
  </si>
  <si>
    <t>ETS02W</t>
    <phoneticPr fontId="4" type="noConversion"/>
  </si>
  <si>
    <t>0409876551</t>
    <phoneticPr fontId="4" type="noConversion"/>
  </si>
  <si>
    <t>DKB03G</t>
    <phoneticPr fontId="4" type="noConversion"/>
  </si>
  <si>
    <t>0447728789</t>
    <phoneticPr fontId="4" type="noConversion"/>
  </si>
  <si>
    <t>DMW78A</t>
    <phoneticPr fontId="4" type="noConversion"/>
  </si>
  <si>
    <t>0438601799</t>
    <phoneticPr fontId="4" type="noConversion"/>
  </si>
  <si>
    <t>NPN956</t>
    <phoneticPr fontId="4" type="noConversion"/>
  </si>
  <si>
    <t>0401380370</t>
    <phoneticPr fontId="4" type="noConversion"/>
  </si>
  <si>
    <t>W222</t>
    <phoneticPr fontId="4" type="noConversion"/>
  </si>
  <si>
    <t>0404651215</t>
    <phoneticPr fontId="4" type="noConversion"/>
  </si>
  <si>
    <t>ETS01X</t>
    <phoneticPr fontId="4" type="noConversion"/>
  </si>
  <si>
    <t>0427535361</t>
    <phoneticPr fontId="4" type="noConversion"/>
  </si>
  <si>
    <t>DJP71U</t>
    <phoneticPr fontId="4" type="noConversion"/>
  </si>
  <si>
    <t>0422847376</t>
    <phoneticPr fontId="4" type="noConversion"/>
  </si>
  <si>
    <t>D/ST</t>
    <phoneticPr fontId="4" type="noConversion"/>
  </si>
  <si>
    <t>NBU93G</t>
    <phoneticPr fontId="4" type="noConversion"/>
  </si>
  <si>
    <t>0405385151</t>
    <phoneticPr fontId="4" type="noConversion"/>
  </si>
  <si>
    <t>DWX12C</t>
    <phoneticPr fontId="4" type="noConversion"/>
  </si>
  <si>
    <t>0438723655</t>
    <phoneticPr fontId="4" type="noConversion"/>
  </si>
  <si>
    <t>22018(3/6)</t>
    <phoneticPr fontId="4" type="noConversion"/>
  </si>
  <si>
    <t>ARI025</t>
    <phoneticPr fontId="4" type="noConversion"/>
  </si>
  <si>
    <t>0414340967</t>
    <phoneticPr fontId="4" type="noConversion"/>
  </si>
  <si>
    <t>ERF78A</t>
    <phoneticPr fontId="4" type="noConversion"/>
  </si>
  <si>
    <t>0432015255</t>
    <phoneticPr fontId="4" type="noConversion"/>
  </si>
  <si>
    <t>22044(2/6)</t>
    <phoneticPr fontId="4" type="noConversion"/>
  </si>
  <si>
    <t>CQH91Y</t>
    <phoneticPr fontId="4" type="noConversion"/>
  </si>
  <si>
    <t>0450221839</t>
    <phoneticPr fontId="4" type="noConversion"/>
  </si>
  <si>
    <t>DZI89B</t>
    <phoneticPr fontId="4" type="noConversion"/>
  </si>
  <si>
    <t>0408160935</t>
    <phoneticPr fontId="4" type="noConversion"/>
  </si>
  <si>
    <t>DCS06A</t>
    <phoneticPr fontId="4" type="noConversion"/>
  </si>
  <si>
    <t>0421173077</t>
    <phoneticPr fontId="4" type="noConversion"/>
  </si>
  <si>
    <t>22001(3/6)</t>
    <phoneticPr fontId="4" type="noConversion"/>
  </si>
  <si>
    <t>EGD23V</t>
    <phoneticPr fontId="4" type="noConversion"/>
  </si>
  <si>
    <t>0432421428</t>
    <phoneticPr fontId="4" type="noConversion"/>
  </si>
  <si>
    <t>2112065(4/6)</t>
    <phoneticPr fontId="4" type="noConversion"/>
  </si>
  <si>
    <t>CT04AS</t>
    <phoneticPr fontId="4" type="noConversion"/>
  </si>
  <si>
    <t>0418439481</t>
    <phoneticPr fontId="4" type="noConversion"/>
  </si>
  <si>
    <t>EIL30W</t>
    <phoneticPr fontId="4" type="noConversion"/>
  </si>
  <si>
    <t>0415799098</t>
    <phoneticPr fontId="4" type="noConversion"/>
  </si>
  <si>
    <t>GAB377</t>
    <phoneticPr fontId="4" type="noConversion"/>
  </si>
  <si>
    <t>0402407412</t>
    <phoneticPr fontId="4" type="noConversion"/>
  </si>
  <si>
    <t>ETV76N</t>
    <phoneticPr fontId="4" type="noConversion"/>
  </si>
  <si>
    <t>0438587079</t>
    <phoneticPr fontId="4" type="noConversion"/>
  </si>
  <si>
    <t>CT351</t>
    <phoneticPr fontId="4" type="noConversion"/>
  </si>
  <si>
    <t>0424081062</t>
    <phoneticPr fontId="4" type="noConversion"/>
  </si>
  <si>
    <t>EKD08N</t>
    <phoneticPr fontId="4" type="noConversion"/>
  </si>
  <si>
    <t>0412511442</t>
    <phoneticPr fontId="4" type="noConversion"/>
  </si>
  <si>
    <t>HARLLY</t>
    <phoneticPr fontId="4" type="noConversion"/>
  </si>
  <si>
    <t>0499999388</t>
    <phoneticPr fontId="4" type="noConversion"/>
  </si>
  <si>
    <t>CVR88U</t>
    <phoneticPr fontId="4" type="noConversion"/>
  </si>
  <si>
    <t>0419592155</t>
    <phoneticPr fontId="4" type="noConversion"/>
  </si>
  <si>
    <t>DGG70Q</t>
    <phoneticPr fontId="4" type="noConversion"/>
  </si>
  <si>
    <t>0431155888</t>
    <phoneticPr fontId="4" type="noConversion"/>
  </si>
  <si>
    <t>22048(1/6)</t>
    <phoneticPr fontId="4" type="noConversion"/>
  </si>
  <si>
    <t>SUVASH</t>
    <phoneticPr fontId="4" type="noConversion"/>
  </si>
  <si>
    <t>Darryleenne octec</t>
  </si>
  <si>
    <t>11-09-2022</t>
    <phoneticPr fontId="4" type="noConversion"/>
  </si>
  <si>
    <t>KEVIN</t>
    <phoneticPr fontId="4" type="noConversion"/>
  </si>
  <si>
    <t>KADAM</t>
    <phoneticPr fontId="4" type="noConversion"/>
  </si>
  <si>
    <t>DARYLENNE OCTEC</t>
    <phoneticPr fontId="4" type="noConversion"/>
  </si>
  <si>
    <t>EJO88U</t>
    <phoneticPr fontId="4" type="noConversion"/>
  </si>
  <si>
    <t>0491126888</t>
    <phoneticPr fontId="4" type="noConversion"/>
  </si>
  <si>
    <t>220116(4/6)</t>
    <phoneticPr fontId="4" type="noConversion"/>
  </si>
  <si>
    <t>DCO37Z</t>
    <phoneticPr fontId="4" type="noConversion"/>
  </si>
  <si>
    <t>0467711120</t>
    <phoneticPr fontId="4" type="noConversion"/>
  </si>
  <si>
    <t>EKY888</t>
    <phoneticPr fontId="4" type="noConversion"/>
  </si>
  <si>
    <t>0410407757</t>
    <phoneticPr fontId="4" type="noConversion"/>
  </si>
  <si>
    <t>OOSHRI</t>
    <phoneticPr fontId="4" type="noConversion"/>
  </si>
  <si>
    <t>0452452365</t>
    <phoneticPr fontId="4" type="noConversion"/>
  </si>
  <si>
    <t>W/H</t>
    <phoneticPr fontId="4" type="noConversion"/>
  </si>
  <si>
    <t>DGQ86M</t>
    <phoneticPr fontId="4" type="noConversion"/>
  </si>
  <si>
    <t>0411832570</t>
    <phoneticPr fontId="4" type="noConversion"/>
  </si>
  <si>
    <t>21027(6/6),22049(NEW)</t>
    <phoneticPr fontId="4" type="noConversion"/>
  </si>
  <si>
    <t>JM064</t>
    <phoneticPr fontId="4" type="noConversion"/>
  </si>
  <si>
    <t>0413948745</t>
    <phoneticPr fontId="4" type="noConversion"/>
  </si>
  <si>
    <t>ECE62J</t>
    <phoneticPr fontId="4" type="noConversion"/>
  </si>
  <si>
    <t>0410481216</t>
    <phoneticPr fontId="4" type="noConversion"/>
  </si>
  <si>
    <t>AU158G</t>
    <phoneticPr fontId="4" type="noConversion"/>
  </si>
  <si>
    <t>DYR32X</t>
    <phoneticPr fontId="4" type="noConversion"/>
  </si>
  <si>
    <t>0416571660</t>
    <phoneticPr fontId="4" type="noConversion"/>
  </si>
  <si>
    <t>ETF70F</t>
    <phoneticPr fontId="4" type="noConversion"/>
  </si>
  <si>
    <t>0414407275</t>
    <phoneticPr fontId="4" type="noConversion"/>
  </si>
  <si>
    <t>DPU83Q</t>
    <phoneticPr fontId="4" type="noConversion"/>
  </si>
  <si>
    <t>0407929656</t>
    <phoneticPr fontId="4" type="noConversion"/>
  </si>
  <si>
    <t>EAA74L</t>
    <phoneticPr fontId="4" type="noConversion"/>
  </si>
  <si>
    <t>0414526383</t>
    <phoneticPr fontId="4" type="noConversion"/>
  </si>
  <si>
    <t>DB52CB</t>
    <phoneticPr fontId="4" type="noConversion"/>
  </si>
  <si>
    <t>AEA42L</t>
    <phoneticPr fontId="4" type="noConversion"/>
  </si>
  <si>
    <t>0421969786</t>
    <phoneticPr fontId="4" type="noConversion"/>
  </si>
  <si>
    <t>DKE52L</t>
    <phoneticPr fontId="4" type="noConversion"/>
  </si>
  <si>
    <t>0414686973</t>
    <phoneticPr fontId="4" type="noConversion"/>
  </si>
  <si>
    <t>????</t>
    <phoneticPr fontId="4" type="noConversion"/>
  </si>
  <si>
    <t>BDH11V</t>
    <phoneticPr fontId="4" type="noConversion"/>
  </si>
  <si>
    <t>0498352671</t>
    <phoneticPr fontId="4" type="noConversion"/>
  </si>
  <si>
    <t>EIG10G</t>
    <phoneticPr fontId="4" type="noConversion"/>
  </si>
  <si>
    <t>0452541507</t>
    <phoneticPr fontId="4" type="noConversion"/>
  </si>
  <si>
    <t>DNQ89R</t>
    <phoneticPr fontId="4" type="noConversion"/>
  </si>
  <si>
    <t>0402872914</t>
    <phoneticPr fontId="4" type="noConversion"/>
  </si>
  <si>
    <t>CVJ81H</t>
    <phoneticPr fontId="4" type="noConversion"/>
  </si>
  <si>
    <t>0411434969</t>
    <phoneticPr fontId="4" type="noConversion"/>
  </si>
  <si>
    <t>21016(4-6/6)</t>
    <phoneticPr fontId="4" type="noConversion"/>
  </si>
  <si>
    <t>2005(2/6)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</si>
</sst>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24" formatCode="\$#,##0_);[Red]\(\$#,##0\)"/>
    <numFmt numFmtId="26" formatCode="\$#,##0.00_);[Red]\(\$#,##0.00\)"/>
    <numFmt numFmtId="176" formatCode="_-&quot;₩&quot;* #,##0_-;\-&quot;₩&quot;* #,##0_-;_-&quot;₩&quot;* &quot;-&quot;_-;_-@_-"/>
    <numFmt numFmtId="177" formatCode="\$#,##0.00"/>
    <numFmt numFmtId="178" formatCode="h:mm;@"/>
    <numFmt numFmtId="179" formatCode="0.00_);[Red]\(0.00\)"/>
    <numFmt numFmtId="180" formatCode="0_);[Red]\(0\)"/>
    <numFmt numFmtId="181" formatCode="0.00_ "/>
    <numFmt numFmtId="182" formatCode="#,##0.0;[Red]#,##0.0"/>
    <numFmt numFmtId="183" formatCode="[$$-C09]#,##0.00"/>
    <numFmt numFmtId="184" formatCode="_-\$* #,##0.00_ ;_-\$* \-#,##0.00\ ;_-\$* &quot;-&quot;??_ ;_-@_ "/>
    <numFmt numFmtId="185" formatCode="#,##0.00_);[Red]\(#,##0.00\)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8" fillId="3" borderId="33" applyNumberFormat="0" applyAlignment="0" applyProtection="0">
      <alignment vertical="center"/>
    </xf>
    <xf numFmtId="176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</cellStyleXfs>
  <cellXfs count="743">
    <xf numFmtId="0" fontId="0" fillId="0" borderId="0" xfId="0"/>
    <xf numFmtId="0" fontId="0" fillId="0" borderId="10" xfId="0" applyBorder="1"/>
    <xf numFmtId="178" fontId="0" fillId="0" borderId="3" xfId="0" applyNumberFormat="1" applyBorder="1"/>
    <xf numFmtId="178" fontId="0" fillId="0" borderId="5" xfId="0" applyNumberFormat="1" applyBorder="1"/>
    <xf numFmtId="179" fontId="0" fillId="0" borderId="16" xfId="0" applyNumberFormat="1" applyBorder="1"/>
    <xf numFmtId="0" fontId="0" fillId="0" borderId="9" xfId="0" applyBorder="1"/>
    <xf numFmtId="178" fontId="0" fillId="0" borderId="1" xfId="0" applyNumberFormat="1" applyBorder="1"/>
    <xf numFmtId="178" fontId="0" fillId="0" borderId="2" xfId="0" applyNumberFormat="1" applyBorder="1"/>
    <xf numFmtId="179" fontId="0" fillId="0" borderId="15" xfId="0" applyNumberFormat="1" applyBorder="1"/>
    <xf numFmtId="0" fontId="0" fillId="0" borderId="25" xfId="0" applyBorder="1" applyAlignment="1">
      <alignment shrinkToFit="1"/>
    </xf>
    <xf numFmtId="178" fontId="0" fillId="0" borderId="25" xfId="0" applyNumberFormat="1" applyBorder="1" applyAlignment="1">
      <alignment shrinkToFit="1"/>
    </xf>
    <xf numFmtId="179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80" fontId="0" fillId="2" borderId="4" xfId="0" applyNumberForma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31" xfId="0" applyBorder="1" applyAlignment="1">
      <alignment shrinkToFit="1"/>
    </xf>
    <xf numFmtId="176" fontId="7" fillId="0" borderId="1" xfId="2" applyFont="1" applyFill="1" applyBorder="1" applyAlignment="1">
      <alignment vertical="center"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3" fontId="0" fillId="0" borderId="1" xfId="0" applyNumberFormat="1" applyBorder="1" applyAlignment="1">
      <alignment shrinkToFit="1"/>
    </xf>
    <xf numFmtId="0" fontId="0" fillId="0" borderId="1" xfId="0" applyBorder="1" applyAlignment="1">
      <alignment shrinkToFit="1"/>
    </xf>
    <xf numFmtId="183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3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8" fontId="0" fillId="2" borderId="4" xfId="0" applyNumberFormat="1" applyFill="1" applyBorder="1" applyAlignment="1">
      <alignment horizontal="center" shrinkToFit="1"/>
    </xf>
    <xf numFmtId="178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5" borderId="0" xfId="0" applyFill="1" applyAlignment="1">
      <alignment shrinkToFit="1"/>
    </xf>
    <xf numFmtId="183" fontId="0" fillId="0" borderId="0" xfId="0" applyNumberFormat="1" applyAlignment="1">
      <alignment shrinkToFit="1"/>
    </xf>
    <xf numFmtId="179" fontId="0" fillId="0" borderId="0" xfId="0" applyNumberFormat="1" applyAlignment="1">
      <alignment shrinkToFit="1"/>
    </xf>
    <xf numFmtId="0" fontId="0" fillId="0" borderId="0" xfId="0" applyAlignment="1">
      <alignment horizontal="left" shrinkToFit="1"/>
    </xf>
    <xf numFmtId="177" fontId="0" fillId="0" borderId="0" xfId="0" applyNumberFormat="1" applyAlignment="1">
      <alignment shrinkToFit="1"/>
    </xf>
    <xf numFmtId="26" fontId="0" fillId="0" borderId="0" xfId="0" applyNumberFormat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Alignment="1">
      <alignment horizontal="left" shrinkToFit="1"/>
    </xf>
    <xf numFmtId="181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3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182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181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8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9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7" fontId="7" fillId="0" borderId="1" xfId="0" applyNumberFormat="1" applyFont="1" applyBorder="1" applyAlignment="1">
      <alignment vertical="center" shrinkToFit="1"/>
    </xf>
    <xf numFmtId="177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9" fontId="5" fillId="6" borderId="12" xfId="0" applyNumberFormat="1" applyFont="1" applyFill="1" applyBorder="1" applyAlignment="1">
      <alignment shrinkToFit="1"/>
    </xf>
    <xf numFmtId="179" fontId="5" fillId="6" borderId="12" xfId="0" applyNumberFormat="1" applyFont="1" applyFill="1" applyBorder="1" applyAlignment="1">
      <alignment horizontal="center" shrinkToFit="1"/>
    </xf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9" fontId="5" fillId="6" borderId="41" xfId="0" applyNumberFormat="1" applyFont="1" applyFill="1" applyBorder="1" applyAlignment="1">
      <alignment horizontal="center" shrinkToFit="1"/>
    </xf>
    <xf numFmtId="179" fontId="16" fillId="2" borderId="1" xfId="3" applyNumberFormat="1" applyFont="1" applyFill="1" applyBorder="1" applyAlignment="1">
      <alignment horizontal="center" shrinkToFit="1"/>
    </xf>
    <xf numFmtId="179" fontId="0" fillId="2" borderId="1" xfId="0" applyNumberFormat="1" applyFill="1" applyBorder="1" applyAlignment="1">
      <alignment horizontal="center" shrinkToFit="1"/>
    </xf>
    <xf numFmtId="179" fontId="14" fillId="0" borderId="4" xfId="0" applyNumberFormat="1" applyFont="1" applyBorder="1" applyAlignment="1">
      <alignment horizontal="center" shrinkToFit="1"/>
    </xf>
    <xf numFmtId="179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80" fontId="14" fillId="6" borderId="50" xfId="0" applyNumberFormat="1" applyFont="1" applyFill="1" applyBorder="1" applyAlignment="1">
      <alignment horizontal="center" vertical="center" shrinkToFit="1"/>
    </xf>
    <xf numFmtId="180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77" fontId="5" fillId="6" borderId="13" xfId="0" applyNumberFormat="1" applyFont="1" applyFill="1" applyBorder="1" applyAlignment="1">
      <alignment horizontal="center" vertical="center" shrinkToFit="1"/>
    </xf>
    <xf numFmtId="177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1" fontId="5" fillId="6" borderId="1" xfId="0" applyNumberFormat="1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81" fontId="5" fillId="6" borderId="14" xfId="0" applyNumberFormat="1" applyFont="1" applyFill="1" applyBorder="1" applyAlignment="1">
      <alignment horizontal="center" shrinkToFit="1"/>
    </xf>
    <xf numFmtId="179" fontId="5" fillId="6" borderId="14" xfId="0" applyNumberFormat="1" applyFont="1" applyFill="1" applyBorder="1" applyAlignment="1">
      <alignment horizontal="center" shrinkToFit="1"/>
    </xf>
    <xf numFmtId="177" fontId="5" fillId="6" borderId="3" xfId="0" applyNumberFormat="1" applyFont="1" applyFill="1" applyBorder="1" applyAlignment="1">
      <alignment horizontal="center" shrinkToFit="1"/>
    </xf>
    <xf numFmtId="181" fontId="5" fillId="6" borderId="3" xfId="0" applyNumberFormat="1" applyFont="1" applyFill="1" applyBorder="1" applyAlignment="1">
      <alignment horizontal="center" shrinkToFit="1"/>
    </xf>
    <xf numFmtId="180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9" fontId="17" fillId="6" borderId="28" xfId="0" applyNumberFormat="1" applyFont="1" applyFill="1" applyBorder="1" applyAlignment="1">
      <alignment horizontal="center" vertical="center" shrinkToFit="1"/>
    </xf>
    <xf numFmtId="181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8" fontId="0" fillId="0" borderId="11" xfId="0" applyNumberFormat="1" applyBorder="1" applyAlignment="1">
      <alignment shrinkToFit="1"/>
    </xf>
    <xf numFmtId="179" fontId="0" fillId="0" borderId="38" xfId="0" applyNumberFormat="1" applyBorder="1" applyAlignment="1">
      <alignment shrinkToFit="1"/>
    </xf>
    <xf numFmtId="185" fontId="14" fillId="6" borderId="50" xfId="0" applyNumberFormat="1" applyFont="1" applyFill="1" applyBorder="1" applyAlignment="1">
      <alignment shrinkToFit="1"/>
    </xf>
    <xf numFmtId="180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9" fontId="16" fillId="0" borderId="1" xfId="3" applyNumberFormat="1" applyFont="1" applyFill="1" applyBorder="1" applyAlignment="1">
      <alignment horizontal="center" shrinkToFit="1"/>
    </xf>
    <xf numFmtId="179" fontId="2" fillId="0" borderId="4" xfId="0" applyNumberFormat="1" applyFont="1" applyBorder="1" applyAlignment="1">
      <alignment horizontal="center" shrinkToFit="1"/>
    </xf>
    <xf numFmtId="179" fontId="2" fillId="0" borderId="1" xfId="0" applyNumberFormat="1" applyFont="1" applyBorder="1" applyAlignment="1">
      <alignment horizontal="center" shrinkToFit="1"/>
    </xf>
    <xf numFmtId="179" fontId="16" fillId="2" borderId="4" xfId="0" applyNumberFormat="1" applyFont="1" applyFill="1" applyBorder="1" applyAlignment="1">
      <alignment horizontal="center"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9" fontId="2" fillId="6" borderId="4" xfId="0" applyNumberFormat="1" applyFont="1" applyFill="1" applyBorder="1" applyAlignment="1">
      <alignment horizontal="center" shrinkToFit="1"/>
    </xf>
    <xf numFmtId="179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80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80" fontId="7" fillId="0" borderId="28" xfId="0" applyNumberFormat="1" applyFont="1" applyBorder="1" applyAlignment="1">
      <alignment vertical="center" shrinkToFit="1"/>
    </xf>
    <xf numFmtId="179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9" fontId="5" fillId="6" borderId="48" xfId="0" applyNumberFormat="1" applyFont="1" applyFill="1" applyBorder="1" applyAlignment="1">
      <alignment vertical="center" shrinkToFit="1"/>
    </xf>
    <xf numFmtId="179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9" fontId="0" fillId="2" borderId="11" xfId="0" applyNumberFormat="1" applyFill="1" applyBorder="1" applyAlignment="1">
      <alignment horizontal="center" shrinkToFit="1"/>
    </xf>
    <xf numFmtId="179" fontId="16" fillId="0" borderId="40" xfId="0" applyNumberFormat="1" applyFont="1" applyBorder="1" applyAlignment="1">
      <alignment horizontal="center" shrinkToFit="1"/>
    </xf>
    <xf numFmtId="179" fontId="14" fillId="0" borderId="17" xfId="0" applyNumberFormat="1" applyFont="1" applyBorder="1" applyAlignment="1">
      <alignment shrinkToFit="1"/>
    </xf>
    <xf numFmtId="179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8" fontId="17" fillId="13" borderId="8" xfId="0" applyNumberFormat="1" applyFont="1" applyFill="1" applyBorder="1" applyAlignment="1">
      <alignment horizontal="center" shrinkToFit="1"/>
    </xf>
    <xf numFmtId="179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3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80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9" fontId="2" fillId="0" borderId="26" xfId="0" applyNumberFormat="1" applyFont="1" applyBorder="1" applyAlignment="1">
      <alignment horizontal="center" shrinkToFit="1"/>
    </xf>
    <xf numFmtId="179" fontId="16" fillId="0" borderId="61" xfId="3" applyNumberFormat="1" applyFont="1" applyFill="1" applyBorder="1" applyAlignment="1">
      <alignment horizontal="center" shrinkToFit="1"/>
    </xf>
    <xf numFmtId="180" fontId="7" fillId="0" borderId="39" xfId="0" applyNumberFormat="1" applyFont="1" applyBorder="1" applyAlignment="1">
      <alignment horizontal="left"/>
    </xf>
    <xf numFmtId="180" fontId="7" fillId="0" borderId="26" xfId="0" applyNumberFormat="1" applyFont="1" applyBorder="1" applyAlignment="1">
      <alignment horizontal="left"/>
    </xf>
    <xf numFmtId="180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9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9" fontId="24" fillId="2" borderId="4" xfId="4" applyNumberFormat="1" applyFill="1" applyBorder="1" applyAlignment="1">
      <alignment horizontal="center" shrinkToFit="1"/>
    </xf>
    <xf numFmtId="179" fontId="24" fillId="2" borderId="6" xfId="4" applyNumberFormat="1" applyFill="1" applyBorder="1" applyAlignment="1">
      <alignment horizontal="center" shrinkToFit="1"/>
    </xf>
    <xf numFmtId="179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4" fontId="21" fillId="6" borderId="45" xfId="0" applyNumberFormat="1" applyFont="1" applyFill="1" applyBorder="1" applyAlignment="1">
      <alignment horizontal="center" vertical="center" shrinkToFit="1"/>
    </xf>
    <xf numFmtId="184" fontId="21" fillId="6" borderId="0" xfId="0" applyNumberFormat="1" applyFont="1" applyFill="1" applyAlignment="1">
      <alignment horizontal="center" vertical="center" shrinkToFit="1"/>
    </xf>
    <xf numFmtId="184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4" fontId="21" fillId="10" borderId="45" xfId="0" applyNumberFormat="1" applyFont="1" applyFill="1" applyBorder="1" applyAlignment="1">
      <alignment horizontal="center" vertical="center" shrinkToFit="1"/>
    </xf>
    <xf numFmtId="184" fontId="21" fillId="10" borderId="0" xfId="0" applyNumberFormat="1" applyFont="1" applyFill="1" applyAlignment="1">
      <alignment horizontal="center" vertical="center" shrinkToFit="1"/>
    </xf>
    <xf numFmtId="184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4" fontId="21" fillId="7" borderId="45" xfId="0" applyNumberFormat="1" applyFont="1" applyFill="1" applyBorder="1" applyAlignment="1">
      <alignment horizontal="center" vertical="center" shrinkToFit="1"/>
    </xf>
    <xf numFmtId="184" fontId="21" fillId="7" borderId="0" xfId="0" applyNumberFormat="1" applyFont="1" applyFill="1" applyAlignment="1">
      <alignment horizontal="center" vertical="center" shrinkToFit="1"/>
    </xf>
    <xf numFmtId="184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4" fontId="21" fillId="11" borderId="6" xfId="0" applyNumberFormat="1" applyFont="1" applyFill="1" applyBorder="1" applyAlignment="1">
      <alignment horizontal="center" vertical="center" shrinkToFit="1"/>
    </xf>
    <xf numFmtId="184" fontId="21" fillId="11" borderId="37" xfId="0" applyNumberFormat="1" applyFont="1" applyFill="1" applyBorder="1" applyAlignment="1">
      <alignment horizontal="center" vertical="center" shrinkToFit="1"/>
    </xf>
    <xf numFmtId="184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24" fillId="14" borderId="19" xfId="4" applyBorder="1" applyAlignment="1">
      <alignment horizontal="center" shrinkToFit="1"/>
    </xf>
    <xf numFmtId="0" fontId="24" fillId="14" borderId="4" xfId="4" applyBorder="1" applyAlignment="1">
      <alignment horizontal="center" shrinkToFit="1"/>
    </xf>
    <xf numFmtId="0" fontId="24" fillId="14" borderId="1" xfId="4" applyBorder="1" applyAlignment="1">
      <alignment horizontal="left"/>
    </xf>
    <xf numFmtId="49" fontId="24" fillId="14" borderId="2" xfId="4" applyNumberFormat="1" applyBorder="1" applyAlignment="1">
      <alignment horizontal="left"/>
    </xf>
    <xf numFmtId="0" fontId="24" fillId="14" borderId="62" xfId="4" applyBorder="1" applyAlignment="1">
      <alignment horizontal="center" shrinkToFit="1"/>
    </xf>
    <xf numFmtId="180" fontId="24" fillId="14" borderId="26" xfId="4" applyNumberFormat="1" applyBorder="1" applyAlignment="1">
      <alignment horizontal="left"/>
    </xf>
    <xf numFmtId="179" fontId="24" fillId="14" borderId="4" xfId="4" applyNumberFormat="1" applyBorder="1" applyAlignment="1">
      <alignment horizontal="center" shrinkToFit="1"/>
    </xf>
    <xf numFmtId="179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0" fontId="24" fillId="14" borderId="9" xfId="4" applyBorder="1" applyAlignment="1">
      <alignment horizontal="center" shrinkToFit="1"/>
    </xf>
    <xf numFmtId="0" fontId="24" fillId="14" borderId="39" xfId="4" applyBorder="1" applyAlignment="1">
      <alignment horizontal="left" shrinkToFit="1"/>
    </xf>
    <xf numFmtId="49" fontId="24" fillId="14" borderId="37" xfId="4" applyNumberFormat="1" applyBorder="1" applyAlignment="1">
      <alignment horizontal="left" shrinkToFit="1"/>
    </xf>
    <xf numFmtId="0" fontId="24" fillId="14" borderId="39" xfId="4" applyBorder="1" applyAlignment="1">
      <alignment horizontal="left"/>
    </xf>
    <xf numFmtId="179" fontId="24" fillId="14" borderId="1" xfId="4" applyNumberFormat="1" applyBorder="1" applyAlignment="1">
      <alignment horizontal="center" shrinkToFit="1"/>
    </xf>
    <xf numFmtId="0" fontId="24" fillId="14" borderId="1" xfId="4" applyBorder="1" applyAlignment="1">
      <alignment horizontal="center" shrinkToFit="1"/>
    </xf>
    <xf numFmtId="49" fontId="24" fillId="14" borderId="2" xfId="4" applyNumberFormat="1" applyBorder="1" applyAlignment="1">
      <alignment horizontal="left" shrinkToFit="1"/>
    </xf>
    <xf numFmtId="179" fontId="16" fillId="2" borderId="4" xfId="0" applyNumberFormat="1" applyFont="1" applyFill="1" applyBorder="1" applyAlignment="1">
      <alignment horizontal="left" shrinkToFit="1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24" fillId="14" borderId="26" xfId="4" applyBorder="1" applyAlignment="1">
      <alignment horizontal="left" shrinkToFit="1"/>
    </xf>
    <xf numFmtId="0" fontId="30" fillId="2" borderId="1" xfId="0" applyFont="1" applyFill="1" applyBorder="1" applyAlignment="1">
      <alignment horizontal="left" shrinkToFit="1"/>
    </xf>
    <xf numFmtId="0" fontId="1" fillId="2" borderId="1" xfId="0" applyFont="1" applyFill="1" applyBorder="1" applyAlignment="1">
      <alignment horizontal="left" shrinkToFit="1"/>
    </xf>
    <xf numFmtId="0" fontId="24" fillId="14" borderId="4" xfId="4" applyBorder="1" applyAlignment="1">
      <alignment horizontal="left" shrinkToFit="1"/>
    </xf>
    <xf numFmtId="0" fontId="1" fillId="2" borderId="4" xfId="0" applyFont="1" applyFill="1" applyBorder="1" applyAlignment="1">
      <alignment horizontal="left" shrinkToFit="1"/>
    </xf>
    <xf numFmtId="0" fontId="24" fillId="14" borderId="26" xfId="4" applyBorder="1" applyAlignment="1">
      <alignment horizontal="left"/>
    </xf>
    <xf numFmtId="0" fontId="31" fillId="15" borderId="9" xfId="5" applyBorder="1" applyAlignment="1">
      <alignment shrinkToFit="1"/>
    </xf>
    <xf numFmtId="178" fontId="31" fillId="15" borderId="4" xfId="5" applyNumberFormat="1" applyBorder="1" applyAlignment="1">
      <alignment horizontal="center" shrinkToFit="1"/>
    </xf>
    <xf numFmtId="178" fontId="31" fillId="15" borderId="6" xfId="5" applyNumberFormat="1" applyBorder="1" applyAlignment="1">
      <alignment horizontal="center" shrinkToFit="1"/>
    </xf>
    <xf numFmtId="0" fontId="24" fillId="14" borderId="1" xfId="4" applyBorder="1" applyAlignment="1">
      <alignment horizontal="center" vertic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1" fontId="5" fillId="6" borderId="14" xfId="0" applyNumberFormat="1" applyFont="1" applyFill="1" applyBorder="1" applyAlignment="1">
      <alignment horizontal="center" vertical="center" shrinkToFit="1"/>
    </xf>
    <xf numFmtId="181" fontId="5" fillId="6" borderId="1" xfId="0" applyNumberFormat="1" applyFont="1" applyFill="1" applyBorder="1" applyAlignment="1">
      <alignment horizontal="center" vertical="center" shrinkToFit="1"/>
    </xf>
    <xf numFmtId="181" fontId="5" fillId="6" borderId="3" xfId="0" applyNumberFormat="1" applyFont="1" applyFill="1" applyBorder="1" applyAlignment="1">
      <alignment horizontal="center" vertical="center" shrinkToFit="1"/>
    </xf>
    <xf numFmtId="179" fontId="5" fillId="6" borderId="14" xfId="0" applyNumberFormat="1" applyFont="1" applyFill="1" applyBorder="1" applyAlignment="1">
      <alignment horizontal="center" vertical="center" shrinkToFit="1"/>
    </xf>
    <xf numFmtId="179" fontId="5" fillId="6" borderId="1" xfId="0" applyNumberFormat="1" applyFont="1" applyFill="1" applyBorder="1" applyAlignment="1">
      <alignment horizontal="center" vertical="center" shrinkToFit="1"/>
    </xf>
    <xf numFmtId="179" fontId="5" fillId="6" borderId="3" xfId="0" applyNumberFormat="1" applyFont="1" applyFill="1" applyBorder="1" applyAlignment="1">
      <alignment horizontal="center" vertical="center" shrinkToFit="1"/>
    </xf>
    <xf numFmtId="179" fontId="5" fillId="6" borderId="28" xfId="0" applyNumberFormat="1" applyFont="1" applyFill="1" applyBorder="1" applyAlignment="1">
      <alignment horizontal="center" vertical="center" shrinkToFit="1"/>
    </xf>
    <xf numFmtId="179" fontId="5" fillId="6" borderId="15" xfId="0" applyNumberFormat="1" applyFont="1" applyFill="1" applyBorder="1" applyAlignment="1">
      <alignment horizontal="center" vertical="center" shrinkToFit="1"/>
    </xf>
    <xf numFmtId="179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80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9" fontId="17" fillId="6" borderId="25" xfId="0" applyNumberFormat="1" applyFont="1" applyFill="1" applyBorder="1" applyAlignment="1">
      <alignment horizontal="center" vertical="center" shrinkToFit="1"/>
    </xf>
    <xf numFmtId="179" fontId="17" fillId="6" borderId="24" xfId="0" applyNumberFormat="1" applyFont="1" applyFill="1" applyBorder="1" applyAlignment="1">
      <alignment horizontal="center" vertical="center" shrinkToFit="1"/>
    </xf>
    <xf numFmtId="179" fontId="17" fillId="6" borderId="22" xfId="0" applyNumberFormat="1" applyFont="1" applyFill="1" applyBorder="1" applyAlignment="1">
      <alignment horizontal="center" vertical="center" shrinkToFit="1"/>
    </xf>
    <xf numFmtId="179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177" fontId="14" fillId="0" borderId="0" xfId="0" applyNumberFormat="1" applyFont="1" applyAlignment="1">
      <alignment horizontal="center" shrinkToFit="1"/>
    </xf>
    <xf numFmtId="26" fontId="14" fillId="0" borderId="0" xfId="0" applyNumberFormat="1" applyFont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80" fontId="5" fillId="6" borderId="53" xfId="0" applyNumberFormat="1" applyFont="1" applyFill="1" applyBorder="1" applyAlignment="1">
      <alignment horizontal="center" vertical="center" shrinkToFit="1"/>
    </xf>
    <xf numFmtId="180" fontId="5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24" fillId="14" borderId="2" xfId="4" applyBorder="1" applyAlignment="1">
      <alignment horizontal="center" vertical="center" shrinkToFit="1"/>
    </xf>
    <xf numFmtId="0" fontId="24" fillId="14" borderId="29" xfId="4" applyBorder="1" applyAlignment="1">
      <alignment horizontal="center" vertical="center" shrinkToFit="1"/>
    </xf>
    <xf numFmtId="0" fontId="24" fillId="14" borderId="17" xfId="4" applyBorder="1" applyAlignment="1">
      <alignment horizontal="center" vertic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4" fontId="21" fillId="0" borderId="1" xfId="0" applyNumberFormat="1" applyFont="1" applyBorder="1" applyAlignment="1">
      <alignment horizontal="center" vertical="center" shrinkToFit="1"/>
    </xf>
    <xf numFmtId="184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184" fontId="21" fillId="12" borderId="5" xfId="0" applyNumberFormat="1" applyFont="1" applyFill="1" applyBorder="1" applyAlignment="1">
      <alignment horizontal="center" vertical="center" shrinkToFit="1"/>
    </xf>
    <xf numFmtId="184" fontId="21" fillId="12" borderId="56" xfId="0" applyNumberFormat="1" applyFont="1" applyFill="1" applyBorder="1" applyAlignment="1">
      <alignment horizontal="center" vertical="center" shrinkToFit="1"/>
    </xf>
    <xf numFmtId="184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7" fontId="21" fillId="0" borderId="1" xfId="0" applyNumberFormat="1" applyFont="1" applyBorder="1" applyAlignment="1">
      <alignment horizontal="center" vertical="center" shrinkToFit="1"/>
    </xf>
    <xf numFmtId="177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7" fontId="21" fillId="0" borderId="15" xfId="0" applyNumberFormat="1" applyFont="1" applyBorder="1" applyAlignment="1">
      <alignment horizontal="center" vertical="center" shrinkToFit="1"/>
    </xf>
    <xf numFmtId="177" fontId="21" fillId="0" borderId="16" xfId="0" applyNumberFormat="1" applyFont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177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4" fontId="21" fillId="11" borderId="30" xfId="0" applyNumberFormat="1" applyFont="1" applyFill="1" applyBorder="1" applyAlignment="1">
      <alignment horizontal="center" vertical="center" shrinkToFit="1"/>
    </xf>
    <xf numFmtId="184" fontId="21" fillId="11" borderId="43" xfId="0" applyNumberFormat="1" applyFont="1" applyFill="1" applyBorder="1" applyAlignment="1">
      <alignment horizontal="center" vertical="center" shrinkToFit="1"/>
    </xf>
    <xf numFmtId="184" fontId="21" fillId="11" borderId="44" xfId="0" applyNumberFormat="1" applyFont="1" applyFill="1" applyBorder="1" applyAlignment="1">
      <alignment horizontal="center" vertical="center" shrinkToFit="1"/>
    </xf>
    <xf numFmtId="184" fontId="21" fillId="11" borderId="45" xfId="0" applyNumberFormat="1" applyFont="1" applyFill="1" applyBorder="1" applyAlignment="1">
      <alignment horizontal="center" vertical="center" shrinkToFit="1"/>
    </xf>
    <xf numFmtId="184" fontId="21" fillId="11" borderId="0" xfId="0" applyNumberFormat="1" applyFont="1" applyFill="1" applyAlignment="1">
      <alignment horizontal="center" vertical="center" shrinkToFit="1"/>
    </xf>
    <xf numFmtId="184" fontId="21" fillId="11" borderId="46" xfId="0" applyNumberFormat="1" applyFont="1" applyFill="1" applyBorder="1" applyAlignment="1">
      <alignment horizontal="center" vertical="center" shrinkToFit="1"/>
    </xf>
    <xf numFmtId="184" fontId="21" fillId="11" borderId="6" xfId="0" applyNumberFormat="1" applyFont="1" applyFill="1" applyBorder="1" applyAlignment="1">
      <alignment horizontal="center" vertical="center" shrinkToFit="1"/>
    </xf>
    <xf numFmtId="184" fontId="21" fillId="11" borderId="37" xfId="0" applyNumberFormat="1" applyFont="1" applyFill="1" applyBorder="1" applyAlignment="1">
      <alignment horizontal="center" vertical="center" shrinkToFit="1"/>
    </xf>
    <xf numFmtId="184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7" fontId="5" fillId="11" borderId="1" xfId="0" applyNumberFormat="1" applyFont="1" applyFill="1" applyBorder="1" applyAlignment="1">
      <alignment horizontal="center" vertical="center" shrinkToFit="1"/>
    </xf>
    <xf numFmtId="177" fontId="5" fillId="10" borderId="2" xfId="0" applyNumberFormat="1" applyFont="1" applyFill="1" applyBorder="1" applyAlignment="1">
      <alignment horizontal="center" vertical="center" shrinkToFit="1"/>
    </xf>
    <xf numFmtId="177" fontId="5" fillId="10" borderId="29" xfId="0" applyNumberFormat="1" applyFont="1" applyFill="1" applyBorder="1" applyAlignment="1">
      <alignment horizontal="center" vertical="center" shrinkToFit="1"/>
    </xf>
    <xf numFmtId="177" fontId="5" fillId="10" borderId="26" xfId="0" applyNumberFormat="1" applyFont="1" applyFill="1" applyBorder="1" applyAlignment="1">
      <alignment horizontal="center" vertical="center" shrinkToFit="1"/>
    </xf>
    <xf numFmtId="177" fontId="5" fillId="7" borderId="2" xfId="0" applyNumberFormat="1" applyFont="1" applyFill="1" applyBorder="1" applyAlignment="1">
      <alignment horizontal="center" vertical="center" shrinkToFit="1"/>
    </xf>
    <xf numFmtId="177" fontId="5" fillId="7" borderId="29" xfId="0" applyNumberFormat="1" applyFont="1" applyFill="1" applyBorder="1" applyAlignment="1">
      <alignment horizontal="center" vertical="center" shrinkToFit="1"/>
    </xf>
    <xf numFmtId="177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4" fontId="21" fillId="7" borderId="30" xfId="0" applyNumberFormat="1" applyFont="1" applyFill="1" applyBorder="1" applyAlignment="1">
      <alignment horizontal="center" vertical="center" shrinkToFit="1"/>
    </xf>
    <xf numFmtId="184" fontId="21" fillId="7" borderId="43" xfId="0" applyNumberFormat="1" applyFont="1" applyFill="1" applyBorder="1" applyAlignment="1">
      <alignment horizontal="center" vertical="center" shrinkToFit="1"/>
    </xf>
    <xf numFmtId="184" fontId="21" fillId="7" borderId="44" xfId="0" applyNumberFormat="1" applyFont="1" applyFill="1" applyBorder="1" applyAlignment="1">
      <alignment horizontal="center" vertical="center" shrinkToFit="1"/>
    </xf>
    <xf numFmtId="184" fontId="21" fillId="7" borderId="45" xfId="0" applyNumberFormat="1" applyFont="1" applyFill="1" applyBorder="1" applyAlignment="1">
      <alignment horizontal="center" vertical="center" shrinkToFit="1"/>
    </xf>
    <xf numFmtId="184" fontId="21" fillId="7" borderId="0" xfId="0" applyNumberFormat="1" applyFont="1" applyFill="1" applyAlignment="1">
      <alignment horizontal="center" vertical="center" shrinkToFit="1"/>
    </xf>
    <xf numFmtId="184" fontId="21" fillId="7" borderId="46" xfId="0" applyNumberFormat="1" applyFont="1" applyFill="1" applyBorder="1" applyAlignment="1">
      <alignment horizontal="center" vertical="center" shrinkToFit="1"/>
    </xf>
    <xf numFmtId="184" fontId="21" fillId="7" borderId="6" xfId="0" applyNumberFormat="1" applyFont="1" applyFill="1" applyBorder="1" applyAlignment="1">
      <alignment horizontal="center" vertical="center" shrinkToFit="1"/>
    </xf>
    <xf numFmtId="184" fontId="21" fillId="7" borderId="37" xfId="0" applyNumberFormat="1" applyFont="1" applyFill="1" applyBorder="1" applyAlignment="1">
      <alignment horizontal="center" vertical="center" shrinkToFit="1"/>
    </xf>
    <xf numFmtId="184" fontId="21" fillId="7" borderId="39" xfId="0" applyNumberFormat="1" applyFont="1" applyFill="1" applyBorder="1" applyAlignment="1">
      <alignment horizontal="center" vertical="center" shrinkToFit="1"/>
    </xf>
    <xf numFmtId="177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7" fontId="5" fillId="5" borderId="1" xfId="0" applyNumberFormat="1" applyFont="1" applyFill="1" applyBorder="1" applyAlignment="1">
      <alignment horizontal="center" vertical="center" shrinkToFit="1"/>
    </xf>
    <xf numFmtId="177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7" fontId="5" fillId="6" borderId="2" xfId="0" applyNumberFormat="1" applyFont="1" applyFill="1" applyBorder="1" applyAlignment="1">
      <alignment horizontal="center" vertical="center" shrinkToFit="1"/>
    </xf>
    <xf numFmtId="177" fontId="5" fillId="6" borderId="29" xfId="0" applyNumberFormat="1" applyFont="1" applyFill="1" applyBorder="1" applyAlignment="1">
      <alignment horizontal="center" vertical="center" shrinkToFit="1"/>
    </xf>
    <xf numFmtId="177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7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7" fontId="5" fillId="5" borderId="2" xfId="0" applyNumberFormat="1" applyFont="1" applyFill="1" applyBorder="1" applyAlignment="1">
      <alignment horizontal="center" vertical="center" shrinkToFit="1"/>
    </xf>
    <xf numFmtId="177" fontId="5" fillId="5" borderId="29" xfId="0" applyNumberFormat="1" applyFont="1" applyFill="1" applyBorder="1" applyAlignment="1">
      <alignment horizontal="center" vertical="center" shrinkToFit="1"/>
    </xf>
    <xf numFmtId="177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4" fontId="21" fillId="10" borderId="30" xfId="0" applyNumberFormat="1" applyFont="1" applyFill="1" applyBorder="1" applyAlignment="1">
      <alignment horizontal="center" vertical="center" shrinkToFit="1"/>
    </xf>
    <xf numFmtId="184" fontId="21" fillId="10" borderId="43" xfId="0" applyNumberFormat="1" applyFont="1" applyFill="1" applyBorder="1" applyAlignment="1">
      <alignment horizontal="center" vertical="center" shrinkToFit="1"/>
    </xf>
    <xf numFmtId="184" fontId="21" fillId="10" borderId="44" xfId="0" applyNumberFormat="1" applyFont="1" applyFill="1" applyBorder="1" applyAlignment="1">
      <alignment horizontal="center" vertical="center" shrinkToFit="1"/>
    </xf>
    <xf numFmtId="184" fontId="21" fillId="10" borderId="45" xfId="0" applyNumberFormat="1" applyFont="1" applyFill="1" applyBorder="1" applyAlignment="1">
      <alignment horizontal="center" vertical="center" shrinkToFit="1"/>
    </xf>
    <xf numFmtId="184" fontId="21" fillId="10" borderId="0" xfId="0" applyNumberFormat="1" applyFont="1" applyFill="1" applyAlignment="1">
      <alignment horizontal="center" vertical="center" shrinkToFit="1"/>
    </xf>
    <xf numFmtId="184" fontId="21" fillId="10" borderId="46" xfId="0" applyNumberFormat="1" applyFont="1" applyFill="1" applyBorder="1" applyAlignment="1">
      <alignment horizontal="center" vertical="center" shrinkToFit="1"/>
    </xf>
    <xf numFmtId="184" fontId="21" fillId="10" borderId="6" xfId="0" applyNumberFormat="1" applyFont="1" applyFill="1" applyBorder="1" applyAlignment="1">
      <alignment horizontal="center" vertical="center" shrinkToFit="1"/>
    </xf>
    <xf numFmtId="184" fontId="21" fillId="10" borderId="37" xfId="0" applyNumberFormat="1" applyFont="1" applyFill="1" applyBorder="1" applyAlignment="1">
      <alignment horizontal="center" vertical="center" shrinkToFit="1"/>
    </xf>
    <xf numFmtId="184" fontId="21" fillId="10" borderId="39" xfId="0" applyNumberFormat="1" applyFont="1" applyFill="1" applyBorder="1" applyAlignment="1">
      <alignment horizontal="center" vertical="center" shrinkToFit="1"/>
    </xf>
    <xf numFmtId="177" fontId="5" fillId="9" borderId="2" xfId="0" applyNumberFormat="1" applyFont="1" applyFill="1" applyBorder="1" applyAlignment="1">
      <alignment horizontal="center" vertical="center" shrinkToFit="1"/>
    </xf>
    <xf numFmtId="177" fontId="5" fillId="9" borderId="29" xfId="0" applyNumberFormat="1" applyFont="1" applyFill="1" applyBorder="1" applyAlignment="1">
      <alignment horizontal="center" vertical="center" shrinkToFit="1"/>
    </xf>
    <xf numFmtId="177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4" fontId="21" fillId="5" borderId="30" xfId="0" applyNumberFormat="1" applyFont="1" applyFill="1" applyBorder="1" applyAlignment="1">
      <alignment horizontal="center" vertical="center" shrinkToFit="1"/>
    </xf>
    <xf numFmtId="184" fontId="21" fillId="5" borderId="43" xfId="0" applyNumberFormat="1" applyFont="1" applyFill="1" applyBorder="1" applyAlignment="1">
      <alignment horizontal="center" vertical="center" shrinkToFit="1"/>
    </xf>
    <xf numFmtId="184" fontId="21" fillId="5" borderId="44" xfId="0" applyNumberFormat="1" applyFont="1" applyFill="1" applyBorder="1" applyAlignment="1">
      <alignment horizontal="center" vertical="center" shrinkToFit="1"/>
    </xf>
    <xf numFmtId="184" fontId="21" fillId="5" borderId="45" xfId="0" applyNumberFormat="1" applyFont="1" applyFill="1" applyBorder="1" applyAlignment="1">
      <alignment horizontal="center" vertical="center" shrinkToFit="1"/>
    </xf>
    <xf numFmtId="184" fontId="21" fillId="5" borderId="0" xfId="0" applyNumberFormat="1" applyFont="1" applyFill="1" applyAlignment="1">
      <alignment horizontal="center" vertical="center" shrinkToFit="1"/>
    </xf>
    <xf numFmtId="184" fontId="21" fillId="5" borderId="46" xfId="0" applyNumberFormat="1" applyFont="1" applyFill="1" applyBorder="1" applyAlignment="1">
      <alignment horizontal="center" vertical="center" shrinkToFit="1"/>
    </xf>
    <xf numFmtId="184" fontId="21" fillId="5" borderId="6" xfId="0" applyNumberFormat="1" applyFont="1" applyFill="1" applyBorder="1" applyAlignment="1">
      <alignment horizontal="center" vertical="center" shrinkToFit="1"/>
    </xf>
    <xf numFmtId="184" fontId="21" fillId="5" borderId="37" xfId="0" applyNumberFormat="1" applyFont="1" applyFill="1" applyBorder="1" applyAlignment="1">
      <alignment horizontal="center" vertical="center" shrinkToFit="1"/>
    </xf>
    <xf numFmtId="184" fontId="21" fillId="5" borderId="39" xfId="0" applyNumberFormat="1" applyFont="1" applyFill="1" applyBorder="1" applyAlignment="1">
      <alignment horizontal="center" vertical="center" shrinkToFit="1"/>
    </xf>
    <xf numFmtId="184" fontId="21" fillId="9" borderId="30" xfId="0" applyNumberFormat="1" applyFont="1" applyFill="1" applyBorder="1" applyAlignment="1">
      <alignment horizontal="center" vertical="center" shrinkToFit="1"/>
    </xf>
    <xf numFmtId="184" fontId="21" fillId="9" borderId="43" xfId="0" applyNumberFormat="1" applyFont="1" applyFill="1" applyBorder="1" applyAlignment="1">
      <alignment horizontal="center" vertical="center" shrinkToFit="1"/>
    </xf>
    <xf numFmtId="184" fontId="21" fillId="9" borderId="44" xfId="0" applyNumberFormat="1" applyFont="1" applyFill="1" applyBorder="1" applyAlignment="1">
      <alignment horizontal="center" vertical="center" shrinkToFit="1"/>
    </xf>
    <xf numFmtId="184" fontId="21" fillId="9" borderId="45" xfId="0" applyNumberFormat="1" applyFont="1" applyFill="1" applyBorder="1" applyAlignment="1">
      <alignment horizontal="center" vertical="center" shrinkToFit="1"/>
    </xf>
    <xf numFmtId="184" fontId="21" fillId="9" borderId="0" xfId="0" applyNumberFormat="1" applyFont="1" applyFill="1" applyAlignment="1">
      <alignment horizontal="center" vertical="center" shrinkToFit="1"/>
    </xf>
    <xf numFmtId="184" fontId="21" fillId="9" borderId="46" xfId="0" applyNumberFormat="1" applyFont="1" applyFill="1" applyBorder="1" applyAlignment="1">
      <alignment horizontal="center" vertical="center" shrinkToFit="1"/>
    </xf>
    <xf numFmtId="184" fontId="21" fillId="9" borderId="6" xfId="0" applyNumberFormat="1" applyFont="1" applyFill="1" applyBorder="1" applyAlignment="1">
      <alignment horizontal="center" vertical="center" shrinkToFit="1"/>
    </xf>
    <xf numFmtId="184" fontId="21" fillId="9" borderId="37" xfId="0" applyNumberFormat="1" applyFont="1" applyFill="1" applyBorder="1" applyAlignment="1">
      <alignment horizontal="center" vertical="center" shrinkToFit="1"/>
    </xf>
    <xf numFmtId="184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1" fontId="21" fillId="0" borderId="58" xfId="0" applyNumberFormat="1" applyFont="1" applyBorder="1" applyAlignment="1">
      <alignment horizontal="center" vertical="center" shrinkToFit="1"/>
    </xf>
    <xf numFmtId="181" fontId="21" fillId="0" borderId="43" xfId="0" applyNumberFormat="1" applyFont="1" applyBorder="1" applyAlignment="1">
      <alignment horizontal="center" vertical="center" shrinkToFit="1"/>
    </xf>
    <xf numFmtId="181" fontId="21" fillId="0" borderId="59" xfId="0" applyNumberFormat="1" applyFont="1" applyBorder="1" applyAlignment="1">
      <alignment horizontal="center" vertical="center" shrinkToFit="1"/>
    </xf>
    <xf numFmtId="181" fontId="21" fillId="0" borderId="31" xfId="0" applyNumberFormat="1" applyFont="1" applyBorder="1" applyAlignment="1">
      <alignment horizontal="center" vertical="center" shrinkToFit="1"/>
    </xf>
    <xf numFmtId="181" fontId="21" fillId="0" borderId="0" xfId="0" applyNumberFormat="1" applyFont="1" applyAlignment="1">
      <alignment horizontal="center" vertical="center" shrinkToFit="1"/>
    </xf>
    <xf numFmtId="181" fontId="21" fillId="0" borderId="32" xfId="0" applyNumberFormat="1" applyFont="1" applyBorder="1" applyAlignment="1">
      <alignment horizontal="center" vertical="center" shrinkToFit="1"/>
    </xf>
    <xf numFmtId="181" fontId="21" fillId="0" borderId="21" xfId="0" applyNumberFormat="1" applyFont="1" applyBorder="1" applyAlignment="1">
      <alignment horizontal="center" vertical="center" shrinkToFit="1"/>
    </xf>
    <xf numFmtId="181" fontId="21" fillId="0" borderId="22" xfId="0" applyNumberFormat="1" applyFont="1" applyBorder="1" applyAlignment="1">
      <alignment horizontal="center" vertical="center" shrinkToFit="1"/>
    </xf>
    <xf numFmtId="181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7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4" fontId="21" fillId="9" borderId="2" xfId="0" applyNumberFormat="1" applyFont="1" applyFill="1" applyBorder="1" applyAlignment="1">
      <alignment horizontal="center" vertical="center" shrinkToFit="1"/>
    </xf>
    <xf numFmtId="184" fontId="21" fillId="9" borderId="29" xfId="0" applyNumberFormat="1" applyFont="1" applyFill="1" applyBorder="1" applyAlignment="1">
      <alignment horizontal="center" vertical="center" shrinkToFit="1"/>
    </xf>
    <xf numFmtId="184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4" fontId="21" fillId="5" borderId="2" xfId="0" applyNumberFormat="1" applyFont="1" applyFill="1" applyBorder="1" applyAlignment="1">
      <alignment horizontal="center" vertical="center" shrinkToFit="1"/>
    </xf>
    <xf numFmtId="184" fontId="21" fillId="5" borderId="29" xfId="0" applyNumberFormat="1" applyFont="1" applyFill="1" applyBorder="1" applyAlignment="1">
      <alignment horizontal="center" vertical="center" shrinkToFit="1"/>
    </xf>
    <xf numFmtId="184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4" fontId="21" fillId="6" borderId="30" xfId="0" applyNumberFormat="1" applyFont="1" applyFill="1" applyBorder="1" applyAlignment="1">
      <alignment horizontal="center" vertical="center" shrinkToFit="1"/>
    </xf>
    <xf numFmtId="184" fontId="21" fillId="6" borderId="43" xfId="0" applyNumberFormat="1" applyFont="1" applyFill="1" applyBorder="1" applyAlignment="1">
      <alignment horizontal="center" vertical="center" shrinkToFit="1"/>
    </xf>
    <xf numFmtId="184" fontId="21" fillId="6" borderId="44" xfId="0" applyNumberFormat="1" applyFont="1" applyFill="1" applyBorder="1" applyAlignment="1">
      <alignment horizontal="center" vertical="center" shrinkToFit="1"/>
    </xf>
    <xf numFmtId="184" fontId="21" fillId="6" borderId="45" xfId="0" applyNumberFormat="1" applyFont="1" applyFill="1" applyBorder="1" applyAlignment="1">
      <alignment horizontal="center" vertical="center" shrinkToFit="1"/>
    </xf>
    <xf numFmtId="184" fontId="21" fillId="6" borderId="0" xfId="0" applyNumberFormat="1" applyFont="1" applyFill="1" applyAlignment="1">
      <alignment horizontal="center" vertical="center" shrinkToFit="1"/>
    </xf>
    <xf numFmtId="184" fontId="21" fillId="6" borderId="46" xfId="0" applyNumberFormat="1" applyFont="1" applyFill="1" applyBorder="1" applyAlignment="1">
      <alignment horizontal="center" vertical="center" shrinkToFit="1"/>
    </xf>
    <xf numFmtId="184" fontId="21" fillId="6" borderId="6" xfId="0" applyNumberFormat="1" applyFont="1" applyFill="1" applyBorder="1" applyAlignment="1">
      <alignment horizontal="center" vertical="center" shrinkToFit="1"/>
    </xf>
    <xf numFmtId="184" fontId="21" fillId="6" borderId="37" xfId="0" applyNumberFormat="1" applyFont="1" applyFill="1" applyBorder="1" applyAlignment="1">
      <alignment horizontal="center" vertical="center" shrinkToFit="1"/>
    </xf>
    <xf numFmtId="184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7" fontId="5" fillId="11" borderId="2" xfId="0" applyNumberFormat="1" applyFont="1" applyFill="1" applyBorder="1" applyAlignment="1">
      <alignment horizontal="center" vertical="center" shrinkToFit="1"/>
    </xf>
    <xf numFmtId="177" fontId="5" fillId="11" borderId="29" xfId="0" applyNumberFormat="1" applyFont="1" applyFill="1" applyBorder="1" applyAlignment="1">
      <alignment horizontal="center" vertical="center" shrinkToFit="1"/>
    </xf>
    <xf numFmtId="177" fontId="5" fillId="11" borderId="26" xfId="0" applyNumberFormat="1" applyFont="1" applyFill="1" applyBorder="1" applyAlignment="1">
      <alignment horizontal="center" vertical="center" shrinkToFit="1"/>
    </xf>
  </cellXfs>
  <cellStyles count="6">
    <cellStyle name="Bad" xfId="5" builtinId="27"/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90" zoomScaleNormal="90" zoomScaleSheetLayoutView="100" workbookViewId="0">
      <selection activeCell="F26" sqref="F2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97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128</v>
      </c>
      <c r="K2" s="326"/>
      <c r="L2" s="328" t="s">
        <v>96</v>
      </c>
      <c r="M2" s="329"/>
      <c r="N2" s="327"/>
      <c r="O2" s="325" t="s">
        <v>98</v>
      </c>
      <c r="P2" s="325"/>
      <c r="Q2" s="326"/>
      <c r="R2" s="328" t="s">
        <v>51</v>
      </c>
      <c r="S2" s="327"/>
      <c r="T2" s="316">
        <v>3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10984</v>
      </c>
      <c r="C5" s="59" t="s">
        <v>110</v>
      </c>
      <c r="D5" s="190" t="s">
        <v>131</v>
      </c>
      <c r="E5" s="171" t="s">
        <v>91</v>
      </c>
      <c r="F5" s="160">
        <v>800</v>
      </c>
      <c r="G5" s="109" t="s">
        <v>111</v>
      </c>
      <c r="H5" s="82"/>
      <c r="I5" s="115">
        <v>150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63"/>
      <c r="P5" s="364"/>
      <c r="Q5" s="365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10985</v>
      </c>
      <c r="C6" s="58" t="s">
        <v>100</v>
      </c>
      <c r="D6" s="190" t="s">
        <v>101</v>
      </c>
      <c r="E6" s="171" t="s">
        <v>102</v>
      </c>
      <c r="F6" s="161">
        <v>1005</v>
      </c>
      <c r="G6" s="109" t="s">
        <v>103</v>
      </c>
      <c r="H6" s="82"/>
      <c r="I6" s="115">
        <v>95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318"/>
      <c r="P6" s="319"/>
      <c r="Q6" s="320"/>
      <c r="R6" s="122" t="s">
        <v>99</v>
      </c>
      <c r="S6" s="30">
        <v>0.33333333333333331</v>
      </c>
      <c r="T6" s="31">
        <v>0.41666666666666669</v>
      </c>
      <c r="U6" s="83">
        <f t="shared" si="0"/>
        <v>2.0000000000000009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10986</v>
      </c>
      <c r="C7" s="58" t="s">
        <v>104</v>
      </c>
      <c r="D7" s="190" t="s">
        <v>105</v>
      </c>
      <c r="E7" s="171" t="s">
        <v>91</v>
      </c>
      <c r="F7" s="161">
        <v>1040</v>
      </c>
      <c r="G7" s="109" t="s">
        <v>44</v>
      </c>
      <c r="H7" s="82"/>
      <c r="I7" s="115"/>
      <c r="J7" s="120">
        <v>110</v>
      </c>
      <c r="K7" s="120" t="str">
        <f t="shared" si="2"/>
        <v>0</v>
      </c>
      <c r="L7" s="121"/>
      <c r="M7" s="121"/>
      <c r="N7" s="124" t="s">
        <v>98</v>
      </c>
      <c r="O7" s="291" t="s">
        <v>106</v>
      </c>
      <c r="P7" s="290"/>
      <c r="Q7" s="292"/>
      <c r="R7" s="124" t="s">
        <v>127</v>
      </c>
      <c r="S7" s="30">
        <v>0.41666666666666669</v>
      </c>
      <c r="T7" s="31">
        <v>0.6875</v>
      </c>
      <c r="U7" s="83">
        <f t="shared" si="0"/>
        <v>6.5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10987</v>
      </c>
      <c r="C8" s="26" t="s">
        <v>107</v>
      </c>
      <c r="D8" s="190" t="s">
        <v>108</v>
      </c>
      <c r="E8" s="171" t="s">
        <v>92</v>
      </c>
      <c r="F8" s="161">
        <v>1120</v>
      </c>
      <c r="G8" s="109" t="s">
        <v>109</v>
      </c>
      <c r="H8" s="82">
        <v>80</v>
      </c>
      <c r="I8" s="115"/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21"/>
      <c r="P8" s="322"/>
      <c r="Q8" s="323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10988</v>
      </c>
      <c r="C9" s="54" t="s">
        <v>112</v>
      </c>
      <c r="D9" s="191" t="s">
        <v>113</v>
      </c>
      <c r="E9" s="171" t="s">
        <v>91</v>
      </c>
      <c r="F9" s="162">
        <v>1220</v>
      </c>
      <c r="G9" s="110" t="s">
        <v>44</v>
      </c>
      <c r="H9" s="82"/>
      <c r="I9" s="82">
        <v>20</v>
      </c>
      <c r="J9" s="120" t="str">
        <f t="shared" si="1"/>
        <v>55</v>
      </c>
      <c r="K9" s="120" t="str">
        <f t="shared" si="2"/>
        <v>0</v>
      </c>
      <c r="L9" s="121"/>
      <c r="M9" s="121"/>
      <c r="N9" s="124" t="s">
        <v>98</v>
      </c>
      <c r="O9" s="321" t="s">
        <v>114</v>
      </c>
      <c r="P9" s="322"/>
      <c r="Q9" s="323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10989</v>
      </c>
      <c r="C10" s="27" t="s">
        <v>115</v>
      </c>
      <c r="D10" s="192" t="s">
        <v>116</v>
      </c>
      <c r="E10" s="171" t="s">
        <v>92</v>
      </c>
      <c r="F10" s="163">
        <v>1300</v>
      </c>
      <c r="G10" s="111" t="s">
        <v>111</v>
      </c>
      <c r="H10" s="114">
        <v>120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13"/>
      <c r="P10" s="314"/>
      <c r="Q10" s="31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10990</v>
      </c>
      <c r="C11" s="17"/>
      <c r="D11" s="193" t="s">
        <v>117</v>
      </c>
      <c r="E11" s="171" t="s">
        <v>92</v>
      </c>
      <c r="F11" s="57">
        <v>1320</v>
      </c>
      <c r="G11" s="112" t="s">
        <v>118</v>
      </c>
      <c r="H11" s="114"/>
      <c r="I11" s="115">
        <v>330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291"/>
      <c r="P11" s="290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10991</v>
      </c>
      <c r="C12" s="55" t="s">
        <v>119</v>
      </c>
      <c r="D12" s="194" t="s">
        <v>120</v>
      </c>
      <c r="E12" s="171" t="s">
        <v>92</v>
      </c>
      <c r="F12" s="163">
        <v>1340</v>
      </c>
      <c r="G12" s="110" t="s">
        <v>44</v>
      </c>
      <c r="H12" s="114">
        <v>20</v>
      </c>
      <c r="I12" s="116"/>
      <c r="J12" s="120" t="str">
        <f t="shared" si="1"/>
        <v>55</v>
      </c>
      <c r="K12" s="120" t="str">
        <f t="shared" si="2"/>
        <v>0</v>
      </c>
      <c r="L12" s="121"/>
      <c r="M12" s="121"/>
      <c r="N12" s="124" t="s">
        <v>98</v>
      </c>
      <c r="O12" s="291" t="s">
        <v>121</v>
      </c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10992</v>
      </c>
      <c r="C13" s="55" t="s">
        <v>122</v>
      </c>
      <c r="D13" s="194" t="s">
        <v>123</v>
      </c>
      <c r="E13" s="171" t="s">
        <v>92</v>
      </c>
      <c r="F13" s="163">
        <v>1445</v>
      </c>
      <c r="G13" s="110" t="s">
        <v>103</v>
      </c>
      <c r="H13" s="159">
        <v>95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10993</v>
      </c>
      <c r="C14" s="56" t="s">
        <v>124</v>
      </c>
      <c r="D14" s="195" t="s">
        <v>125</v>
      </c>
      <c r="E14" s="171" t="s">
        <v>91</v>
      </c>
      <c r="F14" s="164">
        <v>1505</v>
      </c>
      <c r="G14" s="113" t="s">
        <v>126</v>
      </c>
      <c r="H14" s="114">
        <v>75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10994</v>
      </c>
      <c r="C15" s="56" t="s">
        <v>129</v>
      </c>
      <c r="D15" s="195" t="s">
        <v>130</v>
      </c>
      <c r="E15" s="171" t="s">
        <v>91</v>
      </c>
      <c r="F15" s="164">
        <v>1515</v>
      </c>
      <c r="G15" s="113" t="s">
        <v>126</v>
      </c>
      <c r="H15" s="114"/>
      <c r="I15" s="115">
        <v>75.75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91"/>
      <c r="P16" s="290"/>
      <c r="Q16" s="292"/>
      <c r="R16" s="73">
        <f>H32/U16</f>
        <v>0.62857142857142845</v>
      </c>
      <c r="S16" s="74">
        <f>H32/(U16-U5)</f>
        <v>1.2941176470588232</v>
      </c>
      <c r="T16" s="74">
        <f>C32/U16</f>
        <v>73.185714285714269</v>
      </c>
      <c r="U16" s="74">
        <f>SUM(U5:U15)</f>
        <v>17.500000000000004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1"/>
      <c r="P19" s="290"/>
      <c r="Q19" s="290"/>
      <c r="R19" s="84" t="s">
        <v>45</v>
      </c>
      <c r="S19" s="85">
        <f>COUNT(L5:M29,L37:M61,L69:M93)</f>
        <v>0</v>
      </c>
      <c r="T19" s="107">
        <f>SUM(L5:M29,L37:M61,L69:M93)</f>
        <v>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1280.75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390</v>
      </c>
      <c r="I30" s="96">
        <f>SUM(I5:I29)</f>
        <v>670.75</v>
      </c>
      <c r="J30" s="96">
        <f>J5+J6+J7+J8+J9+J10+J11+J12+J13+J14+J15+J16+J18+J19+J17+J20+J22+J23+J21+J24+J25+J26+J27+J28+J29</f>
        <v>220</v>
      </c>
      <c r="K30" s="96">
        <f>K5+K6+K7+K8+K9+K10+K11+K12+K13+K14+K15+K16+K18+K19+K17+K20+K22+K23+K21+K24+K25+K26+K27+K28+K29</f>
        <v>0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390</v>
      </c>
      <c r="I31" s="94">
        <f t="shared" si="4"/>
        <v>670.75</v>
      </c>
      <c r="J31" s="94">
        <f t="shared" si="4"/>
        <v>220</v>
      </c>
      <c r="K31" s="94">
        <f>K30+K62+K94</f>
        <v>0</v>
      </c>
      <c r="L31" s="88">
        <f>L30+L62+L94</f>
        <v>0</v>
      </c>
      <c r="M31" s="88">
        <f>M30+M62+M94</f>
        <v>0</v>
      </c>
      <c r="N31" s="207">
        <f>COUNT(H5:H29,H37:H61,H69:H93)</f>
        <v>5</v>
      </c>
      <c r="O31" s="95">
        <f>COUNT(I5:I29,I37:I61,I69:I93)</f>
        <v>5</v>
      </c>
      <c r="P31" s="95">
        <f>COUNTIF(G5:G29,"G*")+COUNTIF(G37:G61,"G*")+COUNTIF(G69:G93,"G*")+COUNTIF(G5:G29,"P*")+COUNTIF(G37:G61,"P*")+COUNTIF(G69:G93,"P*")</f>
        <v>0</v>
      </c>
      <c r="Q31" s="108">
        <f>COUNTIF(G5:G29,"RSL")+COUNTIF(G37:G61,"RSL")+COUNTIF(G69:G93,"RSL")</f>
        <v>3</v>
      </c>
      <c r="R31" s="89" t="s">
        <v>83</v>
      </c>
      <c r="S31" s="102">
        <f>H31+L31-U28-U29-U30</f>
        <v>390</v>
      </c>
      <c r="T31" s="330">
        <f>H31+I31+L31+M31</f>
        <v>1060.75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0" t="s">
        <v>55</v>
      </c>
      <c r="B32" s="351"/>
      <c r="C32" s="98">
        <f>H31+I31+J31+K31</f>
        <v>1280.75</v>
      </c>
      <c r="D32" s="186"/>
      <c r="E32" s="98"/>
      <c r="F32" s="352" t="s">
        <v>53</v>
      </c>
      <c r="G32" s="352"/>
      <c r="H32" s="100">
        <f>COUNT(B5:B29,B37:B61,B69:B93)</f>
        <v>11</v>
      </c>
      <c r="I32" s="353" t="s">
        <v>54</v>
      </c>
      <c r="J32" s="353"/>
      <c r="K32" s="99">
        <f>C32/H32</f>
        <v>116.43181818181819</v>
      </c>
      <c r="L32" s="208"/>
      <c r="M32" s="208"/>
      <c r="N32" s="208">
        <f>H31/C32</f>
        <v>0.30450907671286354</v>
      </c>
      <c r="O32" s="208">
        <f>I31/C32</f>
        <v>0.52371657232090574</v>
      </c>
      <c r="P32" s="208">
        <f>K31/C32</f>
        <v>0</v>
      </c>
      <c r="Q32" s="101">
        <f>J31/C32</f>
        <v>0.17177435096623073</v>
      </c>
      <c r="R32" s="90" t="s">
        <v>82</v>
      </c>
      <c r="S32" s="203">
        <f>I31+M31</f>
        <v>670.75</v>
      </c>
      <c r="T32" s="332"/>
      <c r="U32" s="333"/>
      <c r="V32" s="39"/>
      <c r="W32" s="39"/>
      <c r="X32" s="48" t="s">
        <v>27</v>
      </c>
      <c r="Y32" s="48"/>
      <c r="Z32" s="47">
        <f>I31</f>
        <v>670.75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-2074.25</v>
      </c>
      <c r="AG33" s="35"/>
    </row>
    <row r="34" spans="1:33" ht="17.25" thickBot="1" x14ac:dyDescent="0.35">
      <c r="A34" s="324" t="str">
        <f>A2</f>
        <v>05-09-2022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3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05-09-2022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3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C18" sqref="C18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132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128</v>
      </c>
      <c r="K2" s="326"/>
      <c r="L2" s="328" t="s">
        <v>96</v>
      </c>
      <c r="M2" s="329"/>
      <c r="N2" s="327"/>
      <c r="O2" s="325" t="s">
        <v>99</v>
      </c>
      <c r="P2" s="325"/>
      <c r="Q2" s="326"/>
      <c r="R2" s="328" t="s">
        <v>51</v>
      </c>
      <c r="S2" s="327"/>
      <c r="T2" s="316">
        <v>4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10995</v>
      </c>
      <c r="C5" s="59" t="s">
        <v>135</v>
      </c>
      <c r="D5" s="190" t="s">
        <v>136</v>
      </c>
      <c r="E5" s="171" t="s">
        <v>92</v>
      </c>
      <c r="F5" s="160">
        <v>825</v>
      </c>
      <c r="G5" s="109" t="s">
        <v>103</v>
      </c>
      <c r="H5" s="82">
        <v>75</v>
      </c>
      <c r="I5" s="115"/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363"/>
      <c r="P5" s="364"/>
      <c r="Q5" s="365"/>
      <c r="R5" s="32" t="s">
        <v>99</v>
      </c>
      <c r="S5" s="30">
        <v>0.35416666666666669</v>
      </c>
      <c r="T5" s="31">
        <v>0.69791666666666663</v>
      </c>
      <c r="U5" s="83">
        <f t="shared" ref="U5:U15" si="0">(T5-S5)*24</f>
        <v>8.2499999999999982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10996</v>
      </c>
      <c r="C6" s="58" t="s">
        <v>137</v>
      </c>
      <c r="D6" s="190" t="s">
        <v>138</v>
      </c>
      <c r="E6" s="171" t="s">
        <v>92</v>
      </c>
      <c r="F6" s="161">
        <v>945</v>
      </c>
      <c r="G6" s="109" t="s">
        <v>103</v>
      </c>
      <c r="H6" s="82"/>
      <c r="I6" s="115">
        <v>85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318"/>
      <c r="P6" s="319"/>
      <c r="Q6" s="320"/>
      <c r="R6" s="122" t="s">
        <v>133</v>
      </c>
      <c r="S6" s="30">
        <v>0.33333333333333331</v>
      </c>
      <c r="T6" s="31">
        <v>0.69791666666666663</v>
      </c>
      <c r="U6" s="83">
        <f t="shared" si="0"/>
        <v>8.75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10997</v>
      </c>
      <c r="C7" s="58" t="s">
        <v>139</v>
      </c>
      <c r="D7" s="190" t="s">
        <v>140</v>
      </c>
      <c r="E7" s="171" t="s">
        <v>92</v>
      </c>
      <c r="F7" s="161">
        <v>1025</v>
      </c>
      <c r="G7" s="109" t="s">
        <v>126</v>
      </c>
      <c r="H7" s="82">
        <v>75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133</v>
      </c>
      <c r="O7" s="291"/>
      <c r="P7" s="290"/>
      <c r="Q7" s="292"/>
      <c r="R7" s="124" t="s">
        <v>127</v>
      </c>
      <c r="S7" s="30">
        <v>0.39583333333333331</v>
      </c>
      <c r="T7" s="31">
        <v>0.66666666666666663</v>
      </c>
      <c r="U7" s="83">
        <f t="shared" si="0"/>
        <v>6.5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10998</v>
      </c>
      <c r="C8" s="26" t="s">
        <v>141</v>
      </c>
      <c r="D8" s="190" t="s">
        <v>142</v>
      </c>
      <c r="E8" s="171" t="s">
        <v>92</v>
      </c>
      <c r="F8" s="161">
        <v>1045</v>
      </c>
      <c r="G8" s="109" t="s">
        <v>111</v>
      </c>
      <c r="H8" s="82"/>
      <c r="I8" s="115">
        <v>176.75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99</v>
      </c>
      <c r="O8" s="321"/>
      <c r="P8" s="322"/>
      <c r="Q8" s="323"/>
      <c r="R8" s="25" t="s">
        <v>134</v>
      </c>
      <c r="S8" s="30">
        <v>0.41666666666666669</v>
      </c>
      <c r="T8" s="31">
        <v>0.69791666666666663</v>
      </c>
      <c r="U8" s="83">
        <f t="shared" si="0"/>
        <v>6.7499999999999982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258">
        <v>5</v>
      </c>
      <c r="B9" s="250">
        <v>10999</v>
      </c>
      <c r="C9" s="271" t="s">
        <v>143</v>
      </c>
      <c r="D9" s="264" t="s">
        <v>144</v>
      </c>
      <c r="E9" s="253" t="s">
        <v>92</v>
      </c>
      <c r="F9" s="254">
        <v>1130</v>
      </c>
      <c r="G9" s="263" t="s">
        <v>145</v>
      </c>
      <c r="H9" s="255"/>
      <c r="I9" s="255"/>
      <c r="J9" s="255" t="str">
        <f t="shared" si="1"/>
        <v>0</v>
      </c>
      <c r="K9" s="255">
        <v>70.83</v>
      </c>
      <c r="L9" s="256"/>
      <c r="M9" s="256">
        <v>303</v>
      </c>
      <c r="N9" s="257" t="s">
        <v>99</v>
      </c>
      <c r="O9" s="366" t="s">
        <v>146</v>
      </c>
      <c r="P9" s="367"/>
      <c r="Q9" s="368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11000</v>
      </c>
      <c r="C10" s="270" t="s">
        <v>147</v>
      </c>
      <c r="D10" s="192" t="s">
        <v>148</v>
      </c>
      <c r="E10" s="171" t="s">
        <v>92</v>
      </c>
      <c r="F10" s="163">
        <v>1145</v>
      </c>
      <c r="G10" s="111" t="s">
        <v>149</v>
      </c>
      <c r="H10" s="114"/>
      <c r="I10" s="116"/>
      <c r="J10" s="120" t="str">
        <f t="shared" si="1"/>
        <v>0</v>
      </c>
      <c r="K10" s="120">
        <v>79.16</v>
      </c>
      <c r="L10" s="121"/>
      <c r="M10" s="121"/>
      <c r="N10" s="124" t="s">
        <v>99</v>
      </c>
      <c r="O10" s="313" t="s">
        <v>150</v>
      </c>
      <c r="P10" s="314"/>
      <c r="Q10" s="31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56">
        <v>11001</v>
      </c>
      <c r="C11" s="272" t="s">
        <v>151</v>
      </c>
      <c r="D11" s="193" t="s">
        <v>152</v>
      </c>
      <c r="E11" s="171" t="s">
        <v>91</v>
      </c>
      <c r="F11" s="57">
        <v>1215</v>
      </c>
      <c r="G11" s="112" t="s">
        <v>111</v>
      </c>
      <c r="H11" s="114"/>
      <c r="I11" s="115">
        <v>121.2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291"/>
      <c r="P11" s="290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56">
        <v>11002</v>
      </c>
      <c r="C12" s="55" t="s">
        <v>153</v>
      </c>
      <c r="D12" s="194" t="s">
        <v>154</v>
      </c>
      <c r="E12" s="171" t="s">
        <v>92</v>
      </c>
      <c r="F12" s="163">
        <v>1245</v>
      </c>
      <c r="G12" s="110" t="s">
        <v>111</v>
      </c>
      <c r="H12" s="114"/>
      <c r="I12" s="116">
        <v>130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291"/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56">
        <v>11003</v>
      </c>
      <c r="C13" s="55" t="s">
        <v>155</v>
      </c>
      <c r="D13" s="194" t="s">
        <v>156</v>
      </c>
      <c r="E13" s="171" t="s">
        <v>92</v>
      </c>
      <c r="F13" s="163">
        <v>1330</v>
      </c>
      <c r="G13" s="110" t="s">
        <v>126</v>
      </c>
      <c r="H13" s="159">
        <v>55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11004</v>
      </c>
      <c r="C14" s="56" t="s">
        <v>157</v>
      </c>
      <c r="D14" s="195" t="s">
        <v>158</v>
      </c>
      <c r="E14" s="171" t="s">
        <v>92</v>
      </c>
      <c r="F14" s="164">
        <v>1400</v>
      </c>
      <c r="G14" s="113" t="s">
        <v>159</v>
      </c>
      <c r="H14" s="114"/>
      <c r="I14" s="116">
        <v>250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258">
        <v>11</v>
      </c>
      <c r="B15" s="250">
        <v>11005</v>
      </c>
      <c r="C15" s="259" t="s">
        <v>160</v>
      </c>
      <c r="D15" s="260" t="s">
        <v>161</v>
      </c>
      <c r="E15" s="253" t="s">
        <v>91</v>
      </c>
      <c r="F15" s="261">
        <v>1430</v>
      </c>
      <c r="G15" s="250" t="s">
        <v>149</v>
      </c>
      <c r="H15" s="262"/>
      <c r="I15" s="255"/>
      <c r="J15" s="255" t="str">
        <f t="shared" si="1"/>
        <v>0</v>
      </c>
      <c r="K15" s="255">
        <v>79.16</v>
      </c>
      <c r="L15" s="256"/>
      <c r="M15" s="256">
        <v>479.75</v>
      </c>
      <c r="N15" s="257" t="s">
        <v>99</v>
      </c>
      <c r="O15" s="366" t="s">
        <v>162</v>
      </c>
      <c r="P15" s="367"/>
      <c r="Q15" s="368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258">
        <v>12</v>
      </c>
      <c r="B16" s="263">
        <v>11006</v>
      </c>
      <c r="C16" s="259" t="s">
        <v>163</v>
      </c>
      <c r="D16" s="260" t="s">
        <v>164</v>
      </c>
      <c r="E16" s="253" t="s">
        <v>92</v>
      </c>
      <c r="F16" s="261">
        <v>1430</v>
      </c>
      <c r="G16" s="250" t="s">
        <v>165</v>
      </c>
      <c r="H16" s="262"/>
      <c r="I16" s="255"/>
      <c r="J16" s="255" t="str">
        <f t="shared" si="1"/>
        <v>0</v>
      </c>
      <c r="K16" s="255">
        <v>62.5</v>
      </c>
      <c r="L16" s="256"/>
      <c r="M16" s="256">
        <v>378.75</v>
      </c>
      <c r="N16" s="257" t="s">
        <v>99</v>
      </c>
      <c r="O16" s="366" t="s">
        <v>166</v>
      </c>
      <c r="P16" s="367"/>
      <c r="Q16" s="368"/>
      <c r="R16" s="73">
        <f>H32/U16</f>
        <v>0.39669421487603307</v>
      </c>
      <c r="S16" s="74">
        <f>H32/(U16-U5)</f>
        <v>0.54545454545454541</v>
      </c>
      <c r="T16" s="74">
        <f>C32/U16</f>
        <v>41.639669421487604</v>
      </c>
      <c r="U16" s="74">
        <f>SUM(U5:U15)</f>
        <v>30.25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1"/>
      <c r="P19" s="290"/>
      <c r="Q19" s="290"/>
      <c r="R19" s="84" t="s">
        <v>45</v>
      </c>
      <c r="S19" s="85">
        <f>COUNT(L5:M29,L37:M61,L69:M93)</f>
        <v>3</v>
      </c>
      <c r="T19" s="107">
        <f>SUM(L5:M29,L37:M61,L69:M93)</f>
        <v>1161.5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1259.5999999999999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205</v>
      </c>
      <c r="I30" s="96">
        <f>SUM(I5:I29)</f>
        <v>762.95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291.64999999999998</v>
      </c>
      <c r="L30" s="97">
        <f t="shared" si="3"/>
        <v>0</v>
      </c>
      <c r="M30" s="97">
        <f t="shared" si="3"/>
        <v>1161.5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205</v>
      </c>
      <c r="I31" s="94">
        <f t="shared" si="4"/>
        <v>762.95</v>
      </c>
      <c r="J31" s="94">
        <f t="shared" si="4"/>
        <v>0</v>
      </c>
      <c r="K31" s="94">
        <f>K30+K62+K94</f>
        <v>291.64999999999998</v>
      </c>
      <c r="L31" s="88">
        <f>L30+L62+L94</f>
        <v>0</v>
      </c>
      <c r="M31" s="88">
        <f>M30+M62+M94</f>
        <v>1161.5</v>
      </c>
      <c r="N31" s="207">
        <f>COUNT(H5:H29,H37:H61,H69:H93)</f>
        <v>3</v>
      </c>
      <c r="O31" s="95">
        <f>COUNT(I5:I29,I37:I61,I69:I93)</f>
        <v>5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205</v>
      </c>
      <c r="T31" s="330">
        <f>H31+I31+L31+M31</f>
        <v>2129.4499999999998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0" t="s">
        <v>55</v>
      </c>
      <c r="B32" s="351"/>
      <c r="C32" s="98">
        <f>H31+I31+J31+K31</f>
        <v>1259.5999999999999</v>
      </c>
      <c r="D32" s="186"/>
      <c r="E32" s="98"/>
      <c r="F32" s="352" t="s">
        <v>53</v>
      </c>
      <c r="G32" s="352"/>
      <c r="H32" s="100">
        <f>COUNT(B5:B29,B37:B61,B69:B93)</f>
        <v>12</v>
      </c>
      <c r="I32" s="353" t="s">
        <v>54</v>
      </c>
      <c r="J32" s="353"/>
      <c r="K32" s="99">
        <f>C32/H32</f>
        <v>104.96666666666665</v>
      </c>
      <c r="L32" s="208"/>
      <c r="M32" s="208"/>
      <c r="N32" s="208">
        <f>H31/C32</f>
        <v>0.16275007939028263</v>
      </c>
      <c r="O32" s="208">
        <f>I31/C32</f>
        <v>0.60570816132105443</v>
      </c>
      <c r="P32" s="208">
        <f>K31/C32</f>
        <v>0.23154175928866308</v>
      </c>
      <c r="Q32" s="101">
        <f>J31/C32</f>
        <v>0</v>
      </c>
      <c r="R32" s="90" t="s">
        <v>82</v>
      </c>
      <c r="S32" s="203">
        <f>I31+M31</f>
        <v>1924.45</v>
      </c>
      <c r="T32" s="332"/>
      <c r="U32" s="333"/>
      <c r="V32" s="39"/>
      <c r="W32" s="39"/>
      <c r="X32" s="48" t="s">
        <v>27</v>
      </c>
      <c r="Y32" s="48"/>
      <c r="Z32" s="47">
        <f>I31</f>
        <v>762.95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-1982.05</v>
      </c>
      <c r="AG33" s="35"/>
    </row>
    <row r="34" spans="1:33" ht="17.25" thickBot="1" x14ac:dyDescent="0.35">
      <c r="A34" s="324" t="str">
        <f>A2</f>
        <v>6 - 9 - 2022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HENDRA</v>
      </c>
      <c r="P34" s="325"/>
      <c r="Q34" s="326"/>
      <c r="R34" s="328" t="s">
        <v>51</v>
      </c>
      <c r="S34" s="327"/>
      <c r="T34" s="316">
        <f>T2</f>
        <v>4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6 - 9 - 2022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HENDRA</v>
      </c>
      <c r="P66" s="325"/>
      <c r="Q66" s="326"/>
      <c r="R66" s="328" t="s">
        <v>51</v>
      </c>
      <c r="S66" s="327"/>
      <c r="T66" s="316">
        <f>T34</f>
        <v>4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K6" sqref="K6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167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128</v>
      </c>
      <c r="K2" s="326"/>
      <c r="L2" s="328" t="s">
        <v>96</v>
      </c>
      <c r="M2" s="329"/>
      <c r="N2" s="327"/>
      <c r="O2" s="325" t="s">
        <v>99</v>
      </c>
      <c r="P2" s="325"/>
      <c r="Q2" s="326"/>
      <c r="R2" s="328" t="s">
        <v>51</v>
      </c>
      <c r="S2" s="327"/>
      <c r="T2" s="316">
        <v>4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11007</v>
      </c>
      <c r="C5" s="59" t="s">
        <v>169</v>
      </c>
      <c r="D5" s="190" t="s">
        <v>170</v>
      </c>
      <c r="E5" s="171" t="s">
        <v>92</v>
      </c>
      <c r="F5" s="160">
        <v>945</v>
      </c>
      <c r="G5" s="109" t="s">
        <v>126</v>
      </c>
      <c r="H5" s="82"/>
      <c r="I5" s="115"/>
      <c r="J5" s="120" t="str">
        <f>IF(G5="RSL","55","0")</f>
        <v>0</v>
      </c>
      <c r="K5" s="120">
        <v>55</v>
      </c>
      <c r="L5" s="121"/>
      <c r="M5" s="121"/>
      <c r="N5" s="124" t="s">
        <v>99</v>
      </c>
      <c r="O5" s="363" t="s">
        <v>205</v>
      </c>
      <c r="P5" s="364"/>
      <c r="Q5" s="365"/>
      <c r="R5" s="32" t="s">
        <v>99</v>
      </c>
      <c r="S5" s="30">
        <v>0.33333333333333331</v>
      </c>
      <c r="T5" s="31">
        <v>0.66666666666666663</v>
      </c>
      <c r="U5" s="83">
        <f t="shared" ref="U5:U15" si="0">(T5-S5)*24</f>
        <v>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11008</v>
      </c>
      <c r="C6" s="58" t="s">
        <v>171</v>
      </c>
      <c r="D6" s="190" t="s">
        <v>172</v>
      </c>
      <c r="E6" s="171" t="s">
        <v>92</v>
      </c>
      <c r="F6" s="161">
        <v>1010</v>
      </c>
      <c r="G6" s="109" t="s">
        <v>126</v>
      </c>
      <c r="H6" s="82"/>
      <c r="I6" s="115">
        <v>75.75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318"/>
      <c r="P6" s="319"/>
      <c r="Q6" s="320"/>
      <c r="R6" s="122" t="s">
        <v>127</v>
      </c>
      <c r="S6" s="30">
        <v>0.35416666666666669</v>
      </c>
      <c r="T6" s="31">
        <v>0.66666666666666663</v>
      </c>
      <c r="U6" s="83">
        <f t="shared" si="0"/>
        <v>7.4999999999999982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249">
        <v>3</v>
      </c>
      <c r="B7" s="250">
        <v>11009</v>
      </c>
      <c r="C7" s="251" t="s">
        <v>173</v>
      </c>
      <c r="D7" s="252" t="s">
        <v>174</v>
      </c>
      <c r="E7" s="253" t="s">
        <v>91</v>
      </c>
      <c r="F7" s="254">
        <v>1015</v>
      </c>
      <c r="G7" s="250" t="s">
        <v>149</v>
      </c>
      <c r="H7" s="255"/>
      <c r="I7" s="255"/>
      <c r="J7" s="255" t="str">
        <f t="shared" si="1"/>
        <v>0</v>
      </c>
      <c r="K7" s="255">
        <v>79.16</v>
      </c>
      <c r="L7" s="256"/>
      <c r="M7" s="256">
        <v>479.75</v>
      </c>
      <c r="N7" s="257" t="s">
        <v>99</v>
      </c>
      <c r="O7" s="366" t="s">
        <v>175</v>
      </c>
      <c r="P7" s="367"/>
      <c r="Q7" s="368"/>
      <c r="R7" s="124" t="s">
        <v>134</v>
      </c>
      <c r="S7" s="30">
        <v>0.38541666666666669</v>
      </c>
      <c r="T7" s="31">
        <v>0.66666666666666663</v>
      </c>
      <c r="U7" s="83">
        <f t="shared" si="0"/>
        <v>6.7499999999999982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11010</v>
      </c>
      <c r="C8" s="26" t="s">
        <v>176</v>
      </c>
      <c r="D8" s="190" t="s">
        <v>174</v>
      </c>
      <c r="E8" s="171" t="s">
        <v>91</v>
      </c>
      <c r="F8" s="161">
        <v>1015</v>
      </c>
      <c r="G8" s="109" t="s">
        <v>149</v>
      </c>
      <c r="H8" s="82"/>
      <c r="I8" s="115"/>
      <c r="J8" s="120" t="str">
        <f t="shared" si="1"/>
        <v>0</v>
      </c>
      <c r="K8" s="120">
        <v>79.16</v>
      </c>
      <c r="L8" s="121"/>
      <c r="M8" s="121"/>
      <c r="N8" s="124" t="s">
        <v>99</v>
      </c>
      <c r="O8" s="321" t="s">
        <v>177</v>
      </c>
      <c r="P8" s="322"/>
      <c r="Q8" s="323"/>
      <c r="R8" s="25" t="s">
        <v>168</v>
      </c>
      <c r="S8" s="30">
        <v>0.41666666666666669</v>
      </c>
      <c r="T8" s="31">
        <v>0.64583333333333337</v>
      </c>
      <c r="U8" s="83">
        <f t="shared" si="0"/>
        <v>5.5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11011</v>
      </c>
      <c r="C9" s="54" t="s">
        <v>178</v>
      </c>
      <c r="D9" s="191" t="s">
        <v>179</v>
      </c>
      <c r="E9" s="171" t="s">
        <v>92</v>
      </c>
      <c r="F9" s="162">
        <v>1030</v>
      </c>
      <c r="G9" s="110" t="s">
        <v>103</v>
      </c>
      <c r="H9" s="82"/>
      <c r="I9" s="82">
        <v>75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321"/>
      <c r="P9" s="322"/>
      <c r="Q9" s="323"/>
      <c r="R9" s="25" t="s">
        <v>199</v>
      </c>
      <c r="S9" s="30">
        <v>0.41666666666666669</v>
      </c>
      <c r="T9" s="31">
        <v>0.57291666666666663</v>
      </c>
      <c r="U9" s="83">
        <f t="shared" si="0"/>
        <v>3.7499999999999987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11012</v>
      </c>
      <c r="C10" s="27" t="s">
        <v>180</v>
      </c>
      <c r="D10" s="192" t="s">
        <v>181</v>
      </c>
      <c r="E10" s="171" t="s">
        <v>91</v>
      </c>
      <c r="F10" s="163">
        <v>1045</v>
      </c>
      <c r="G10" s="111" t="s">
        <v>145</v>
      </c>
      <c r="H10" s="114"/>
      <c r="I10" s="116"/>
      <c r="J10" s="120" t="str">
        <f t="shared" si="1"/>
        <v>0</v>
      </c>
      <c r="K10" s="120">
        <v>70.83</v>
      </c>
      <c r="L10" s="121"/>
      <c r="M10" s="121"/>
      <c r="N10" s="124" t="s">
        <v>99</v>
      </c>
      <c r="O10" s="313" t="s">
        <v>182</v>
      </c>
      <c r="P10" s="314"/>
      <c r="Q10" s="31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11013</v>
      </c>
      <c r="C11" s="17" t="s">
        <v>183</v>
      </c>
      <c r="D11" s="193" t="s">
        <v>184</v>
      </c>
      <c r="E11" s="171" t="s">
        <v>92</v>
      </c>
      <c r="F11" s="57">
        <v>1100</v>
      </c>
      <c r="G11" s="112" t="s">
        <v>126</v>
      </c>
      <c r="H11" s="114"/>
      <c r="I11" s="115">
        <v>75.75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291"/>
      <c r="P11" s="290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11014</v>
      </c>
      <c r="C12" s="55" t="s">
        <v>185</v>
      </c>
      <c r="D12" s="194" t="s">
        <v>186</v>
      </c>
      <c r="E12" s="171" t="s">
        <v>92</v>
      </c>
      <c r="F12" s="163">
        <v>1115</v>
      </c>
      <c r="G12" s="110" t="s">
        <v>126</v>
      </c>
      <c r="H12" s="114">
        <v>75</v>
      </c>
      <c r="I12" s="116"/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99</v>
      </c>
      <c r="O12" s="291"/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11015</v>
      </c>
      <c r="C13" s="55" t="s">
        <v>187</v>
      </c>
      <c r="D13" s="194" t="s">
        <v>188</v>
      </c>
      <c r="E13" s="171" t="s">
        <v>92</v>
      </c>
      <c r="F13" s="163">
        <v>1130</v>
      </c>
      <c r="G13" s="110" t="s">
        <v>103</v>
      </c>
      <c r="H13" s="159"/>
      <c r="I13" s="158">
        <v>75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99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11016</v>
      </c>
      <c r="C14" s="56" t="s">
        <v>189</v>
      </c>
      <c r="D14" s="195" t="s">
        <v>190</v>
      </c>
      <c r="E14" s="171" t="s">
        <v>92</v>
      </c>
      <c r="F14" s="164">
        <v>1145</v>
      </c>
      <c r="G14" s="113" t="s">
        <v>103</v>
      </c>
      <c r="H14" s="114"/>
      <c r="I14" s="116">
        <v>75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99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11017</v>
      </c>
      <c r="C15" s="56" t="s">
        <v>191</v>
      </c>
      <c r="D15" s="195" t="s">
        <v>192</v>
      </c>
      <c r="E15" s="171" t="s">
        <v>92</v>
      </c>
      <c r="F15" s="164">
        <v>1215</v>
      </c>
      <c r="G15" s="113" t="s">
        <v>126</v>
      </c>
      <c r="H15" s="114"/>
      <c r="I15" s="115">
        <v>75.75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99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11018</v>
      </c>
      <c r="C16" s="56" t="s">
        <v>193</v>
      </c>
      <c r="D16" s="195" t="s">
        <v>194</v>
      </c>
      <c r="E16" s="171" t="s">
        <v>92</v>
      </c>
      <c r="F16" s="164">
        <v>1230</v>
      </c>
      <c r="G16" s="113" t="s">
        <v>126</v>
      </c>
      <c r="H16" s="114"/>
      <c r="I16" s="115">
        <v>55.55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99</v>
      </c>
      <c r="O16" s="291"/>
      <c r="P16" s="290"/>
      <c r="Q16" s="292"/>
      <c r="R16" s="73">
        <f>H32/U16</f>
        <v>0.50793650793650802</v>
      </c>
      <c r="S16" s="74">
        <f>H32/(U16-U5)</f>
        <v>0.68085106382978733</v>
      </c>
      <c r="T16" s="74">
        <f>C32/U16</f>
        <v>37.887301587301586</v>
      </c>
      <c r="U16" s="74">
        <f>SUM(U5:U15)</f>
        <v>31.499999999999996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11019</v>
      </c>
      <c r="C17" s="17" t="s">
        <v>195</v>
      </c>
      <c r="D17" s="193" t="s">
        <v>196</v>
      </c>
      <c r="E17" s="171" t="s">
        <v>92</v>
      </c>
      <c r="F17" s="57">
        <v>1320</v>
      </c>
      <c r="G17" s="112" t="s">
        <v>103</v>
      </c>
      <c r="H17" s="114"/>
      <c r="I17" s="115">
        <v>95.95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99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11020</v>
      </c>
      <c r="C18" s="17" t="s">
        <v>197</v>
      </c>
      <c r="D18" s="193" t="s">
        <v>198</v>
      </c>
      <c r="E18" s="171" t="s">
        <v>92</v>
      </c>
      <c r="F18" s="57">
        <v>1400</v>
      </c>
      <c r="G18" s="19" t="s">
        <v>126</v>
      </c>
      <c r="H18" s="114"/>
      <c r="I18" s="115">
        <v>75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99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11021</v>
      </c>
      <c r="C19" s="17" t="s">
        <v>200</v>
      </c>
      <c r="D19" s="193" t="s">
        <v>201</v>
      </c>
      <c r="E19" s="171" t="s">
        <v>91</v>
      </c>
      <c r="F19" s="57">
        <v>1510</v>
      </c>
      <c r="G19" s="112" t="s">
        <v>165</v>
      </c>
      <c r="H19" s="114"/>
      <c r="I19" s="115"/>
      <c r="J19" s="120" t="str">
        <f t="shared" si="1"/>
        <v>0</v>
      </c>
      <c r="K19" s="120">
        <v>100</v>
      </c>
      <c r="L19" s="121"/>
      <c r="M19" s="121"/>
      <c r="N19" s="124" t="s">
        <v>99</v>
      </c>
      <c r="O19" s="291" t="s">
        <v>204</v>
      </c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479.75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11022</v>
      </c>
      <c r="C20" s="17" t="s">
        <v>202</v>
      </c>
      <c r="D20" s="193" t="s">
        <v>203</v>
      </c>
      <c r="E20" s="171" t="s">
        <v>92</v>
      </c>
      <c r="F20" s="57">
        <v>1520</v>
      </c>
      <c r="G20" s="112" t="s">
        <v>109</v>
      </c>
      <c r="H20" s="114"/>
      <c r="I20" s="209">
        <v>55.55</v>
      </c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99</v>
      </c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1193.4499999999998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75</v>
      </c>
      <c r="I30" s="96">
        <f>SUM(I5:I29)</f>
        <v>734.3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384.15</v>
      </c>
      <c r="L30" s="97">
        <f t="shared" si="3"/>
        <v>0</v>
      </c>
      <c r="M30" s="97">
        <f t="shared" si="3"/>
        <v>479.75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75</v>
      </c>
      <c r="I31" s="94">
        <f t="shared" si="4"/>
        <v>734.3</v>
      </c>
      <c r="J31" s="94">
        <f t="shared" si="4"/>
        <v>0</v>
      </c>
      <c r="K31" s="94">
        <f>K30+K62+K94</f>
        <v>384.15</v>
      </c>
      <c r="L31" s="88">
        <f>L30+L62+L94</f>
        <v>0</v>
      </c>
      <c r="M31" s="88">
        <f>M30+M62+M94</f>
        <v>479.75</v>
      </c>
      <c r="N31" s="207">
        <f>COUNT(H5:H29,H37:H61,H69:H93)</f>
        <v>1</v>
      </c>
      <c r="O31" s="95">
        <f>COUNT(I5:I29,I37:I61,I69:I93)</f>
        <v>10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75</v>
      </c>
      <c r="T31" s="330">
        <f>H31+I31+L31+M31</f>
        <v>1289.05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0" t="s">
        <v>55</v>
      </c>
      <c r="B32" s="351"/>
      <c r="C32" s="98">
        <f>H31+I31+J31+K31</f>
        <v>1193.4499999999998</v>
      </c>
      <c r="D32" s="186"/>
      <c r="E32" s="98"/>
      <c r="F32" s="352" t="s">
        <v>53</v>
      </c>
      <c r="G32" s="352"/>
      <c r="H32" s="100">
        <f>COUNT(B5:B29,B37:B61,B69:B93)</f>
        <v>16</v>
      </c>
      <c r="I32" s="353" t="s">
        <v>54</v>
      </c>
      <c r="J32" s="353"/>
      <c r="K32" s="99">
        <f>C32/H32</f>
        <v>74.590624999999989</v>
      </c>
      <c r="L32" s="208"/>
      <c r="M32" s="208"/>
      <c r="N32" s="208">
        <f>H31/C32</f>
        <v>6.2843018140684576E-2</v>
      </c>
      <c r="O32" s="208">
        <f>I31/C32</f>
        <v>0.61527504294272917</v>
      </c>
      <c r="P32" s="208">
        <f>K31/C32</f>
        <v>0.3218819389165864</v>
      </c>
      <c r="Q32" s="101">
        <f>J31/C32</f>
        <v>0</v>
      </c>
      <c r="R32" s="90" t="s">
        <v>82</v>
      </c>
      <c r="S32" s="203">
        <f>I31+M31</f>
        <v>1214.05</v>
      </c>
      <c r="T32" s="332"/>
      <c r="U32" s="333"/>
      <c r="V32" s="39"/>
      <c r="W32" s="39"/>
      <c r="X32" s="48" t="s">
        <v>27</v>
      </c>
      <c r="Y32" s="48"/>
      <c r="Z32" s="47">
        <f>I31</f>
        <v>734.3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-2010.7</v>
      </c>
      <c r="AG33" s="35"/>
    </row>
    <row r="34" spans="1:33" ht="17.25" thickBot="1" x14ac:dyDescent="0.35">
      <c r="A34" s="324" t="str">
        <f>A2</f>
        <v>7 - 9 - 2022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HENDRA</v>
      </c>
      <c r="P34" s="325"/>
      <c r="Q34" s="326"/>
      <c r="R34" s="328" t="s">
        <v>51</v>
      </c>
      <c r="S34" s="327"/>
      <c r="T34" s="316">
        <f>T2</f>
        <v>4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7 - 9 - 2022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HENDRA</v>
      </c>
      <c r="P66" s="325"/>
      <c r="Q66" s="326"/>
      <c r="R66" s="328" t="s">
        <v>51</v>
      </c>
      <c r="S66" s="327"/>
      <c r="T66" s="316">
        <f>T34</f>
        <v>4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J34" sqref="J34:K34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206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128</v>
      </c>
      <c r="K2" s="326"/>
      <c r="L2" s="328" t="s">
        <v>96</v>
      </c>
      <c r="M2" s="329"/>
      <c r="N2" s="327"/>
      <c r="O2" s="325" t="s">
        <v>98</v>
      </c>
      <c r="P2" s="325"/>
      <c r="Q2" s="326"/>
      <c r="R2" s="328" t="s">
        <v>51</v>
      </c>
      <c r="S2" s="327"/>
      <c r="T2" s="316">
        <v>4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11023</v>
      </c>
      <c r="C5" s="59" t="s">
        <v>207</v>
      </c>
      <c r="D5" s="190" t="s">
        <v>208</v>
      </c>
      <c r="E5" s="171" t="s">
        <v>92</v>
      </c>
      <c r="F5" s="160">
        <v>930</v>
      </c>
      <c r="G5" s="109" t="s">
        <v>44</v>
      </c>
      <c r="H5" s="82"/>
      <c r="I5" s="115"/>
      <c r="J5" s="120">
        <v>110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63" t="s">
        <v>209</v>
      </c>
      <c r="P5" s="364"/>
      <c r="Q5" s="365"/>
      <c r="R5" s="32" t="s">
        <v>98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11024</v>
      </c>
      <c r="C6" s="58" t="s">
        <v>210</v>
      </c>
      <c r="D6" s="190" t="s">
        <v>211</v>
      </c>
      <c r="E6" s="171" t="s">
        <v>92</v>
      </c>
      <c r="F6" s="161">
        <v>930</v>
      </c>
      <c r="G6" s="109" t="s">
        <v>149</v>
      </c>
      <c r="H6" s="82"/>
      <c r="I6" s="115"/>
      <c r="J6" s="120" t="str">
        <f t="shared" ref="J6:J29" si="1">IF(G6="RSL","55","0")</f>
        <v>0</v>
      </c>
      <c r="K6" s="120">
        <v>79.16</v>
      </c>
      <c r="L6" s="121"/>
      <c r="M6" s="121"/>
      <c r="N6" s="124" t="s">
        <v>98</v>
      </c>
      <c r="O6" s="318" t="s">
        <v>212</v>
      </c>
      <c r="P6" s="319"/>
      <c r="Q6" s="320"/>
      <c r="R6" s="122" t="s">
        <v>127</v>
      </c>
      <c r="S6" s="30">
        <v>0.41666666666666669</v>
      </c>
      <c r="T6" s="31">
        <v>0.66666666666666663</v>
      </c>
      <c r="U6" s="83">
        <f t="shared" si="0"/>
        <v>5.9999999999999982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11025</v>
      </c>
      <c r="C7" s="58" t="s">
        <v>213</v>
      </c>
      <c r="D7" s="190" t="s">
        <v>214</v>
      </c>
      <c r="E7" s="171" t="s">
        <v>92</v>
      </c>
      <c r="F7" s="161">
        <v>950</v>
      </c>
      <c r="G7" s="109" t="s">
        <v>103</v>
      </c>
      <c r="H7" s="82"/>
      <c r="I7" s="115">
        <v>95.95</v>
      </c>
      <c r="J7" s="120" t="str">
        <f t="shared" si="1"/>
        <v>0</v>
      </c>
      <c r="K7" s="120" t="str">
        <f t="shared" ref="K7:K29" si="2">IF(G7="GVS","37.5",IF(G7="GVM","41.5",IF(G7="GVL","50",IF(G7="PCS","45.8",IF(G7="PCM","50",IF(G7="PCL","58.3","0"))))))</f>
        <v>0</v>
      </c>
      <c r="L7" s="121"/>
      <c r="M7" s="121"/>
      <c r="N7" s="124" t="s">
        <v>98</v>
      </c>
      <c r="O7" s="291"/>
      <c r="P7" s="290"/>
      <c r="Q7" s="292"/>
      <c r="R7" s="124" t="s">
        <v>134</v>
      </c>
      <c r="S7" s="30">
        <v>0.41666666666666669</v>
      </c>
      <c r="T7" s="31">
        <v>0.70833333333333337</v>
      </c>
      <c r="U7" s="83">
        <f t="shared" si="0"/>
        <v>7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11026</v>
      </c>
      <c r="C8" s="26" t="s">
        <v>215</v>
      </c>
      <c r="D8" s="190" t="s">
        <v>216</v>
      </c>
      <c r="E8" s="171" t="s">
        <v>92</v>
      </c>
      <c r="F8" s="161">
        <v>1025</v>
      </c>
      <c r="G8" s="109" t="s">
        <v>165</v>
      </c>
      <c r="H8" s="82"/>
      <c r="I8" s="115"/>
      <c r="J8" s="120" t="str">
        <f t="shared" si="1"/>
        <v>0</v>
      </c>
      <c r="K8" s="120">
        <v>62.5</v>
      </c>
      <c r="L8" s="121"/>
      <c r="M8" s="121"/>
      <c r="N8" s="124" t="s">
        <v>98</v>
      </c>
      <c r="O8" s="321" t="s">
        <v>217</v>
      </c>
      <c r="P8" s="322"/>
      <c r="Q8" s="323"/>
      <c r="R8" s="25" t="s">
        <v>168</v>
      </c>
      <c r="S8" s="30">
        <v>0.5</v>
      </c>
      <c r="T8" s="31">
        <v>0.70833333333333337</v>
      </c>
      <c r="U8" s="83">
        <f t="shared" si="0"/>
        <v>5.0000000000000009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11027</v>
      </c>
      <c r="C9" s="54" t="s">
        <v>218</v>
      </c>
      <c r="D9" s="191" t="s">
        <v>219</v>
      </c>
      <c r="E9" s="171" t="s">
        <v>92</v>
      </c>
      <c r="F9" s="162">
        <v>1040</v>
      </c>
      <c r="G9" s="110" t="s">
        <v>103</v>
      </c>
      <c r="H9" s="82">
        <v>75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21"/>
      <c r="P9" s="322"/>
      <c r="Q9" s="323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11028</v>
      </c>
      <c r="C10" s="27" t="s">
        <v>220</v>
      </c>
      <c r="D10" s="192" t="s">
        <v>221</v>
      </c>
      <c r="E10" s="171" t="s">
        <v>91</v>
      </c>
      <c r="F10" s="163">
        <v>1040</v>
      </c>
      <c r="G10" s="111" t="s">
        <v>149</v>
      </c>
      <c r="H10" s="114"/>
      <c r="I10" s="116"/>
      <c r="J10" s="120" t="str">
        <f t="shared" si="1"/>
        <v>0</v>
      </c>
      <c r="K10" s="120">
        <v>79.16</v>
      </c>
      <c r="L10" s="121"/>
      <c r="M10" s="121"/>
      <c r="N10" s="124" t="s">
        <v>98</v>
      </c>
      <c r="O10" s="313" t="s">
        <v>222</v>
      </c>
      <c r="P10" s="314"/>
      <c r="Q10" s="31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11029</v>
      </c>
      <c r="C11" s="17" t="s">
        <v>223</v>
      </c>
      <c r="D11" s="193" t="s">
        <v>224</v>
      </c>
      <c r="E11" s="171" t="s">
        <v>92</v>
      </c>
      <c r="F11" s="57">
        <v>1045</v>
      </c>
      <c r="G11" s="112" t="s">
        <v>109</v>
      </c>
      <c r="H11" s="114"/>
      <c r="I11" s="115">
        <v>65.650000000000006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291"/>
      <c r="P11" s="290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11030</v>
      </c>
      <c r="C12" s="55" t="s">
        <v>225</v>
      </c>
      <c r="D12" s="194" t="s">
        <v>226</v>
      </c>
      <c r="E12" s="171" t="s">
        <v>92</v>
      </c>
      <c r="F12" s="163">
        <v>1045</v>
      </c>
      <c r="G12" s="110" t="s">
        <v>103</v>
      </c>
      <c r="H12" s="114"/>
      <c r="I12" s="116">
        <v>75.75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291"/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11031</v>
      </c>
      <c r="C13" s="55" t="s">
        <v>227</v>
      </c>
      <c r="D13" s="194" t="s">
        <v>228</v>
      </c>
      <c r="E13" s="171" t="s">
        <v>92</v>
      </c>
      <c r="F13" s="163">
        <v>1130</v>
      </c>
      <c r="G13" s="110" t="s">
        <v>111</v>
      </c>
      <c r="H13" s="159">
        <v>130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11032</v>
      </c>
      <c r="C14" s="56" t="s">
        <v>229</v>
      </c>
      <c r="D14" s="195" t="s">
        <v>230</v>
      </c>
      <c r="E14" s="171" t="s">
        <v>92</v>
      </c>
      <c r="F14" s="164">
        <v>1200</v>
      </c>
      <c r="G14" s="113" t="s">
        <v>103</v>
      </c>
      <c r="H14" s="114">
        <v>95</v>
      </c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11033</v>
      </c>
      <c r="C15" s="56" t="s">
        <v>231</v>
      </c>
      <c r="D15" s="195" t="s">
        <v>232</v>
      </c>
      <c r="E15" s="171" t="s">
        <v>92</v>
      </c>
      <c r="F15" s="164">
        <v>1210</v>
      </c>
      <c r="G15" s="113" t="s">
        <v>103</v>
      </c>
      <c r="H15" s="114"/>
      <c r="I15" s="115">
        <v>95.95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11034</v>
      </c>
      <c r="C16" s="56" t="s">
        <v>233</v>
      </c>
      <c r="D16" s="195" t="s">
        <v>234</v>
      </c>
      <c r="E16" s="171" t="s">
        <v>92</v>
      </c>
      <c r="F16" s="164">
        <v>1215</v>
      </c>
      <c r="G16" s="113" t="s">
        <v>103</v>
      </c>
      <c r="H16" s="114"/>
      <c r="I16" s="115">
        <v>95</v>
      </c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291"/>
      <c r="P16" s="290"/>
      <c r="Q16" s="292"/>
      <c r="R16" s="73">
        <f>H32/U16</f>
        <v>0.7407407407407407</v>
      </c>
      <c r="S16" s="74">
        <f>H32/(U16-U5)</f>
        <v>1.1111111111111112</v>
      </c>
      <c r="T16" s="74">
        <f>C32/U16</f>
        <v>62.4674074074074</v>
      </c>
      <c r="U16" s="74">
        <f>SUM(U5:U15)</f>
        <v>27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11035</v>
      </c>
      <c r="C17" s="17" t="s">
        <v>235</v>
      </c>
      <c r="D17" s="193" t="s">
        <v>236</v>
      </c>
      <c r="E17" s="171" t="s">
        <v>91</v>
      </c>
      <c r="F17" s="57">
        <v>1230</v>
      </c>
      <c r="G17" s="112" t="s">
        <v>126</v>
      </c>
      <c r="H17" s="114">
        <v>75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11036</v>
      </c>
      <c r="C18" s="17" t="s">
        <v>237</v>
      </c>
      <c r="D18" s="193" t="s">
        <v>238</v>
      </c>
      <c r="E18" s="171" t="s">
        <v>92</v>
      </c>
      <c r="F18" s="57">
        <v>1230</v>
      </c>
      <c r="G18" s="19" t="s">
        <v>111</v>
      </c>
      <c r="H18" s="114"/>
      <c r="I18" s="115">
        <v>120</v>
      </c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98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11037</v>
      </c>
      <c r="C19" s="17" t="s">
        <v>239</v>
      </c>
      <c r="D19" s="193" t="s">
        <v>240</v>
      </c>
      <c r="E19" s="171" t="s">
        <v>92</v>
      </c>
      <c r="F19" s="57">
        <v>1300</v>
      </c>
      <c r="G19" s="112" t="s">
        <v>126</v>
      </c>
      <c r="H19" s="114">
        <v>70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291" t="s">
        <v>241</v>
      </c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378.75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11038</v>
      </c>
      <c r="C20" s="17" t="s">
        <v>242</v>
      </c>
      <c r="D20" s="193" t="s">
        <v>243</v>
      </c>
      <c r="E20" s="171" t="s">
        <v>92</v>
      </c>
      <c r="F20" s="57">
        <v>1300</v>
      </c>
      <c r="G20" s="112" t="s">
        <v>126</v>
      </c>
      <c r="H20" s="114">
        <v>75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11039</v>
      </c>
      <c r="C21" s="17" t="s">
        <v>245</v>
      </c>
      <c r="D21" s="193" t="s">
        <v>246</v>
      </c>
      <c r="E21" s="171" t="s">
        <v>92</v>
      </c>
      <c r="F21" s="57">
        <v>1305</v>
      </c>
      <c r="G21" s="19" t="s">
        <v>126</v>
      </c>
      <c r="H21" s="114"/>
      <c r="I21" s="115">
        <v>75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98</v>
      </c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11040</v>
      </c>
      <c r="C22" s="21"/>
      <c r="D22" s="196" t="s">
        <v>244</v>
      </c>
      <c r="E22" s="171" t="s">
        <v>92</v>
      </c>
      <c r="F22" s="165">
        <v>1430</v>
      </c>
      <c r="G22" s="204" t="s">
        <v>103</v>
      </c>
      <c r="H22" s="80">
        <v>75</v>
      </c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 t="s">
        <v>98</v>
      </c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11041</v>
      </c>
      <c r="C23" s="126" t="s">
        <v>250</v>
      </c>
      <c r="D23" s="197" t="s">
        <v>251</v>
      </c>
      <c r="E23" s="171" t="s">
        <v>92</v>
      </c>
      <c r="F23" s="166">
        <v>1505</v>
      </c>
      <c r="G23" s="155" t="s">
        <v>103</v>
      </c>
      <c r="H23" s="80">
        <v>75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265" t="s">
        <v>98</v>
      </c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35">
      <c r="A24" s="258">
        <v>20</v>
      </c>
      <c r="B24" s="263">
        <v>11042</v>
      </c>
      <c r="C24" s="266" t="s">
        <v>248</v>
      </c>
      <c r="D24" s="267" t="s">
        <v>247</v>
      </c>
      <c r="E24" s="253" t="s">
        <v>91</v>
      </c>
      <c r="F24" s="268">
        <v>1522</v>
      </c>
      <c r="G24" s="263" t="s">
        <v>165</v>
      </c>
      <c r="H24" s="262"/>
      <c r="I24" s="262"/>
      <c r="J24" s="255" t="str">
        <f t="shared" si="1"/>
        <v>0</v>
      </c>
      <c r="K24" s="255">
        <v>62.5</v>
      </c>
      <c r="L24" s="255"/>
      <c r="M24" s="255">
        <v>378.75</v>
      </c>
      <c r="N24" s="257" t="s">
        <v>98</v>
      </c>
      <c r="O24" s="366" t="s">
        <v>249</v>
      </c>
      <c r="P24" s="367"/>
      <c r="Q24" s="368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1686.62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670</v>
      </c>
      <c r="I30" s="96">
        <f>SUM(I5:I29)</f>
        <v>623.29999999999995</v>
      </c>
      <c r="J30" s="96">
        <f>J5+J6+J7+J8+J9+J10+J11+J12+J13+J14+J15+J16+J18+J19+J17+J20+J22+J23+J21+J24+J25+J26+J27+J28+J29</f>
        <v>110</v>
      </c>
      <c r="K30" s="96">
        <f>K5+K6+K7+K8+K9+K10+K11+K12+K13+K14+K15+K16+K18+K19+K17+K20+K22+K23+K21+K24+K25+K26+K27+K28+K29</f>
        <v>283.32</v>
      </c>
      <c r="L30" s="97">
        <f t="shared" si="3"/>
        <v>0</v>
      </c>
      <c r="M30" s="97">
        <f t="shared" si="3"/>
        <v>378.75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670</v>
      </c>
      <c r="I31" s="94">
        <f t="shared" si="4"/>
        <v>623.29999999999995</v>
      </c>
      <c r="J31" s="94">
        <f t="shared" si="4"/>
        <v>110</v>
      </c>
      <c r="K31" s="94">
        <f>K30+K62+K94</f>
        <v>283.32</v>
      </c>
      <c r="L31" s="88">
        <f>L30+L62+L94</f>
        <v>0</v>
      </c>
      <c r="M31" s="88">
        <f>M30+M62+M94</f>
        <v>378.75</v>
      </c>
      <c r="N31" s="207">
        <f>COUNT(H5:H29,H37:H61,H69:H93)</f>
        <v>8</v>
      </c>
      <c r="O31" s="95">
        <f>COUNT(I5:I29,I37:I61,I69:I93)</f>
        <v>7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1</v>
      </c>
      <c r="R31" s="89" t="s">
        <v>83</v>
      </c>
      <c r="S31" s="102">
        <f>H31+L31-U28-U29-U30</f>
        <v>670</v>
      </c>
      <c r="T31" s="330">
        <f>H31+I31+L31+M31</f>
        <v>1672.05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0" t="s">
        <v>55</v>
      </c>
      <c r="B32" s="351"/>
      <c r="C32" s="98">
        <f>H31+I31+J31+K31</f>
        <v>1686.62</v>
      </c>
      <c r="D32" s="186"/>
      <c r="E32" s="98"/>
      <c r="F32" s="352" t="s">
        <v>53</v>
      </c>
      <c r="G32" s="352"/>
      <c r="H32" s="100">
        <f>COUNT(B5:B29,B37:B61,B69:B93)</f>
        <v>20</v>
      </c>
      <c r="I32" s="353" t="s">
        <v>54</v>
      </c>
      <c r="J32" s="353"/>
      <c r="K32" s="99">
        <f>C32/H32</f>
        <v>84.330999999999989</v>
      </c>
      <c r="L32" s="208"/>
      <c r="M32" s="208"/>
      <c r="N32" s="208">
        <f>H31/C32</f>
        <v>0.397244192527066</v>
      </c>
      <c r="O32" s="208">
        <f>I31/C32</f>
        <v>0.36955567940614958</v>
      </c>
      <c r="P32" s="208">
        <f>K31/C32</f>
        <v>0.16798093227875871</v>
      </c>
      <c r="Q32" s="101">
        <f>J31/C32</f>
        <v>6.5219195788025763E-2</v>
      </c>
      <c r="R32" s="90" t="s">
        <v>82</v>
      </c>
      <c r="S32" s="203">
        <f>I31+M31</f>
        <v>1002.05</v>
      </c>
      <c r="T32" s="332"/>
      <c r="U32" s="333"/>
      <c r="V32" s="39"/>
      <c r="W32" s="39"/>
      <c r="X32" s="48" t="s">
        <v>27</v>
      </c>
      <c r="Y32" s="48"/>
      <c r="Z32" s="47">
        <f>I31</f>
        <v>623.29999999999995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-2121.6999999999998</v>
      </c>
      <c r="AG33" s="35"/>
    </row>
    <row r="34" spans="1:33" ht="17.25" thickBot="1" x14ac:dyDescent="0.35">
      <c r="A34" s="324" t="str">
        <f>A2</f>
        <v>08-09-2022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4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08-09-2022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4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1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abSelected="1" zoomScaleNormal="100" zoomScaleSheetLayoutView="77" workbookViewId="0">
      <selection activeCell="L21" sqref="L21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252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253</v>
      </c>
      <c r="K2" s="326"/>
      <c r="L2" s="328" t="s">
        <v>96</v>
      </c>
      <c r="M2" s="329"/>
      <c r="N2" s="327"/>
      <c r="O2" s="325" t="s">
        <v>99</v>
      </c>
      <c r="P2" s="325"/>
      <c r="Q2" s="326"/>
      <c r="R2" s="328" t="s">
        <v>51</v>
      </c>
      <c r="S2" s="327"/>
      <c r="T2" s="316">
        <v>2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11043</v>
      </c>
      <c r="C5" s="59" t="s">
        <v>254</v>
      </c>
      <c r="D5" s="190" t="s">
        <v>255</v>
      </c>
      <c r="E5" s="171" t="s">
        <v>92</v>
      </c>
      <c r="F5" s="160">
        <v>1010</v>
      </c>
      <c r="G5" s="109" t="s">
        <v>109</v>
      </c>
      <c r="H5" s="82"/>
      <c r="I5" s="115">
        <v>50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99</v>
      </c>
      <c r="O5" s="363" t="s">
        <v>256</v>
      </c>
      <c r="P5" s="364"/>
      <c r="Q5" s="365"/>
      <c r="R5" s="32" t="s">
        <v>99</v>
      </c>
      <c r="S5" s="30">
        <v>0.33333333333333331</v>
      </c>
      <c r="T5" s="31">
        <v>0.70833333333333337</v>
      </c>
      <c r="U5" s="83">
        <f t="shared" ref="U5:U15" si="0">(T5-S5)*24</f>
        <v>9.0000000000000018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11044</v>
      </c>
      <c r="C6" s="58" t="s">
        <v>259</v>
      </c>
      <c r="D6" s="190" t="s">
        <v>260</v>
      </c>
      <c r="E6" s="171" t="s">
        <v>91</v>
      </c>
      <c r="F6" s="161">
        <v>1140</v>
      </c>
      <c r="G6" s="109" t="s">
        <v>126</v>
      </c>
      <c r="H6" s="82"/>
      <c r="I6" s="115">
        <v>100</v>
      </c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134</v>
      </c>
      <c r="O6" s="318"/>
      <c r="P6" s="319"/>
      <c r="Q6" s="320"/>
      <c r="R6" s="122" t="s">
        <v>134</v>
      </c>
      <c r="S6" s="30">
        <v>0.42708333333333331</v>
      </c>
      <c r="T6" s="31">
        <v>0.70833333333333337</v>
      </c>
      <c r="U6" s="83">
        <f t="shared" si="0"/>
        <v>6.7500000000000018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11045</v>
      </c>
      <c r="C7" s="58" t="s">
        <v>257</v>
      </c>
      <c r="D7" s="190" t="s">
        <v>258</v>
      </c>
      <c r="E7" s="171" t="s">
        <v>92</v>
      </c>
      <c r="F7" s="161">
        <v>1200</v>
      </c>
      <c r="G7" s="109" t="s">
        <v>126</v>
      </c>
      <c r="H7" s="82"/>
      <c r="I7" s="115">
        <v>75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99</v>
      </c>
      <c r="O7" s="291"/>
      <c r="P7" s="290"/>
      <c r="Q7" s="292"/>
      <c r="R7" s="269"/>
      <c r="S7" s="30"/>
      <c r="T7" s="31"/>
      <c r="U7" s="83">
        <f t="shared" si="0"/>
        <v>0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11046</v>
      </c>
      <c r="C8" s="26" t="s">
        <v>261</v>
      </c>
      <c r="D8" s="190" t="s">
        <v>262</v>
      </c>
      <c r="E8" s="171" t="s">
        <v>91</v>
      </c>
      <c r="F8" s="161">
        <v>1330</v>
      </c>
      <c r="G8" s="109" t="s">
        <v>126</v>
      </c>
      <c r="H8" s="82"/>
      <c r="I8" s="115">
        <v>25</v>
      </c>
      <c r="J8" s="120" t="str">
        <f t="shared" si="1"/>
        <v>0</v>
      </c>
      <c r="K8" s="120">
        <v>50</v>
      </c>
      <c r="L8" s="121"/>
      <c r="M8" s="121"/>
      <c r="N8" s="124" t="s">
        <v>99</v>
      </c>
      <c r="O8" s="321" t="s">
        <v>263</v>
      </c>
      <c r="P8" s="322"/>
      <c r="Q8" s="323"/>
      <c r="R8" s="25"/>
      <c r="S8" s="30"/>
      <c r="T8" s="31"/>
      <c r="U8" s="83">
        <f t="shared" si="0"/>
        <v>0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11047</v>
      </c>
      <c r="C9" s="54" t="s">
        <v>264</v>
      </c>
      <c r="D9" s="191" t="s">
        <v>265</v>
      </c>
      <c r="E9" s="171" t="s">
        <v>91</v>
      </c>
      <c r="F9" s="162">
        <v>1345</v>
      </c>
      <c r="G9" s="110" t="s">
        <v>103</v>
      </c>
      <c r="H9" s="82"/>
      <c r="I9" s="82">
        <v>95.95</v>
      </c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321"/>
      <c r="P9" s="322"/>
      <c r="Q9" s="323"/>
      <c r="R9" s="25"/>
      <c r="S9" s="30"/>
      <c r="T9" s="31"/>
      <c r="U9" s="83">
        <f t="shared" si="0"/>
        <v>0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11048</v>
      </c>
      <c r="C10" s="27" t="s">
        <v>266</v>
      </c>
      <c r="D10" s="192" t="s">
        <v>267</v>
      </c>
      <c r="E10" s="171" t="s">
        <v>92</v>
      </c>
      <c r="F10" s="163">
        <v>1345</v>
      </c>
      <c r="G10" s="111" t="s">
        <v>268</v>
      </c>
      <c r="H10" s="114"/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99</v>
      </c>
      <c r="O10" s="313" t="s">
        <v>269</v>
      </c>
      <c r="P10" s="314"/>
      <c r="Q10" s="315"/>
      <c r="R10" s="25"/>
      <c r="S10" s="30"/>
      <c r="T10" s="31"/>
      <c r="U10" s="83">
        <f t="shared" si="0"/>
        <v>0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11049</v>
      </c>
      <c r="C11" s="57">
        <v>5689</v>
      </c>
      <c r="D11" s="193" t="s">
        <v>270</v>
      </c>
      <c r="E11" s="171" t="s">
        <v>92</v>
      </c>
      <c r="F11" s="57">
        <v>1510</v>
      </c>
      <c r="G11" s="112" t="s">
        <v>103</v>
      </c>
      <c r="H11" s="114"/>
      <c r="I11" s="115">
        <v>75.75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99</v>
      </c>
      <c r="O11" s="291"/>
      <c r="P11" s="290"/>
      <c r="Q11" s="292"/>
      <c r="R11" s="25"/>
      <c r="S11" s="30"/>
      <c r="T11" s="31"/>
      <c r="U11" s="83">
        <f t="shared" si="0"/>
        <v>0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258">
        <v>8</v>
      </c>
      <c r="B12" s="263">
        <v>11050</v>
      </c>
      <c r="C12" s="266" t="s">
        <v>271</v>
      </c>
      <c r="D12" s="267" t="s">
        <v>272</v>
      </c>
      <c r="E12" s="253" t="s">
        <v>92</v>
      </c>
      <c r="F12" s="268">
        <v>1600</v>
      </c>
      <c r="G12" s="263" t="s">
        <v>165</v>
      </c>
      <c r="H12" s="262"/>
      <c r="I12" s="262"/>
      <c r="J12" s="255" t="str">
        <f t="shared" si="1"/>
        <v>0</v>
      </c>
      <c r="K12" s="255">
        <v>62.5</v>
      </c>
      <c r="L12" s="256"/>
      <c r="M12" s="256">
        <v>375</v>
      </c>
      <c r="N12" s="257" t="s">
        <v>99</v>
      </c>
      <c r="O12" s="366" t="s">
        <v>273</v>
      </c>
      <c r="P12" s="367"/>
      <c r="Q12" s="368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/>
      <c r="C13" s="55"/>
      <c r="D13" s="194"/>
      <c r="E13" s="171"/>
      <c r="F13" s="163"/>
      <c r="G13" s="110"/>
      <c r="H13" s="159"/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/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/>
      <c r="C14" s="56"/>
      <c r="D14" s="195"/>
      <c r="E14" s="171"/>
      <c r="F14" s="164"/>
      <c r="G14" s="113"/>
      <c r="H14" s="114"/>
      <c r="I14" s="116"/>
      <c r="J14" s="120" t="str">
        <f t="shared" si="1"/>
        <v>0</v>
      </c>
      <c r="K14" s="120" t="str">
        <f t="shared" si="2"/>
        <v>0</v>
      </c>
      <c r="L14" s="121"/>
      <c r="M14" s="121"/>
      <c r="N14" s="124"/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/>
      <c r="C15" s="56"/>
      <c r="D15" s="195"/>
      <c r="E15" s="171"/>
      <c r="F15" s="164"/>
      <c r="G15" s="113"/>
      <c r="H15" s="114"/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/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/>
      <c r="C16" s="56"/>
      <c r="D16" s="195"/>
      <c r="E16" s="171"/>
      <c r="F16" s="164"/>
      <c r="G16" s="113"/>
      <c r="H16" s="114"/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/>
      <c r="O16" s="291"/>
      <c r="P16" s="290"/>
      <c r="Q16" s="292"/>
      <c r="R16" s="73">
        <f>H32/U16</f>
        <v>0.5079365079365078</v>
      </c>
      <c r="S16" s="74">
        <f>H32/(U16-U5)</f>
        <v>1.1851851851851849</v>
      </c>
      <c r="T16" s="74">
        <f>C32/U16</f>
        <v>33.917460317460311</v>
      </c>
      <c r="U16" s="74">
        <f>SUM(U5:U15)</f>
        <v>15.750000000000004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/>
      <c r="C17" s="17"/>
      <c r="D17" s="193"/>
      <c r="E17" s="171"/>
      <c r="F17" s="57"/>
      <c r="G17" s="112"/>
      <c r="H17" s="114"/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/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/>
      <c r="C18" s="17"/>
      <c r="D18" s="193"/>
      <c r="E18" s="171"/>
      <c r="F18" s="57"/>
      <c r="G18" s="19"/>
      <c r="H18" s="114"/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/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/>
      <c r="C19" s="17"/>
      <c r="D19" s="193"/>
      <c r="E19" s="171"/>
      <c r="F19" s="57"/>
      <c r="G19" s="112"/>
      <c r="H19" s="114"/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/>
      <c r="O19" s="291"/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375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/>
      <c r="C20" s="17"/>
      <c r="D20" s="193"/>
      <c r="E20" s="171"/>
      <c r="F20" s="57"/>
      <c r="G20" s="112"/>
      <c r="H20" s="114"/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/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/>
      <c r="C21" s="17"/>
      <c r="D21" s="193"/>
      <c r="E21" s="171"/>
      <c r="F21" s="57"/>
      <c r="G21" s="19"/>
      <c r="H21" s="114"/>
      <c r="I21" s="115"/>
      <c r="J21" s="120" t="str">
        <f t="shared" si="1"/>
        <v>0</v>
      </c>
      <c r="K21" s="120" t="str">
        <f t="shared" si="2"/>
        <v>0</v>
      </c>
      <c r="L21" s="121"/>
      <c r="M21" s="121"/>
      <c r="N21" s="124"/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/>
      <c r="C22" s="21"/>
      <c r="D22" s="196"/>
      <c r="E22" s="171"/>
      <c r="F22" s="165"/>
      <c r="G22" s="204"/>
      <c r="H22" s="80"/>
      <c r="I22" s="131"/>
      <c r="J22" s="120" t="str">
        <f t="shared" si="1"/>
        <v>0</v>
      </c>
      <c r="K22" s="120" t="str">
        <f t="shared" si="2"/>
        <v>0</v>
      </c>
      <c r="L22" s="60"/>
      <c r="M22" s="60"/>
      <c r="N22" s="124"/>
      <c r="O22" s="291"/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/>
      <c r="C23" s="126"/>
      <c r="D23" s="197"/>
      <c r="E23" s="171"/>
      <c r="F23" s="166"/>
      <c r="G23" s="155"/>
      <c r="H23" s="80"/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117"/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35">
      <c r="A24" s="125">
        <v>20</v>
      </c>
      <c r="B24" s="123"/>
      <c r="C24" s="21"/>
      <c r="D24" s="196"/>
      <c r="E24" s="171"/>
      <c r="F24" s="165"/>
      <c r="G24" s="204"/>
      <c r="H24" s="80"/>
      <c r="I24" s="131"/>
      <c r="J24" s="120" t="str">
        <f t="shared" si="1"/>
        <v>0</v>
      </c>
      <c r="K24" s="120" t="str">
        <f t="shared" si="2"/>
        <v>0</v>
      </c>
      <c r="L24" s="60"/>
      <c r="M24" s="60"/>
      <c r="N24" s="124"/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v>2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571.70000000000005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75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0</v>
      </c>
      <c r="I30" s="96">
        <f>SUM(I5:I29)</f>
        <v>421.7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112.5</v>
      </c>
      <c r="L30" s="97">
        <f t="shared" si="3"/>
        <v>0</v>
      </c>
      <c r="M30" s="97">
        <f t="shared" si="3"/>
        <v>375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0</v>
      </c>
      <c r="I31" s="94">
        <f t="shared" si="4"/>
        <v>421.7</v>
      </c>
      <c r="J31" s="94">
        <f t="shared" si="4"/>
        <v>0</v>
      </c>
      <c r="K31" s="94">
        <f>K30+K62+K94</f>
        <v>112.5</v>
      </c>
      <c r="L31" s="88">
        <f>L30+L62+L94</f>
        <v>0</v>
      </c>
      <c r="M31" s="88">
        <f>M30+M62+M94</f>
        <v>375</v>
      </c>
      <c r="N31" s="207">
        <f>COUNT(H5:H29,H37:H61,H69:H93)</f>
        <v>0</v>
      </c>
      <c r="O31" s="95">
        <f>COUNT(I5:I29,I37:I61,I69:I93)</f>
        <v>6</v>
      </c>
      <c r="P31" s="95">
        <f>COUNTIF(G5:G29,"G*")+COUNTIF(G37:G61,"G*")+COUNTIF(G69:G93,"G*")+COUNTIF(G5:G29,"P*")+COUNTIF(G37:G61,"P*")+COUNTIF(G69:G93,"P*")</f>
        <v>2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0</v>
      </c>
      <c r="T31" s="330">
        <f>H31+I31+L31+M31</f>
        <v>796.7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0" t="s">
        <v>55</v>
      </c>
      <c r="B32" s="351"/>
      <c r="C32" s="98">
        <f>H31+I31+J31+K31</f>
        <v>534.20000000000005</v>
      </c>
      <c r="D32" s="186"/>
      <c r="E32" s="98"/>
      <c r="F32" s="352" t="s">
        <v>53</v>
      </c>
      <c r="G32" s="352"/>
      <c r="H32" s="100">
        <f>COUNT(B5:B29,B37:B61,B69:B93)</f>
        <v>8</v>
      </c>
      <c r="I32" s="353" t="s">
        <v>54</v>
      </c>
      <c r="J32" s="353"/>
      <c r="K32" s="99">
        <f>C32/H32</f>
        <v>66.775000000000006</v>
      </c>
      <c r="L32" s="208"/>
      <c r="M32" s="208"/>
      <c r="N32" s="208">
        <f>H31/C32</f>
        <v>0</v>
      </c>
      <c r="O32" s="208">
        <f>I31/C32</f>
        <v>0.7894047173343316</v>
      </c>
      <c r="P32" s="208">
        <f>K31/C32</f>
        <v>0.21059528266566827</v>
      </c>
      <c r="Q32" s="101">
        <f>J31/C32</f>
        <v>0</v>
      </c>
      <c r="R32" s="90" t="s">
        <v>82</v>
      </c>
      <c r="S32" s="203">
        <f>I31+M31</f>
        <v>796.7</v>
      </c>
      <c r="T32" s="332"/>
      <c r="U32" s="333"/>
      <c r="V32" s="39"/>
      <c r="W32" s="39"/>
      <c r="X32" s="48" t="s">
        <v>27</v>
      </c>
      <c r="Y32" s="48"/>
      <c r="Z32" s="47">
        <f>I31</f>
        <v>421.7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-2323.3000000000002</v>
      </c>
      <c r="AG33" s="35"/>
    </row>
    <row r="34" spans="1:33" ht="17.25" thickBot="1" x14ac:dyDescent="0.35">
      <c r="A34" s="324" t="str">
        <f>A2</f>
        <v>9 - 9 - 2020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SHOWER</v>
      </c>
      <c r="K34" s="326"/>
      <c r="L34" s="328" t="s">
        <v>50</v>
      </c>
      <c r="M34" s="329"/>
      <c r="N34" s="327"/>
      <c r="O34" s="325" t="str">
        <f>O2</f>
        <v>HENDRA</v>
      </c>
      <c r="P34" s="325"/>
      <c r="Q34" s="326"/>
      <c r="R34" s="328" t="s">
        <v>51</v>
      </c>
      <c r="S34" s="327"/>
      <c r="T34" s="316">
        <f>T2</f>
        <v>2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9 - 9 - 2020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SHOWER</v>
      </c>
      <c r="K66" s="326"/>
      <c r="L66" s="328" t="s">
        <v>50</v>
      </c>
      <c r="M66" s="329"/>
      <c r="N66" s="327"/>
      <c r="O66" s="325" t="str">
        <f>O34</f>
        <v>HENDRA</v>
      </c>
      <c r="P66" s="325"/>
      <c r="Q66" s="326"/>
      <c r="R66" s="328" t="s">
        <v>51</v>
      </c>
      <c r="S66" s="327"/>
      <c r="T66" s="316">
        <f>T34</f>
        <v>2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H18" sqref="H18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274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128</v>
      </c>
      <c r="K2" s="326"/>
      <c r="L2" s="328" t="s">
        <v>96</v>
      </c>
      <c r="M2" s="329"/>
      <c r="N2" s="327"/>
      <c r="O2" s="325" t="s">
        <v>98</v>
      </c>
      <c r="P2" s="325"/>
      <c r="Q2" s="326"/>
      <c r="R2" s="328" t="s">
        <v>51</v>
      </c>
      <c r="S2" s="327"/>
      <c r="T2" s="316">
        <v>7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11051</v>
      </c>
      <c r="C5" s="59" t="s">
        <v>276</v>
      </c>
      <c r="D5" s="190" t="s">
        <v>277</v>
      </c>
      <c r="E5" s="171" t="s">
        <v>278</v>
      </c>
      <c r="F5" s="160">
        <v>925</v>
      </c>
      <c r="G5" s="109" t="s">
        <v>126</v>
      </c>
      <c r="H5" s="82"/>
      <c r="I5" s="115">
        <v>55.55</v>
      </c>
      <c r="J5" s="120" t="str">
        <f>IF(G5="RSL","55","0")</f>
        <v>0</v>
      </c>
      <c r="K5" s="120" t="str">
        <f>IF(G5="GVS","37.5",IF(G5="GVM","41.5",IF(G5="GVL","50",IF(G5="PCS","45.8",IF(G5="PCM","50",IF(G5="PCL","58.3","0"))))))</f>
        <v>0</v>
      </c>
      <c r="L5" s="121"/>
      <c r="M5" s="121"/>
      <c r="N5" s="124" t="s">
        <v>98</v>
      </c>
      <c r="O5" s="363"/>
      <c r="P5" s="364"/>
      <c r="Q5" s="365"/>
      <c r="R5" s="32" t="s">
        <v>98</v>
      </c>
      <c r="S5" s="30">
        <v>0.33333333333333331</v>
      </c>
      <c r="T5" s="31">
        <v>0.71875</v>
      </c>
      <c r="U5" s="83">
        <f t="shared" ref="U5:U15" si="0">(T5-S5)*24</f>
        <v>9.25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11052</v>
      </c>
      <c r="C6" s="58" t="s">
        <v>279</v>
      </c>
      <c r="D6" s="190" t="s">
        <v>280</v>
      </c>
      <c r="E6" s="171" t="s">
        <v>102</v>
      </c>
      <c r="F6" s="161">
        <v>935</v>
      </c>
      <c r="G6" s="109" t="s">
        <v>103</v>
      </c>
      <c r="H6" s="82">
        <v>95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98</v>
      </c>
      <c r="O6" s="318"/>
      <c r="P6" s="319"/>
      <c r="Q6" s="320"/>
      <c r="R6" s="122" t="s">
        <v>99</v>
      </c>
      <c r="S6" s="30">
        <v>0.33333333333333331</v>
      </c>
      <c r="T6" s="31">
        <v>0.71875</v>
      </c>
      <c r="U6" s="83">
        <f t="shared" si="0"/>
        <v>9.25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11053</v>
      </c>
      <c r="C7" s="58" t="s">
        <v>281</v>
      </c>
      <c r="D7" s="190" t="s">
        <v>282</v>
      </c>
      <c r="E7" s="171" t="s">
        <v>92</v>
      </c>
      <c r="F7" s="161">
        <v>945</v>
      </c>
      <c r="G7" s="109" t="s">
        <v>111</v>
      </c>
      <c r="H7" s="82">
        <v>120</v>
      </c>
      <c r="I7" s="115"/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98</v>
      </c>
      <c r="O7" s="291"/>
      <c r="P7" s="290"/>
      <c r="Q7" s="292"/>
      <c r="R7" s="124" t="s">
        <v>127</v>
      </c>
      <c r="S7" s="30">
        <v>0.42708333333333331</v>
      </c>
      <c r="T7" s="31">
        <v>0.70833333333333337</v>
      </c>
      <c r="U7" s="83">
        <f t="shared" si="0"/>
        <v>6.7500000000000018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11054</v>
      </c>
      <c r="C8" s="26" t="s">
        <v>283</v>
      </c>
      <c r="D8" s="190" t="s">
        <v>284</v>
      </c>
      <c r="E8" s="171" t="s">
        <v>91</v>
      </c>
      <c r="F8" s="161">
        <v>945</v>
      </c>
      <c r="G8" s="109" t="s">
        <v>126</v>
      </c>
      <c r="H8" s="82"/>
      <c r="I8" s="115">
        <v>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21"/>
      <c r="P8" s="322"/>
      <c r="Q8" s="323"/>
      <c r="R8" s="25" t="s">
        <v>168</v>
      </c>
      <c r="S8" s="30">
        <v>0.39583333333333331</v>
      </c>
      <c r="T8" s="31">
        <v>0.71875</v>
      </c>
      <c r="U8" s="83">
        <f t="shared" si="0"/>
        <v>7.75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11055</v>
      </c>
      <c r="C9" s="54" t="s">
        <v>287</v>
      </c>
      <c r="D9" s="191" t="s">
        <v>288</v>
      </c>
      <c r="E9" s="171" t="s">
        <v>92</v>
      </c>
      <c r="F9" s="162">
        <v>950</v>
      </c>
      <c r="G9" s="110" t="s">
        <v>111</v>
      </c>
      <c r="H9" s="82">
        <v>120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98</v>
      </c>
      <c r="O9" s="321"/>
      <c r="P9" s="322"/>
      <c r="Q9" s="323"/>
      <c r="R9" s="25" t="s">
        <v>275</v>
      </c>
      <c r="S9" s="30">
        <v>0.41666666666666669</v>
      </c>
      <c r="T9" s="31">
        <v>0.71875</v>
      </c>
      <c r="U9" s="83">
        <f t="shared" si="0"/>
        <v>7.25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123">
        <v>11056</v>
      </c>
      <c r="C10" s="27" t="s">
        <v>289</v>
      </c>
      <c r="D10" s="192" t="s">
        <v>290</v>
      </c>
      <c r="E10" s="171" t="s">
        <v>92</v>
      </c>
      <c r="F10" s="163">
        <v>955</v>
      </c>
      <c r="G10" s="111" t="s">
        <v>103</v>
      </c>
      <c r="H10" s="114">
        <v>75</v>
      </c>
      <c r="I10" s="116"/>
      <c r="J10" s="120" t="str">
        <f t="shared" si="1"/>
        <v>0</v>
      </c>
      <c r="K10" s="120" t="str">
        <f t="shared" si="2"/>
        <v>0</v>
      </c>
      <c r="L10" s="121"/>
      <c r="M10" s="121"/>
      <c r="N10" s="124" t="s">
        <v>98</v>
      </c>
      <c r="O10" s="313"/>
      <c r="P10" s="314"/>
      <c r="Q10" s="315"/>
      <c r="R10" s="25" t="s">
        <v>337</v>
      </c>
      <c r="S10" s="30">
        <v>0.41666666666666669</v>
      </c>
      <c r="T10" s="31">
        <v>0.70833333333333337</v>
      </c>
      <c r="U10" s="83">
        <f t="shared" si="0"/>
        <v>7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11057</v>
      </c>
      <c r="C11" s="54" t="s">
        <v>285</v>
      </c>
      <c r="D11" s="191" t="s">
        <v>286</v>
      </c>
      <c r="E11" s="171" t="s">
        <v>91</v>
      </c>
      <c r="F11" s="162">
        <v>1010</v>
      </c>
      <c r="G11" s="110" t="s">
        <v>103</v>
      </c>
      <c r="H11" s="82"/>
      <c r="I11" s="82">
        <v>101</v>
      </c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291"/>
      <c r="P11" s="290"/>
      <c r="Q11" s="292"/>
      <c r="R11" s="274" t="s">
        <v>338</v>
      </c>
      <c r="S11" s="275">
        <v>0.41666666666666669</v>
      </c>
      <c r="T11" s="276">
        <v>0.64583333333333337</v>
      </c>
      <c r="U11" s="83">
        <f t="shared" si="0"/>
        <v>5.5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11058</v>
      </c>
      <c r="C12" s="55" t="s">
        <v>291</v>
      </c>
      <c r="D12" s="194" t="s">
        <v>292</v>
      </c>
      <c r="E12" s="171" t="s">
        <v>92</v>
      </c>
      <c r="F12" s="163">
        <v>1040</v>
      </c>
      <c r="G12" s="110" t="s">
        <v>103</v>
      </c>
      <c r="H12" s="114"/>
      <c r="I12" s="116">
        <v>95.95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291"/>
      <c r="P12" s="290"/>
      <c r="Q12" s="292"/>
      <c r="R12" s="25"/>
      <c r="S12" s="30"/>
      <c r="T12" s="31"/>
      <c r="U12" s="83">
        <f t="shared" si="0"/>
        <v>0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11059</v>
      </c>
      <c r="C13" s="55" t="s">
        <v>293</v>
      </c>
      <c r="D13" s="194" t="s">
        <v>294</v>
      </c>
      <c r="E13" s="171" t="s">
        <v>91</v>
      </c>
      <c r="F13" s="163">
        <v>1100</v>
      </c>
      <c r="G13" s="110" t="s">
        <v>103</v>
      </c>
      <c r="H13" s="159">
        <v>95</v>
      </c>
      <c r="I13" s="158"/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11060</v>
      </c>
      <c r="C14" s="56" t="s">
        <v>295</v>
      </c>
      <c r="D14" s="195" t="s">
        <v>296</v>
      </c>
      <c r="E14" s="171" t="s">
        <v>92</v>
      </c>
      <c r="F14" s="164">
        <v>1105</v>
      </c>
      <c r="G14" s="113" t="s">
        <v>297</v>
      </c>
      <c r="H14" s="114"/>
      <c r="I14" s="116">
        <v>250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11061</v>
      </c>
      <c r="C15" s="56" t="s">
        <v>298</v>
      </c>
      <c r="D15" s="195" t="s">
        <v>299</v>
      </c>
      <c r="E15" s="171" t="s">
        <v>92</v>
      </c>
      <c r="F15" s="164">
        <v>1115</v>
      </c>
      <c r="G15" s="113" t="s">
        <v>111</v>
      </c>
      <c r="H15" s="114"/>
      <c r="I15" s="115">
        <v>151.5</v>
      </c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11062</v>
      </c>
      <c r="C16" s="56" t="s">
        <v>300</v>
      </c>
      <c r="D16" s="195" t="s">
        <v>301</v>
      </c>
      <c r="E16" s="171" t="s">
        <v>91</v>
      </c>
      <c r="F16" s="164">
        <v>1130</v>
      </c>
      <c r="G16" s="113" t="s">
        <v>149</v>
      </c>
      <c r="H16" s="114"/>
      <c r="I16" s="115"/>
      <c r="J16" s="120" t="str">
        <f t="shared" si="1"/>
        <v>0</v>
      </c>
      <c r="K16" s="120">
        <v>79.099999999999994</v>
      </c>
      <c r="L16" s="121"/>
      <c r="M16" s="121"/>
      <c r="N16" s="124" t="s">
        <v>98</v>
      </c>
      <c r="O16" s="291" t="s">
        <v>302</v>
      </c>
      <c r="P16" s="290"/>
      <c r="Q16" s="292"/>
      <c r="R16" s="73">
        <f>H32/U16</f>
        <v>0.51184834123222744</v>
      </c>
      <c r="S16" s="74">
        <f>H32/(U16-U5)</f>
        <v>0.62068965517241381</v>
      </c>
      <c r="T16" s="74">
        <f>C32/U16</f>
        <v>52.633175355450227</v>
      </c>
      <c r="U16" s="74">
        <f>SUM(U5:U15)</f>
        <v>52.75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11063</v>
      </c>
      <c r="C17" s="17" t="s">
        <v>303</v>
      </c>
      <c r="D17" s="193" t="s">
        <v>304</v>
      </c>
      <c r="E17" s="171" t="s">
        <v>92</v>
      </c>
      <c r="F17" s="57">
        <v>1145</v>
      </c>
      <c r="G17" s="112" t="s">
        <v>126</v>
      </c>
      <c r="H17" s="114"/>
      <c r="I17" s="115">
        <v>55.55</v>
      </c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11064</v>
      </c>
      <c r="C18" s="17" t="s">
        <v>305</v>
      </c>
      <c r="D18" s="193" t="s">
        <v>306</v>
      </c>
      <c r="E18" s="171" t="s">
        <v>91</v>
      </c>
      <c r="F18" s="57">
        <v>1200</v>
      </c>
      <c r="G18" s="19" t="s">
        <v>149</v>
      </c>
      <c r="H18" s="114"/>
      <c r="I18" s="115"/>
      <c r="J18" s="120" t="str">
        <f t="shared" si="1"/>
        <v>0</v>
      </c>
      <c r="K18" s="120">
        <v>125</v>
      </c>
      <c r="L18" s="121"/>
      <c r="M18" s="121"/>
      <c r="N18" s="124" t="s">
        <v>98</v>
      </c>
      <c r="O18" s="291" t="s">
        <v>307</v>
      </c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11065</v>
      </c>
      <c r="C19" s="17" t="s">
        <v>308</v>
      </c>
      <c r="D19" s="193" t="s">
        <v>309</v>
      </c>
      <c r="E19" s="171" t="s">
        <v>91</v>
      </c>
      <c r="F19" s="57">
        <v>1200</v>
      </c>
      <c r="G19" s="112" t="s">
        <v>103</v>
      </c>
      <c r="H19" s="114">
        <v>75</v>
      </c>
      <c r="I19" s="115"/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291"/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600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11066</v>
      </c>
      <c r="C20" s="17" t="s">
        <v>310</v>
      </c>
      <c r="D20" s="193" t="s">
        <v>311</v>
      </c>
      <c r="E20" s="171" t="s">
        <v>92</v>
      </c>
      <c r="F20" s="57">
        <v>1215</v>
      </c>
      <c r="G20" s="112" t="s">
        <v>103</v>
      </c>
      <c r="H20" s="114">
        <v>95</v>
      </c>
      <c r="I20" s="209"/>
      <c r="J20" s="120" t="str">
        <f t="shared" si="1"/>
        <v>0</v>
      </c>
      <c r="K20" s="211" t="str">
        <f t="shared" si="2"/>
        <v>0</v>
      </c>
      <c r="L20" s="210"/>
      <c r="M20" s="210"/>
      <c r="N20" s="124" t="s">
        <v>98</v>
      </c>
      <c r="O20" s="359"/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11067</v>
      </c>
      <c r="C21" s="17" t="s">
        <v>312</v>
      </c>
      <c r="D21" s="193" t="s">
        <v>313</v>
      </c>
      <c r="E21" s="171" t="s">
        <v>92</v>
      </c>
      <c r="F21" s="57">
        <v>1230</v>
      </c>
      <c r="G21" s="19" t="s">
        <v>145</v>
      </c>
      <c r="H21" s="114"/>
      <c r="I21" s="115"/>
      <c r="J21" s="120" t="str">
        <f t="shared" si="1"/>
        <v>0</v>
      </c>
      <c r="K21" s="120">
        <v>79.099999999999994</v>
      </c>
      <c r="L21" s="121"/>
      <c r="M21" s="121"/>
      <c r="N21" s="124" t="s">
        <v>98</v>
      </c>
      <c r="O21" s="291" t="s">
        <v>314</v>
      </c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11068</v>
      </c>
      <c r="C22" s="21" t="s">
        <v>315</v>
      </c>
      <c r="D22" s="196" t="s">
        <v>316</v>
      </c>
      <c r="E22" s="171" t="s">
        <v>92</v>
      </c>
      <c r="F22" s="165">
        <v>1230</v>
      </c>
      <c r="G22" s="204" t="s">
        <v>149</v>
      </c>
      <c r="H22" s="80"/>
      <c r="I22" s="131"/>
      <c r="J22" s="120" t="str">
        <f t="shared" si="1"/>
        <v>0</v>
      </c>
      <c r="K22" s="120">
        <v>125</v>
      </c>
      <c r="L22" s="60"/>
      <c r="M22" s="60"/>
      <c r="N22" s="124" t="s">
        <v>98</v>
      </c>
      <c r="O22" s="291" t="s">
        <v>317</v>
      </c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11069</v>
      </c>
      <c r="C23" s="126" t="s">
        <v>318</v>
      </c>
      <c r="D23" s="197" t="s">
        <v>319</v>
      </c>
      <c r="E23" s="171" t="s">
        <v>91</v>
      </c>
      <c r="F23" s="166">
        <v>1240</v>
      </c>
      <c r="G23" s="155" t="s">
        <v>126</v>
      </c>
      <c r="H23" s="80"/>
      <c r="I23" s="131">
        <v>55.55</v>
      </c>
      <c r="J23" s="120" t="str">
        <f t="shared" si="1"/>
        <v>0</v>
      </c>
      <c r="K23" s="120" t="str">
        <f t="shared" si="2"/>
        <v>0</v>
      </c>
      <c r="L23" s="117"/>
      <c r="M23" s="117"/>
      <c r="N23" s="124" t="s">
        <v>98</v>
      </c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35">
      <c r="A24" s="125">
        <v>20</v>
      </c>
      <c r="B24" s="123">
        <v>11070</v>
      </c>
      <c r="C24" s="21" t="s">
        <v>320</v>
      </c>
      <c r="D24" s="196" t="s">
        <v>321</v>
      </c>
      <c r="E24" s="171" t="s">
        <v>92</v>
      </c>
      <c r="F24" s="165">
        <v>1255</v>
      </c>
      <c r="G24" s="204" t="s">
        <v>111</v>
      </c>
      <c r="H24" s="80"/>
      <c r="I24" s="131">
        <v>121.2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98</v>
      </c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>
        <v>11071</v>
      </c>
      <c r="C25" s="122" t="s">
        <v>322</v>
      </c>
      <c r="D25" s="198" t="s">
        <v>323</v>
      </c>
      <c r="E25" s="171" t="s">
        <v>92</v>
      </c>
      <c r="F25" s="165">
        <v>1310</v>
      </c>
      <c r="G25" s="204" t="s">
        <v>126</v>
      </c>
      <c r="H25" s="81">
        <v>75</v>
      </c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 t="s">
        <v>98</v>
      </c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2776.3999999999996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>
        <v>11072</v>
      </c>
      <c r="C26" s="26" t="s">
        <v>324</v>
      </c>
      <c r="D26" s="199" t="s">
        <v>325</v>
      </c>
      <c r="E26" s="171" t="s">
        <v>92</v>
      </c>
      <c r="F26" s="167">
        <v>1325</v>
      </c>
      <c r="G26" s="19" t="s">
        <v>103</v>
      </c>
      <c r="H26" s="80"/>
      <c r="I26" s="131">
        <v>95.95</v>
      </c>
      <c r="J26" s="120" t="str">
        <f t="shared" si="1"/>
        <v>0</v>
      </c>
      <c r="K26" s="120" t="str">
        <f t="shared" si="2"/>
        <v>0</v>
      </c>
      <c r="L26" s="60"/>
      <c r="M26" s="60"/>
      <c r="N26" s="124" t="s">
        <v>98</v>
      </c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>
        <v>11073</v>
      </c>
      <c r="C27" s="26" t="s">
        <v>326</v>
      </c>
      <c r="D27" s="199" t="s">
        <v>327</v>
      </c>
      <c r="E27" s="171" t="s">
        <v>91</v>
      </c>
      <c r="F27" s="167">
        <v>1350</v>
      </c>
      <c r="G27" s="19" t="s">
        <v>111</v>
      </c>
      <c r="H27" s="80">
        <v>150</v>
      </c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 t="s">
        <v>98</v>
      </c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>
        <v>11074</v>
      </c>
      <c r="C28" s="26" t="s">
        <v>328</v>
      </c>
      <c r="D28" s="199" t="s">
        <v>329</v>
      </c>
      <c r="E28" s="171" t="s">
        <v>92</v>
      </c>
      <c r="F28" s="167">
        <v>1400</v>
      </c>
      <c r="G28" s="19" t="s">
        <v>111</v>
      </c>
      <c r="H28" s="80">
        <v>120</v>
      </c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 t="s">
        <v>98</v>
      </c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>
        <v>11075</v>
      </c>
      <c r="C29" s="33" t="s">
        <v>330</v>
      </c>
      <c r="D29" s="200" t="s">
        <v>331</v>
      </c>
      <c r="E29" s="172" t="s">
        <v>92</v>
      </c>
      <c r="F29" s="167">
        <v>1450</v>
      </c>
      <c r="G29" s="19" t="s">
        <v>103</v>
      </c>
      <c r="H29" s="80"/>
      <c r="I29" s="80">
        <v>95.95</v>
      </c>
      <c r="J29" s="120" t="str">
        <f t="shared" si="1"/>
        <v>0</v>
      </c>
      <c r="K29" s="120" t="str">
        <f t="shared" si="2"/>
        <v>0</v>
      </c>
      <c r="L29" s="60"/>
      <c r="M29" s="60"/>
      <c r="N29" s="124" t="s">
        <v>98</v>
      </c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1020</v>
      </c>
      <c r="I30" s="96">
        <f>SUM(I5:I29)</f>
        <v>1153.2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408.20000000000005</v>
      </c>
      <c r="L30" s="97">
        <f t="shared" si="3"/>
        <v>0</v>
      </c>
      <c r="M30" s="97">
        <f t="shared" si="3"/>
        <v>0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1020</v>
      </c>
      <c r="I31" s="94">
        <f t="shared" si="4"/>
        <v>1248.2</v>
      </c>
      <c r="J31" s="94">
        <f t="shared" si="4"/>
        <v>0</v>
      </c>
      <c r="K31" s="94">
        <f>K30+K62+K94</f>
        <v>508.20000000000005</v>
      </c>
      <c r="L31" s="88">
        <f>L30+L62+L94</f>
        <v>0</v>
      </c>
      <c r="M31" s="88">
        <f>M30+M62+M94</f>
        <v>600</v>
      </c>
      <c r="N31" s="207">
        <f>COUNT(H5:H29,H37:H61,H69:H93)</f>
        <v>10</v>
      </c>
      <c r="O31" s="95">
        <f>COUNT(I5:I29,I37:I61,I69:I93)</f>
        <v>12</v>
      </c>
      <c r="P31" s="95">
        <f>COUNTIF(G5:G29,"G*")+COUNTIF(G37:G61,"G*")+COUNTIF(G69:G93,"G*")+COUNTIF(G5:G29,"P*")+COUNTIF(G37:G61,"P*")+COUNTIF(G69:G93,"P*")</f>
        <v>5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1020</v>
      </c>
      <c r="T31" s="330">
        <f>H31+I31+L31+M31</f>
        <v>2868.2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0" t="s">
        <v>55</v>
      </c>
      <c r="B32" s="351"/>
      <c r="C32" s="98">
        <f>H31+I31+J31+K31</f>
        <v>2776.3999999999996</v>
      </c>
      <c r="D32" s="186"/>
      <c r="E32" s="98"/>
      <c r="F32" s="352" t="s">
        <v>53</v>
      </c>
      <c r="G32" s="352"/>
      <c r="H32" s="100">
        <f>COUNT(B5:B29,B37:B61,B69:B93)</f>
        <v>27</v>
      </c>
      <c r="I32" s="353" t="s">
        <v>54</v>
      </c>
      <c r="J32" s="353"/>
      <c r="K32" s="99">
        <f>C32/H32</f>
        <v>102.82962962962962</v>
      </c>
      <c r="L32" s="208"/>
      <c r="M32" s="208"/>
      <c r="N32" s="208">
        <f>H31/C32</f>
        <v>0.3673822215819047</v>
      </c>
      <c r="O32" s="208">
        <f>I31/C32</f>
        <v>0.44957498919464062</v>
      </c>
      <c r="P32" s="208">
        <f>K31/C32</f>
        <v>0.18304278922345488</v>
      </c>
      <c r="Q32" s="101">
        <f>J31/C32</f>
        <v>0</v>
      </c>
      <c r="R32" s="90" t="s">
        <v>82</v>
      </c>
      <c r="S32" s="203">
        <f>I31+M31</f>
        <v>1848.2</v>
      </c>
      <c r="T32" s="332"/>
      <c r="U32" s="333"/>
      <c r="V32" s="39"/>
      <c r="W32" s="39"/>
      <c r="X32" s="48" t="s">
        <v>27</v>
      </c>
      <c r="Y32" s="48"/>
      <c r="Z32" s="47">
        <f>I31</f>
        <v>1248.2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-1496.8</v>
      </c>
      <c r="AG33" s="35"/>
    </row>
    <row r="34" spans="1:33" ht="17.25" thickBot="1" x14ac:dyDescent="0.35">
      <c r="A34" s="324" t="str">
        <f>A2</f>
        <v>10-09-2022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7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>
        <v>11076</v>
      </c>
      <c r="C37" s="59" t="s">
        <v>332</v>
      </c>
      <c r="D37" s="248" t="s">
        <v>333</v>
      </c>
      <c r="E37" s="171" t="s">
        <v>92</v>
      </c>
      <c r="F37" s="164">
        <v>1500</v>
      </c>
      <c r="G37" s="109" t="s">
        <v>103</v>
      </c>
      <c r="H37" s="82"/>
      <c r="I37" s="115">
        <v>95</v>
      </c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 t="s">
        <v>98</v>
      </c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63">
        <v>11077</v>
      </c>
      <c r="C38" s="251" t="s">
        <v>334</v>
      </c>
      <c r="D38" s="252" t="s">
        <v>335</v>
      </c>
      <c r="E38" s="253" t="s">
        <v>91</v>
      </c>
      <c r="F38" s="273">
        <v>1625</v>
      </c>
      <c r="G38" s="250" t="s">
        <v>165</v>
      </c>
      <c r="H38" s="255"/>
      <c r="I38" s="255"/>
      <c r="J38" s="255" t="str">
        <f t="shared" ref="J38:J61" si="6">IF(G38="RSL","55","0")</f>
        <v>0</v>
      </c>
      <c r="K38" s="255">
        <v>100</v>
      </c>
      <c r="L38" s="256"/>
      <c r="M38" s="256">
        <v>600</v>
      </c>
      <c r="N38" s="255" t="s">
        <v>98</v>
      </c>
      <c r="O38" s="369" t="s">
        <v>336</v>
      </c>
      <c r="P38" s="370"/>
      <c r="Q38" s="371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95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100</v>
      </c>
      <c r="L62" s="306">
        <f t="shared" si="8"/>
        <v>0</v>
      </c>
      <c r="M62" s="309">
        <f t="shared" si="8"/>
        <v>600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10-09-2022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7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dataValidations disablePrompts="1"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1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="90" zoomScaleNormal="90" zoomScaleSheetLayoutView="77" workbookViewId="0">
      <selection activeCell="A33" sqref="A33:U33"/>
    </sheetView>
  </sheetViews>
  <sheetFormatPr defaultColWidth="9" defaultRowHeight="16.5" x14ac:dyDescent="0.3"/>
  <cols>
    <col min="1" max="1" width="5.125" style="14" bestFit="1" customWidth="1"/>
    <col min="2" max="2" width="7.625" style="14" customWidth="1"/>
    <col min="3" max="3" width="8.625" style="14" customWidth="1"/>
    <col min="4" max="4" width="10.25" style="183" customWidth="1"/>
    <col min="5" max="5" width="5.75" style="156" customWidth="1"/>
    <col min="6" max="6" width="5.625" style="14" customWidth="1"/>
    <col min="7" max="7" width="7.25" style="14" customWidth="1"/>
    <col min="8" max="8" width="6.75" style="14" customWidth="1"/>
    <col min="9" max="11" width="6.75" style="156" customWidth="1"/>
    <col min="12" max="13" width="6.75" style="14" customWidth="1"/>
    <col min="14" max="14" width="7.75" style="14" customWidth="1"/>
    <col min="15" max="15" width="5.5" style="156" customWidth="1"/>
    <col min="16" max="17" width="4.625" style="156" customWidth="1"/>
    <col min="18" max="18" width="9.625" style="14" customWidth="1"/>
    <col min="19" max="20" width="7.75" style="53" customWidth="1"/>
    <col min="21" max="21" width="7.75" style="36" customWidth="1"/>
    <col min="22" max="25" width="11.125" style="14" customWidth="1"/>
    <col min="26" max="26" width="11.375" style="14" customWidth="1"/>
    <col min="27" max="27" width="11.625" style="14" customWidth="1"/>
    <col min="28" max="29" width="10.375" style="14" customWidth="1"/>
    <col min="30" max="30" width="9.875" style="14" customWidth="1"/>
    <col min="31" max="31" width="10.75" style="14" customWidth="1"/>
    <col min="32" max="32" width="11.75" style="14" customWidth="1"/>
    <col min="33" max="33" width="14" style="14" customWidth="1"/>
    <col min="34" max="34" width="11.125" style="14" customWidth="1"/>
    <col min="35" max="35" width="12" style="14" customWidth="1"/>
    <col min="36" max="36" width="9" style="14"/>
    <col min="37" max="37" width="10.625" style="14" customWidth="1"/>
    <col min="38" max="38" width="12" style="14" customWidth="1"/>
    <col min="39" max="39" width="10.25" style="14" customWidth="1"/>
    <col min="40" max="41" width="9" style="14"/>
    <col min="42" max="42" width="10.875" style="14" customWidth="1"/>
    <col min="43" max="43" width="13.75" style="14" customWidth="1"/>
    <col min="44" max="44" width="10.875" style="14" customWidth="1"/>
    <col min="45" max="16384" width="9" style="14"/>
  </cols>
  <sheetData>
    <row r="1" spans="1:44" ht="17.25" thickBot="1" x14ac:dyDescent="0.35">
      <c r="A1" s="324" t="s">
        <v>77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6"/>
    </row>
    <row r="2" spans="1:44" ht="17.25" thickBot="1" x14ac:dyDescent="0.35">
      <c r="A2" s="324" t="s">
        <v>339</v>
      </c>
      <c r="B2" s="325"/>
      <c r="C2" s="325"/>
      <c r="D2" s="325"/>
      <c r="E2" s="325"/>
      <c r="F2" s="325"/>
      <c r="G2" s="326"/>
      <c r="H2" s="327" t="s">
        <v>49</v>
      </c>
      <c r="I2" s="328"/>
      <c r="J2" s="324" t="s">
        <v>128</v>
      </c>
      <c r="K2" s="326"/>
      <c r="L2" s="328" t="s">
        <v>96</v>
      </c>
      <c r="M2" s="329"/>
      <c r="N2" s="327"/>
      <c r="O2" s="325" t="s">
        <v>98</v>
      </c>
      <c r="P2" s="325"/>
      <c r="Q2" s="326"/>
      <c r="R2" s="328" t="s">
        <v>51</v>
      </c>
      <c r="S2" s="327"/>
      <c r="T2" s="316">
        <v>7</v>
      </c>
      <c r="U2" s="316"/>
      <c r="X2" s="34" t="s">
        <v>31</v>
      </c>
      <c r="Y2" s="34"/>
      <c r="Z2" s="34"/>
      <c r="AA2" s="34" t="s">
        <v>33</v>
      </c>
      <c r="AB2" s="34"/>
      <c r="AI2" s="147" t="s">
        <v>37</v>
      </c>
      <c r="AJ2" s="147"/>
      <c r="AK2" s="147"/>
      <c r="AL2" s="147" t="s">
        <v>33</v>
      </c>
      <c r="AM2" s="147"/>
    </row>
    <row r="3" spans="1:44" ht="9" customHeight="1" thickBot="1" x14ac:dyDescent="0.35">
      <c r="A3" s="15" t="s">
        <v>6</v>
      </c>
      <c r="H3" s="9"/>
      <c r="I3" s="18"/>
      <c r="T3" s="10"/>
      <c r="U3" s="11"/>
    </row>
    <row r="4" spans="1:44" ht="17.25" thickBot="1" x14ac:dyDescent="0.35">
      <c r="A4" s="144" t="s">
        <v>0</v>
      </c>
      <c r="B4" s="205" t="s">
        <v>21</v>
      </c>
      <c r="C4" s="157" t="s">
        <v>7</v>
      </c>
      <c r="D4" s="184" t="s">
        <v>88</v>
      </c>
      <c r="E4" s="157" t="s">
        <v>89</v>
      </c>
      <c r="F4" s="205" t="s">
        <v>25</v>
      </c>
      <c r="G4" s="205" t="s">
        <v>1</v>
      </c>
      <c r="H4" s="205" t="s">
        <v>22</v>
      </c>
      <c r="I4" s="205" t="s">
        <v>20</v>
      </c>
      <c r="J4" s="205" t="s">
        <v>44</v>
      </c>
      <c r="K4" s="205" t="s">
        <v>45</v>
      </c>
      <c r="L4" s="205" t="s">
        <v>47</v>
      </c>
      <c r="M4" s="205" t="s">
        <v>46</v>
      </c>
      <c r="N4" s="205" t="s">
        <v>2</v>
      </c>
      <c r="O4" s="317" t="s">
        <v>8</v>
      </c>
      <c r="P4" s="317"/>
      <c r="Q4" s="317"/>
      <c r="R4" s="205" t="s">
        <v>26</v>
      </c>
      <c r="S4" s="145" t="s">
        <v>3</v>
      </c>
      <c r="T4" s="145" t="s">
        <v>4</v>
      </c>
      <c r="U4" s="146" t="s">
        <v>18</v>
      </c>
      <c r="Z4" s="14" t="s">
        <v>32</v>
      </c>
      <c r="AA4" s="14" t="s">
        <v>35</v>
      </c>
      <c r="AB4" s="14" t="s">
        <v>36</v>
      </c>
      <c r="AE4" s="14" t="s">
        <v>32</v>
      </c>
      <c r="AF4" s="14" t="s">
        <v>35</v>
      </c>
      <c r="AG4" s="14" t="s">
        <v>36</v>
      </c>
      <c r="AK4" s="14" t="s">
        <v>38</v>
      </c>
      <c r="AL4" s="14" t="s">
        <v>35</v>
      </c>
      <c r="AM4" s="14" t="s">
        <v>36</v>
      </c>
      <c r="AP4" s="14" t="s">
        <v>38</v>
      </c>
      <c r="AQ4" s="14" t="s">
        <v>35</v>
      </c>
      <c r="AR4" s="14" t="s">
        <v>36</v>
      </c>
    </row>
    <row r="5" spans="1:44" ht="16.5" customHeight="1" x14ac:dyDescent="0.3">
      <c r="A5" s="118">
        <v>1</v>
      </c>
      <c r="B5" s="119">
        <v>11078</v>
      </c>
      <c r="C5" s="59" t="s">
        <v>343</v>
      </c>
      <c r="D5" s="190" t="s">
        <v>344</v>
      </c>
      <c r="E5" s="171" t="s">
        <v>278</v>
      </c>
      <c r="F5" s="160">
        <v>910</v>
      </c>
      <c r="G5" s="109" t="s">
        <v>149</v>
      </c>
      <c r="H5" s="82"/>
      <c r="I5" s="115"/>
      <c r="J5" s="120" t="str">
        <f>IF(G5="RSL","55","0")</f>
        <v>0</v>
      </c>
      <c r="K5" s="120">
        <v>79.16</v>
      </c>
      <c r="L5" s="121"/>
      <c r="M5" s="121"/>
      <c r="N5" s="124" t="s">
        <v>98</v>
      </c>
      <c r="O5" s="363" t="s">
        <v>345</v>
      </c>
      <c r="P5" s="364"/>
      <c r="Q5" s="365"/>
      <c r="R5" s="32" t="s">
        <v>98</v>
      </c>
      <c r="S5" s="30">
        <v>0.33333333333333331</v>
      </c>
      <c r="T5" s="31">
        <v>0.69791666666666663</v>
      </c>
      <c r="U5" s="83">
        <f t="shared" ref="U5:U15" si="0">(T5-S5)*24</f>
        <v>8.75</v>
      </c>
      <c r="X5" s="156" t="s">
        <v>43</v>
      </c>
      <c r="Y5" s="156">
        <v>1</v>
      </c>
      <c r="Z5" s="22"/>
      <c r="AA5" s="22"/>
      <c r="AB5" s="22"/>
      <c r="AC5" s="35"/>
      <c r="AD5" s="156">
        <v>16</v>
      </c>
      <c r="AE5" s="22"/>
      <c r="AF5" s="22"/>
      <c r="AG5" s="22"/>
      <c r="AI5" s="156" t="s">
        <v>43</v>
      </c>
      <c r="AJ5" s="156">
        <v>1</v>
      </c>
      <c r="AK5" s="148"/>
      <c r="AL5" s="148"/>
      <c r="AM5" s="148"/>
      <c r="AN5" s="35"/>
      <c r="AO5" s="156">
        <v>16</v>
      </c>
      <c r="AP5" s="148"/>
      <c r="AQ5" s="148"/>
      <c r="AR5" s="148"/>
    </row>
    <row r="6" spans="1:44" ht="16.5" customHeight="1" x14ac:dyDescent="0.3">
      <c r="A6" s="118">
        <v>2</v>
      </c>
      <c r="B6" s="123">
        <v>11079</v>
      </c>
      <c r="C6" s="58" t="s">
        <v>346</v>
      </c>
      <c r="D6" s="190" t="s">
        <v>347</v>
      </c>
      <c r="E6" s="171" t="s">
        <v>92</v>
      </c>
      <c r="F6" s="161">
        <v>930</v>
      </c>
      <c r="G6" s="109" t="s">
        <v>126</v>
      </c>
      <c r="H6" s="82">
        <v>55</v>
      </c>
      <c r="I6" s="115"/>
      <c r="J6" s="120" t="str">
        <f t="shared" ref="J6:J29" si="1">IF(G6="RSL","55","0")</f>
        <v>0</v>
      </c>
      <c r="K6" s="120" t="str">
        <f t="shared" ref="K6:K29" si="2">IF(G6="GVS","37.5",IF(G6="GVM","41.5",IF(G6="GVL","50",IF(G6="PCS","45.8",IF(G6="PCM","50",IF(G6="PCL","58.3","0"))))))</f>
        <v>0</v>
      </c>
      <c r="L6" s="121"/>
      <c r="M6" s="121"/>
      <c r="N6" s="124" t="s">
        <v>99</v>
      </c>
      <c r="O6" s="318"/>
      <c r="P6" s="319"/>
      <c r="Q6" s="320"/>
      <c r="R6" s="122" t="s">
        <v>99</v>
      </c>
      <c r="S6" s="30">
        <v>0.35416666666666669</v>
      </c>
      <c r="T6" s="31">
        <v>0.66666666666666663</v>
      </c>
      <c r="U6" s="83">
        <f t="shared" si="0"/>
        <v>7.4999999999999982</v>
      </c>
      <c r="W6" s="14" t="s">
        <v>91</v>
      </c>
      <c r="X6" s="156"/>
      <c r="Y6" s="156">
        <v>2</v>
      </c>
      <c r="Z6" s="22"/>
      <c r="AA6" s="22"/>
      <c r="AB6" s="22"/>
      <c r="AC6" s="35"/>
      <c r="AD6" s="156">
        <v>17</v>
      </c>
      <c r="AE6" s="22"/>
      <c r="AF6" s="22"/>
      <c r="AG6" s="22"/>
      <c r="AI6" s="156"/>
      <c r="AJ6" s="156">
        <v>2</v>
      </c>
      <c r="AK6" s="148"/>
      <c r="AL6" s="148"/>
      <c r="AM6" s="148"/>
      <c r="AN6" s="35"/>
      <c r="AO6" s="156">
        <v>17</v>
      </c>
      <c r="AP6" s="148"/>
      <c r="AQ6" s="148"/>
      <c r="AR6" s="148"/>
    </row>
    <row r="7" spans="1:44" ht="16.5" customHeight="1" x14ac:dyDescent="0.3">
      <c r="A7" s="118">
        <v>3</v>
      </c>
      <c r="B7" s="119">
        <v>11080</v>
      </c>
      <c r="C7" s="58" t="s">
        <v>110</v>
      </c>
      <c r="D7" s="190" t="s">
        <v>131</v>
      </c>
      <c r="E7" s="171" t="s">
        <v>91</v>
      </c>
      <c r="F7" s="161">
        <v>1030</v>
      </c>
      <c r="G7" s="109" t="s">
        <v>111</v>
      </c>
      <c r="H7" s="82"/>
      <c r="I7" s="115">
        <v>150</v>
      </c>
      <c r="J7" s="120" t="str">
        <f t="shared" si="1"/>
        <v>0</v>
      </c>
      <c r="K7" s="120" t="str">
        <f t="shared" si="2"/>
        <v>0</v>
      </c>
      <c r="L7" s="121"/>
      <c r="M7" s="121"/>
      <c r="N7" s="124" t="s">
        <v>98</v>
      </c>
      <c r="O7" s="291"/>
      <c r="P7" s="290"/>
      <c r="Q7" s="292"/>
      <c r="R7" s="124" t="s">
        <v>133</v>
      </c>
      <c r="S7" s="30">
        <v>0.38541666666666669</v>
      </c>
      <c r="T7" s="31">
        <v>0.69791666666666663</v>
      </c>
      <c r="U7" s="83">
        <f t="shared" si="0"/>
        <v>7.4999999999999982</v>
      </c>
      <c r="W7" s="14" t="s">
        <v>92</v>
      </c>
      <c r="Y7" s="156">
        <v>3</v>
      </c>
      <c r="Z7" s="22"/>
      <c r="AA7" s="22"/>
      <c r="AB7" s="22"/>
      <c r="AC7" s="35"/>
      <c r="AD7" s="156">
        <v>18</v>
      </c>
      <c r="AE7" s="22"/>
      <c r="AF7" s="22"/>
      <c r="AG7" s="22"/>
      <c r="AJ7" s="156">
        <v>3</v>
      </c>
      <c r="AK7" s="148"/>
      <c r="AL7" s="148"/>
      <c r="AM7" s="148"/>
      <c r="AN7" s="35"/>
      <c r="AO7" s="156">
        <v>18</v>
      </c>
      <c r="AP7" s="148"/>
      <c r="AQ7" s="148"/>
      <c r="AR7" s="148"/>
    </row>
    <row r="8" spans="1:44" ht="16.5" customHeight="1" x14ac:dyDescent="0.3">
      <c r="A8" s="118">
        <v>4</v>
      </c>
      <c r="B8" s="123">
        <v>11081</v>
      </c>
      <c r="C8" s="26" t="s">
        <v>348</v>
      </c>
      <c r="D8" s="190" t="s">
        <v>349</v>
      </c>
      <c r="E8" s="171" t="s">
        <v>92</v>
      </c>
      <c r="F8" s="161">
        <v>1045</v>
      </c>
      <c r="G8" s="109" t="s">
        <v>126</v>
      </c>
      <c r="H8" s="82"/>
      <c r="I8" s="115">
        <v>75.75</v>
      </c>
      <c r="J8" s="120" t="str">
        <f t="shared" si="1"/>
        <v>0</v>
      </c>
      <c r="K8" s="120" t="str">
        <f t="shared" si="2"/>
        <v>0</v>
      </c>
      <c r="L8" s="121"/>
      <c r="M8" s="121"/>
      <c r="N8" s="124" t="s">
        <v>98</v>
      </c>
      <c r="O8" s="321"/>
      <c r="P8" s="322"/>
      <c r="Q8" s="323"/>
      <c r="R8" s="25" t="s">
        <v>134</v>
      </c>
      <c r="S8" s="30">
        <v>0.41666666666666669</v>
      </c>
      <c r="T8" s="31">
        <v>0.69791666666666663</v>
      </c>
      <c r="U8" s="83">
        <f t="shared" si="0"/>
        <v>6.7499999999999982</v>
      </c>
      <c r="Y8" s="156">
        <v>4</v>
      </c>
      <c r="Z8" s="22"/>
      <c r="AA8" s="22"/>
      <c r="AB8" s="22"/>
      <c r="AC8" s="35"/>
      <c r="AD8" s="156">
        <v>19</v>
      </c>
      <c r="AE8" s="22"/>
      <c r="AF8" s="22"/>
      <c r="AG8" s="22"/>
      <c r="AJ8" s="156">
        <v>4</v>
      </c>
      <c r="AK8" s="148"/>
      <c r="AL8" s="148"/>
      <c r="AM8" s="148"/>
      <c r="AN8" s="35"/>
      <c r="AO8" s="156">
        <v>19</v>
      </c>
      <c r="AP8" s="148"/>
      <c r="AQ8" s="148"/>
      <c r="AR8" s="148"/>
    </row>
    <row r="9" spans="1:44" ht="16.5" customHeight="1" x14ac:dyDescent="0.3">
      <c r="A9" s="125">
        <v>5</v>
      </c>
      <c r="B9" s="119">
        <v>11082</v>
      </c>
      <c r="C9" s="54" t="s">
        <v>350</v>
      </c>
      <c r="D9" s="191" t="s">
        <v>351</v>
      </c>
      <c r="E9" s="171" t="s">
        <v>91</v>
      </c>
      <c r="F9" s="162">
        <v>1045</v>
      </c>
      <c r="G9" s="110" t="s">
        <v>352</v>
      </c>
      <c r="H9" s="82">
        <v>90</v>
      </c>
      <c r="I9" s="82"/>
      <c r="J9" s="120" t="str">
        <f t="shared" si="1"/>
        <v>0</v>
      </c>
      <c r="K9" s="120" t="str">
        <f t="shared" si="2"/>
        <v>0</v>
      </c>
      <c r="L9" s="121"/>
      <c r="M9" s="121"/>
      <c r="N9" s="124" t="s">
        <v>99</v>
      </c>
      <c r="O9" s="321"/>
      <c r="P9" s="322"/>
      <c r="Q9" s="323"/>
      <c r="R9" s="25" t="s">
        <v>168</v>
      </c>
      <c r="S9" s="30">
        <v>0.39583333333333331</v>
      </c>
      <c r="T9" s="31">
        <v>0.66666666666666663</v>
      </c>
      <c r="U9" s="83">
        <f t="shared" si="0"/>
        <v>6.5</v>
      </c>
      <c r="X9" s="14" t="s">
        <v>42</v>
      </c>
      <c r="Y9" s="156">
        <v>5</v>
      </c>
      <c r="Z9" s="22"/>
      <c r="AA9" s="22"/>
      <c r="AB9" s="22"/>
      <c r="AC9" s="35"/>
      <c r="AD9" s="156">
        <v>20</v>
      </c>
      <c r="AE9" s="22"/>
      <c r="AF9" s="22"/>
      <c r="AG9" s="22"/>
      <c r="AJ9" s="156">
        <v>5</v>
      </c>
      <c r="AK9" s="148"/>
      <c r="AL9" s="148"/>
      <c r="AM9" s="148"/>
      <c r="AN9" s="35"/>
      <c r="AO9" s="156">
        <v>20</v>
      </c>
      <c r="AP9" s="148"/>
      <c r="AQ9" s="148"/>
      <c r="AR9" s="148"/>
    </row>
    <row r="10" spans="1:44" ht="16.5" customHeight="1" x14ac:dyDescent="0.3">
      <c r="A10" s="125">
        <v>6</v>
      </c>
      <c r="B10" s="263">
        <v>11083</v>
      </c>
      <c r="C10" s="266" t="s">
        <v>353</v>
      </c>
      <c r="D10" s="267" t="s">
        <v>354</v>
      </c>
      <c r="E10" s="253" t="s">
        <v>92</v>
      </c>
      <c r="F10" s="268">
        <v>1110</v>
      </c>
      <c r="G10" s="277" t="s">
        <v>165</v>
      </c>
      <c r="H10" s="262"/>
      <c r="I10" s="262"/>
      <c r="J10" s="255" t="str">
        <f t="shared" si="1"/>
        <v>0</v>
      </c>
      <c r="K10" s="255">
        <v>62.5</v>
      </c>
      <c r="L10" s="256"/>
      <c r="M10" s="256">
        <v>375</v>
      </c>
      <c r="N10" s="257" t="s">
        <v>98</v>
      </c>
      <c r="O10" s="366" t="s">
        <v>355</v>
      </c>
      <c r="P10" s="367"/>
      <c r="Q10" s="368"/>
      <c r="R10" s="25" t="s">
        <v>340</v>
      </c>
      <c r="S10" s="30">
        <v>0.41666666666666669</v>
      </c>
      <c r="T10" s="31">
        <v>0.66666666666666663</v>
      </c>
      <c r="U10" s="83">
        <f t="shared" si="0"/>
        <v>5.9999999999999982</v>
      </c>
      <c r="X10" s="36"/>
      <c r="Y10" s="156">
        <v>6</v>
      </c>
      <c r="Z10" s="22"/>
      <c r="AA10" s="22"/>
      <c r="AB10" s="22"/>
      <c r="AC10" s="35"/>
      <c r="AD10" s="156">
        <v>21</v>
      </c>
      <c r="AE10" s="22"/>
      <c r="AF10" s="22"/>
      <c r="AG10" s="22"/>
      <c r="AI10" s="36"/>
      <c r="AJ10" s="156">
        <v>6</v>
      </c>
      <c r="AK10" s="148"/>
      <c r="AL10" s="148"/>
      <c r="AM10" s="148"/>
      <c r="AN10" s="35"/>
      <c r="AO10" s="156">
        <v>21</v>
      </c>
      <c r="AP10" s="148"/>
      <c r="AQ10" s="148"/>
      <c r="AR10" s="148"/>
    </row>
    <row r="11" spans="1:44" ht="16.5" customHeight="1" x14ac:dyDescent="0.3">
      <c r="A11" s="125">
        <v>7</v>
      </c>
      <c r="B11" s="119">
        <v>11084</v>
      </c>
      <c r="C11" s="17" t="s">
        <v>356</v>
      </c>
      <c r="D11" s="193" t="s">
        <v>357</v>
      </c>
      <c r="E11" s="171" t="s">
        <v>92</v>
      </c>
      <c r="F11" s="57">
        <v>1110</v>
      </c>
      <c r="G11" s="112" t="s">
        <v>109</v>
      </c>
      <c r="H11" s="114">
        <v>60</v>
      </c>
      <c r="I11" s="115"/>
      <c r="J11" s="120" t="str">
        <f t="shared" si="1"/>
        <v>0</v>
      </c>
      <c r="K11" s="120" t="str">
        <f t="shared" si="2"/>
        <v>0</v>
      </c>
      <c r="L11" s="121"/>
      <c r="M11" s="121"/>
      <c r="N11" s="124" t="s">
        <v>98</v>
      </c>
      <c r="O11" s="291"/>
      <c r="P11" s="290"/>
      <c r="Q11" s="292"/>
      <c r="R11" s="25" t="s">
        <v>341</v>
      </c>
      <c r="S11" s="30">
        <v>0.44791666666666669</v>
      </c>
      <c r="T11" s="31">
        <v>0.66666666666666663</v>
      </c>
      <c r="U11" s="83">
        <f t="shared" si="0"/>
        <v>5.2499999999999982</v>
      </c>
      <c r="Y11" s="156">
        <v>7</v>
      </c>
      <c r="Z11" s="22"/>
      <c r="AA11" s="22"/>
      <c r="AB11" s="22"/>
      <c r="AC11" s="35"/>
      <c r="AD11" s="156">
        <v>22</v>
      </c>
      <c r="AE11" s="22"/>
      <c r="AF11" s="22"/>
      <c r="AG11" s="22"/>
      <c r="AJ11" s="156">
        <v>7</v>
      </c>
      <c r="AK11" s="148"/>
      <c r="AL11" s="148"/>
      <c r="AM11" s="148"/>
      <c r="AN11" s="35"/>
      <c r="AO11" s="156">
        <v>22</v>
      </c>
      <c r="AP11" s="148"/>
      <c r="AQ11" s="148"/>
      <c r="AR11" s="148"/>
    </row>
    <row r="12" spans="1:44" ht="16.5" customHeight="1" x14ac:dyDescent="0.3">
      <c r="A12" s="125">
        <v>8</v>
      </c>
      <c r="B12" s="123">
        <v>11085</v>
      </c>
      <c r="C12" s="55" t="s">
        <v>358</v>
      </c>
      <c r="D12" s="194" t="s">
        <v>359</v>
      </c>
      <c r="E12" s="171" t="s">
        <v>91</v>
      </c>
      <c r="F12" s="163">
        <v>1115</v>
      </c>
      <c r="G12" s="110" t="s">
        <v>103</v>
      </c>
      <c r="H12" s="114"/>
      <c r="I12" s="116">
        <v>95.95</v>
      </c>
      <c r="J12" s="120" t="str">
        <f t="shared" si="1"/>
        <v>0</v>
      </c>
      <c r="K12" s="120" t="str">
        <f t="shared" si="2"/>
        <v>0</v>
      </c>
      <c r="L12" s="121"/>
      <c r="M12" s="121"/>
      <c r="N12" s="124" t="s">
        <v>98</v>
      </c>
      <c r="O12" s="291"/>
      <c r="P12" s="290"/>
      <c r="Q12" s="292"/>
      <c r="R12" s="25" t="s">
        <v>342</v>
      </c>
      <c r="S12" s="30">
        <v>0.41666666666666669</v>
      </c>
      <c r="T12" s="31">
        <v>0.625</v>
      </c>
      <c r="U12" s="83">
        <f t="shared" si="0"/>
        <v>5</v>
      </c>
      <c r="V12" s="152"/>
      <c r="Y12" s="156">
        <v>8</v>
      </c>
      <c r="Z12" s="22"/>
      <c r="AA12" s="22"/>
      <c r="AB12" s="22"/>
      <c r="AC12" s="35"/>
      <c r="AD12" s="156">
        <v>23</v>
      </c>
      <c r="AE12" s="22"/>
      <c r="AF12" s="22"/>
      <c r="AG12" s="22"/>
      <c r="AJ12" s="156">
        <v>8</v>
      </c>
      <c r="AK12" s="148"/>
      <c r="AL12" s="148"/>
      <c r="AM12" s="148"/>
      <c r="AN12" s="35"/>
      <c r="AO12" s="156">
        <v>23</v>
      </c>
      <c r="AP12" s="148"/>
      <c r="AQ12" s="148"/>
      <c r="AR12" s="148"/>
    </row>
    <row r="13" spans="1:44" ht="16.5" customHeight="1" x14ac:dyDescent="0.3">
      <c r="A13" s="125">
        <v>9</v>
      </c>
      <c r="B13" s="119">
        <v>11086</v>
      </c>
      <c r="C13" s="55" t="s">
        <v>372</v>
      </c>
      <c r="D13" s="194" t="s">
        <v>373</v>
      </c>
      <c r="E13" s="171" t="s">
        <v>91</v>
      </c>
      <c r="F13" s="163">
        <v>1125</v>
      </c>
      <c r="G13" s="110" t="s">
        <v>111</v>
      </c>
      <c r="H13" s="159"/>
      <c r="I13" s="158">
        <v>115</v>
      </c>
      <c r="J13" s="120" t="str">
        <f t="shared" si="1"/>
        <v>0</v>
      </c>
      <c r="K13" s="120" t="str">
        <f t="shared" si="2"/>
        <v>0</v>
      </c>
      <c r="L13" s="121"/>
      <c r="M13" s="121"/>
      <c r="N13" s="124" t="s">
        <v>98</v>
      </c>
      <c r="O13" s="291"/>
      <c r="P13" s="290"/>
      <c r="Q13" s="292"/>
      <c r="R13" s="32"/>
      <c r="S13" s="30"/>
      <c r="T13" s="31"/>
      <c r="U13" s="83">
        <f t="shared" si="0"/>
        <v>0</v>
      </c>
      <c r="Y13" s="156">
        <v>9</v>
      </c>
      <c r="Z13" s="22"/>
      <c r="AA13" s="22"/>
      <c r="AB13" s="22"/>
      <c r="AC13" s="35"/>
      <c r="AD13" s="156">
        <v>24</v>
      </c>
      <c r="AE13" s="22"/>
      <c r="AF13" s="22"/>
      <c r="AG13" s="22"/>
      <c r="AJ13" s="156">
        <v>9</v>
      </c>
      <c r="AK13" s="148"/>
      <c r="AL13" s="148"/>
      <c r="AM13" s="148"/>
      <c r="AN13" s="35"/>
      <c r="AO13" s="156">
        <v>24</v>
      </c>
      <c r="AP13" s="148"/>
      <c r="AQ13" s="148"/>
      <c r="AR13" s="148"/>
    </row>
    <row r="14" spans="1:44" ht="17.25" customHeight="1" x14ac:dyDescent="0.3">
      <c r="A14" s="125">
        <v>10</v>
      </c>
      <c r="B14" s="123">
        <v>11087</v>
      </c>
      <c r="C14" s="56" t="s">
        <v>360</v>
      </c>
      <c r="D14" s="195" t="s">
        <v>374</v>
      </c>
      <c r="E14" s="171" t="s">
        <v>92</v>
      </c>
      <c r="F14" s="164">
        <v>1130</v>
      </c>
      <c r="G14" s="113" t="s">
        <v>126</v>
      </c>
      <c r="H14" s="114"/>
      <c r="I14" s="116">
        <v>55.55</v>
      </c>
      <c r="J14" s="120" t="str">
        <f t="shared" si="1"/>
        <v>0</v>
      </c>
      <c r="K14" s="120" t="str">
        <f t="shared" si="2"/>
        <v>0</v>
      </c>
      <c r="L14" s="121"/>
      <c r="M14" s="121"/>
      <c r="N14" s="124" t="s">
        <v>98</v>
      </c>
      <c r="O14" s="291"/>
      <c r="P14" s="290"/>
      <c r="Q14" s="292"/>
      <c r="R14" s="25"/>
      <c r="S14" s="30"/>
      <c r="T14" s="31"/>
      <c r="U14" s="83">
        <f t="shared" si="0"/>
        <v>0</v>
      </c>
      <c r="Y14" s="156">
        <v>10</v>
      </c>
      <c r="Z14" s="22"/>
      <c r="AA14" s="22"/>
      <c r="AB14" s="22"/>
      <c r="AC14" s="35"/>
      <c r="AD14" s="156">
        <v>25</v>
      </c>
      <c r="AE14" s="22"/>
      <c r="AF14" s="22"/>
      <c r="AG14" s="22"/>
      <c r="AJ14" s="156">
        <v>10</v>
      </c>
      <c r="AK14" s="148"/>
      <c r="AL14" s="148"/>
      <c r="AM14" s="148"/>
      <c r="AN14" s="35"/>
      <c r="AO14" s="156">
        <v>25</v>
      </c>
      <c r="AP14" s="148"/>
      <c r="AQ14" s="148"/>
      <c r="AR14" s="148"/>
    </row>
    <row r="15" spans="1:44" ht="16.5" customHeight="1" thickBot="1" x14ac:dyDescent="0.35">
      <c r="A15" s="125">
        <v>11</v>
      </c>
      <c r="B15" s="119">
        <v>11088</v>
      </c>
      <c r="C15" s="56" t="s">
        <v>361</v>
      </c>
      <c r="D15" s="195" t="s">
        <v>362</v>
      </c>
      <c r="E15" s="171" t="s">
        <v>92</v>
      </c>
      <c r="F15" s="164">
        <v>1140</v>
      </c>
      <c r="G15" s="113" t="s">
        <v>103</v>
      </c>
      <c r="H15" s="114">
        <v>95</v>
      </c>
      <c r="I15" s="115"/>
      <c r="J15" s="120" t="str">
        <f t="shared" si="1"/>
        <v>0</v>
      </c>
      <c r="K15" s="120" t="str">
        <f t="shared" si="2"/>
        <v>0</v>
      </c>
      <c r="L15" s="121"/>
      <c r="M15" s="121"/>
      <c r="N15" s="124" t="s">
        <v>98</v>
      </c>
      <c r="O15" s="291"/>
      <c r="P15" s="290"/>
      <c r="Q15" s="292"/>
      <c r="R15" s="25"/>
      <c r="S15" s="30"/>
      <c r="T15" s="31"/>
      <c r="U15" s="83">
        <f t="shared" si="0"/>
        <v>0</v>
      </c>
      <c r="W15" s="156"/>
      <c r="Y15" s="156">
        <v>11</v>
      </c>
      <c r="Z15" s="22"/>
      <c r="AA15" s="22"/>
      <c r="AB15" s="22"/>
      <c r="AC15" s="35"/>
      <c r="AD15" s="156">
        <v>26</v>
      </c>
      <c r="AE15" s="22"/>
      <c r="AF15" s="22"/>
      <c r="AG15" s="22"/>
      <c r="AJ15" s="156">
        <v>11</v>
      </c>
      <c r="AK15" s="148"/>
      <c r="AL15" s="148"/>
      <c r="AM15" s="148"/>
      <c r="AN15" s="35"/>
      <c r="AO15" s="156">
        <v>26</v>
      </c>
      <c r="AP15" s="148"/>
      <c r="AQ15" s="148"/>
      <c r="AR15" s="148"/>
    </row>
    <row r="16" spans="1:44" ht="15.75" customHeight="1" thickBot="1" x14ac:dyDescent="0.35">
      <c r="A16" s="125">
        <v>12</v>
      </c>
      <c r="B16" s="123">
        <v>11089</v>
      </c>
      <c r="C16" s="56" t="s">
        <v>363</v>
      </c>
      <c r="D16" s="195" t="s">
        <v>364</v>
      </c>
      <c r="E16" s="171" t="s">
        <v>91</v>
      </c>
      <c r="F16" s="164">
        <v>1150</v>
      </c>
      <c r="G16" s="113" t="s">
        <v>103</v>
      </c>
      <c r="H16" s="114">
        <v>95</v>
      </c>
      <c r="I16" s="115"/>
      <c r="J16" s="120" t="str">
        <f t="shared" si="1"/>
        <v>0</v>
      </c>
      <c r="K16" s="120" t="str">
        <f t="shared" si="2"/>
        <v>0</v>
      </c>
      <c r="L16" s="121"/>
      <c r="M16" s="121"/>
      <c r="N16" s="124" t="s">
        <v>98</v>
      </c>
      <c r="O16" s="291"/>
      <c r="P16" s="290"/>
      <c r="Q16" s="292"/>
      <c r="R16" s="73">
        <f>H32/U16</f>
        <v>0.37558685446009388</v>
      </c>
      <c r="S16" s="74">
        <f>H32/(U16-U5)</f>
        <v>0.449438202247191</v>
      </c>
      <c r="T16" s="74">
        <f>C32/U16</f>
        <v>38.33596244131455</v>
      </c>
      <c r="U16" s="74">
        <f>SUM(U5:U15)</f>
        <v>53.25</v>
      </c>
      <c r="Y16" s="156">
        <v>12</v>
      </c>
      <c r="Z16" s="22"/>
      <c r="AA16" s="22"/>
      <c r="AB16" s="22"/>
      <c r="AC16" s="35"/>
      <c r="AD16" s="156">
        <v>27</v>
      </c>
      <c r="AE16" s="22"/>
      <c r="AF16" s="22"/>
      <c r="AG16" s="22"/>
      <c r="AJ16" s="156">
        <v>12</v>
      </c>
      <c r="AK16" s="148"/>
      <c r="AL16" s="148"/>
      <c r="AM16" s="148"/>
      <c r="AN16" s="35"/>
      <c r="AO16" s="156">
        <v>27</v>
      </c>
      <c r="AP16" s="148"/>
      <c r="AQ16" s="148"/>
      <c r="AR16" s="148"/>
    </row>
    <row r="17" spans="1:44" ht="16.5" customHeight="1" thickBot="1" x14ac:dyDescent="0.35">
      <c r="A17" s="125">
        <v>13</v>
      </c>
      <c r="B17" s="119">
        <v>11090</v>
      </c>
      <c r="C17" s="17" t="s">
        <v>365</v>
      </c>
      <c r="D17" s="193" t="s">
        <v>366</v>
      </c>
      <c r="E17" s="171" t="s">
        <v>92</v>
      </c>
      <c r="F17" s="57">
        <v>1215</v>
      </c>
      <c r="G17" s="112" t="s">
        <v>159</v>
      </c>
      <c r="H17" s="114">
        <v>280</v>
      </c>
      <c r="I17" s="115"/>
      <c r="J17" s="120" t="str">
        <f t="shared" si="1"/>
        <v>0</v>
      </c>
      <c r="K17" s="120" t="str">
        <f t="shared" si="2"/>
        <v>0</v>
      </c>
      <c r="L17" s="121"/>
      <c r="M17" s="121"/>
      <c r="N17" s="124" t="s">
        <v>98</v>
      </c>
      <c r="O17" s="291"/>
      <c r="P17" s="290"/>
      <c r="Q17" s="292"/>
      <c r="R17" s="75" t="s">
        <v>9</v>
      </c>
      <c r="S17" s="76" t="s">
        <v>10</v>
      </c>
      <c r="T17" s="76" t="s">
        <v>11</v>
      </c>
      <c r="U17" s="74" t="s">
        <v>12</v>
      </c>
      <c r="Y17" s="156">
        <v>13</v>
      </c>
      <c r="Z17" s="22"/>
      <c r="AA17" s="22"/>
      <c r="AB17" s="22"/>
      <c r="AC17" s="35"/>
      <c r="AD17" s="156">
        <v>28</v>
      </c>
      <c r="AE17" s="22"/>
      <c r="AF17" s="22"/>
      <c r="AG17" s="22"/>
      <c r="AJ17" s="156">
        <v>13</v>
      </c>
      <c r="AK17" s="148"/>
      <c r="AL17" s="148"/>
      <c r="AM17" s="148"/>
      <c r="AN17" s="35"/>
      <c r="AO17" s="156">
        <v>28</v>
      </c>
      <c r="AP17" s="148"/>
      <c r="AQ17" s="148"/>
      <c r="AR17" s="148"/>
    </row>
    <row r="18" spans="1:44" ht="16.5" customHeight="1" thickBot="1" x14ac:dyDescent="0.35">
      <c r="A18" s="125">
        <v>14</v>
      </c>
      <c r="B18" s="123">
        <v>11091</v>
      </c>
      <c r="C18" s="17" t="s">
        <v>375</v>
      </c>
      <c r="D18" s="193" t="s">
        <v>376</v>
      </c>
      <c r="E18" s="171" t="s">
        <v>92</v>
      </c>
      <c r="F18" s="57">
        <v>1220</v>
      </c>
      <c r="G18" s="19" t="s">
        <v>352</v>
      </c>
      <c r="H18" s="114">
        <v>100</v>
      </c>
      <c r="I18" s="115"/>
      <c r="J18" s="120" t="str">
        <f t="shared" si="1"/>
        <v>0</v>
      </c>
      <c r="K18" s="120" t="str">
        <f t="shared" si="2"/>
        <v>0</v>
      </c>
      <c r="L18" s="121"/>
      <c r="M18" s="121"/>
      <c r="N18" s="124" t="s">
        <v>98</v>
      </c>
      <c r="O18" s="291"/>
      <c r="P18" s="290"/>
      <c r="Q18" s="292"/>
      <c r="R18" s="77" t="s">
        <v>23</v>
      </c>
      <c r="S18" s="78" t="s">
        <v>13</v>
      </c>
      <c r="T18" s="78" t="s">
        <v>14</v>
      </c>
      <c r="U18" s="79" t="s">
        <v>19</v>
      </c>
      <c r="Y18" s="156">
        <v>14</v>
      </c>
      <c r="Z18" s="22"/>
      <c r="AA18" s="22"/>
      <c r="AB18" s="22"/>
      <c r="AC18" s="35"/>
      <c r="AD18" s="156">
        <v>29</v>
      </c>
      <c r="AE18" s="22"/>
      <c r="AF18" s="22"/>
      <c r="AG18" s="22"/>
      <c r="AJ18" s="156">
        <v>14</v>
      </c>
      <c r="AK18" s="148"/>
      <c r="AL18" s="148"/>
      <c r="AM18" s="148"/>
      <c r="AN18" s="35"/>
      <c r="AO18" s="156">
        <v>29</v>
      </c>
      <c r="AP18" s="148"/>
      <c r="AQ18" s="148"/>
      <c r="AR18" s="148"/>
    </row>
    <row r="19" spans="1:44" ht="16.5" customHeight="1" thickBot="1" x14ac:dyDescent="0.35">
      <c r="A19" s="125">
        <v>15</v>
      </c>
      <c r="B19" s="119">
        <v>11092</v>
      </c>
      <c r="C19" s="17" t="s">
        <v>369</v>
      </c>
      <c r="D19" s="193" t="s">
        <v>351</v>
      </c>
      <c r="E19" s="171" t="s">
        <v>92</v>
      </c>
      <c r="F19" s="57">
        <v>1225</v>
      </c>
      <c r="G19" s="112" t="s">
        <v>103</v>
      </c>
      <c r="H19" s="114"/>
      <c r="I19" s="115">
        <v>95</v>
      </c>
      <c r="J19" s="120" t="str">
        <f t="shared" si="1"/>
        <v>0</v>
      </c>
      <c r="K19" s="120" t="str">
        <f t="shared" si="2"/>
        <v>0</v>
      </c>
      <c r="L19" s="121"/>
      <c r="M19" s="121"/>
      <c r="N19" s="124" t="s">
        <v>98</v>
      </c>
      <c r="O19" s="291"/>
      <c r="P19" s="290"/>
      <c r="Q19" s="290"/>
      <c r="R19" s="84" t="s">
        <v>45</v>
      </c>
      <c r="S19" s="85">
        <f>COUNT(L5:M29,L37:M61,L69:M93)</f>
        <v>1</v>
      </c>
      <c r="T19" s="107">
        <f>SUM(L5:M29,L37:M61,L69:M93)</f>
        <v>375</v>
      </c>
      <c r="U19" s="86"/>
      <c r="Y19" s="156">
        <v>15</v>
      </c>
      <c r="Z19" s="22"/>
      <c r="AA19" s="22"/>
      <c r="AB19" s="22"/>
      <c r="AC19" s="35"/>
      <c r="AD19" s="156">
        <v>30</v>
      </c>
      <c r="AE19" s="22"/>
      <c r="AF19" s="22"/>
      <c r="AG19" s="22"/>
      <c r="AH19" s="36"/>
      <c r="AJ19" s="156">
        <v>15</v>
      </c>
      <c r="AK19" s="148"/>
      <c r="AL19" s="148"/>
      <c r="AM19" s="148"/>
      <c r="AN19" s="35"/>
      <c r="AO19" s="156">
        <v>30</v>
      </c>
      <c r="AP19" s="148"/>
      <c r="AQ19" s="148"/>
      <c r="AR19" s="148"/>
    </row>
    <row r="20" spans="1:44" ht="16.5" customHeight="1" x14ac:dyDescent="0.3">
      <c r="A20" s="125">
        <v>16</v>
      </c>
      <c r="B20" s="123">
        <v>11093</v>
      </c>
      <c r="C20" s="17" t="s">
        <v>377</v>
      </c>
      <c r="D20" s="193" t="s">
        <v>378</v>
      </c>
      <c r="E20" s="171" t="s">
        <v>91</v>
      </c>
      <c r="F20" s="57">
        <v>1255</v>
      </c>
      <c r="G20" s="112" t="s">
        <v>149</v>
      </c>
      <c r="H20" s="114"/>
      <c r="I20" s="209"/>
      <c r="J20" s="120" t="str">
        <f t="shared" si="1"/>
        <v>0</v>
      </c>
      <c r="K20" s="211">
        <v>125</v>
      </c>
      <c r="L20" s="210"/>
      <c r="M20" s="210"/>
      <c r="N20" s="124" t="s">
        <v>98</v>
      </c>
      <c r="O20" s="359" t="s">
        <v>384</v>
      </c>
      <c r="P20" s="360"/>
      <c r="Q20" s="360"/>
      <c r="R20" s="127"/>
      <c r="S20" s="128"/>
      <c r="T20" s="129"/>
      <c r="U20" s="130"/>
      <c r="X20" s="37"/>
      <c r="Y20" s="156"/>
      <c r="Z20" s="37"/>
      <c r="AD20" s="156">
        <v>31</v>
      </c>
      <c r="AE20" s="22"/>
      <c r="AF20" s="22"/>
      <c r="AG20" s="22"/>
      <c r="AI20" s="37"/>
      <c r="AJ20" s="156"/>
      <c r="AK20" s="37"/>
      <c r="AO20" s="156">
        <v>31</v>
      </c>
      <c r="AP20" s="148"/>
      <c r="AQ20" s="35"/>
      <c r="AR20" s="148"/>
    </row>
    <row r="21" spans="1:44" ht="16.5" customHeight="1" x14ac:dyDescent="0.3">
      <c r="A21" s="125">
        <v>17</v>
      </c>
      <c r="B21" s="119">
        <v>11094</v>
      </c>
      <c r="C21" s="17" t="s">
        <v>367</v>
      </c>
      <c r="D21" s="193" t="s">
        <v>368</v>
      </c>
      <c r="E21" s="171" t="s">
        <v>92</v>
      </c>
      <c r="F21" s="57">
        <v>1300</v>
      </c>
      <c r="G21" s="19" t="s">
        <v>126</v>
      </c>
      <c r="H21" s="114"/>
      <c r="I21" s="115">
        <v>75</v>
      </c>
      <c r="J21" s="120" t="str">
        <f t="shared" si="1"/>
        <v>0</v>
      </c>
      <c r="K21" s="120" t="str">
        <f t="shared" si="2"/>
        <v>0</v>
      </c>
      <c r="L21" s="121"/>
      <c r="M21" s="121"/>
      <c r="N21" s="124" t="s">
        <v>98</v>
      </c>
      <c r="O21" s="291"/>
      <c r="P21" s="290"/>
      <c r="Q21" s="290"/>
      <c r="R21" s="104"/>
      <c r="S21" s="151"/>
      <c r="T21" s="150"/>
      <c r="U21" s="106"/>
      <c r="X21" s="38"/>
      <c r="Z21" s="39"/>
      <c r="AK21" s="39"/>
    </row>
    <row r="22" spans="1:44" ht="16.5" customHeight="1" x14ac:dyDescent="0.3">
      <c r="A22" s="132">
        <v>18</v>
      </c>
      <c r="B22" s="123">
        <v>11095</v>
      </c>
      <c r="C22" s="21" t="s">
        <v>381</v>
      </c>
      <c r="D22" s="196" t="s">
        <v>382</v>
      </c>
      <c r="E22" s="171" t="s">
        <v>92</v>
      </c>
      <c r="F22" s="165">
        <v>1327</v>
      </c>
      <c r="G22" s="204" t="s">
        <v>149</v>
      </c>
      <c r="H22" s="80"/>
      <c r="I22" s="131"/>
      <c r="J22" s="120" t="str">
        <f t="shared" si="1"/>
        <v>0</v>
      </c>
      <c r="K22" s="120">
        <v>237.48</v>
      </c>
      <c r="L22" s="60"/>
      <c r="M22" s="60"/>
      <c r="N22" s="124" t="s">
        <v>98</v>
      </c>
      <c r="O22" s="291" t="s">
        <v>383</v>
      </c>
      <c r="P22" s="290"/>
      <c r="Q22" s="292"/>
      <c r="R22" s="104"/>
      <c r="S22" s="105"/>
      <c r="T22" s="105"/>
      <c r="U22" s="106"/>
      <c r="AD22" s="14" t="s">
        <v>34</v>
      </c>
      <c r="AE22" s="20">
        <f>SUM(Z5:Z19,AE5:AE20)</f>
        <v>0</v>
      </c>
      <c r="AF22" s="20">
        <f>SUM(AA5:AA19,AF5:AF20,)</f>
        <v>0</v>
      </c>
      <c r="AG22" s="20">
        <f>SUM(AB5:AB19,AG5:AG20)</f>
        <v>0</v>
      </c>
      <c r="AI22" s="14" t="s">
        <v>6</v>
      </c>
      <c r="AO22" s="14" t="s">
        <v>34</v>
      </c>
      <c r="AP22" s="20">
        <f>SUM(AK5:AK19,AP5:AP20)</f>
        <v>0</v>
      </c>
      <c r="AQ22" s="20">
        <f>SUM(AL5:AL19,AQ5:AQ20,)</f>
        <v>0</v>
      </c>
      <c r="AR22" s="20">
        <f>SUM(AM5:AM19,AR5:AR20)</f>
        <v>0</v>
      </c>
    </row>
    <row r="23" spans="1:44" ht="16.5" customHeight="1" thickBot="1" x14ac:dyDescent="0.35">
      <c r="A23" s="125">
        <v>19</v>
      </c>
      <c r="B23" s="119">
        <v>11096</v>
      </c>
      <c r="C23" s="126" t="s">
        <v>379</v>
      </c>
      <c r="D23" s="197" t="s">
        <v>380</v>
      </c>
      <c r="E23" s="171" t="s">
        <v>92</v>
      </c>
      <c r="F23" s="166">
        <v>1330</v>
      </c>
      <c r="G23" s="155" t="s">
        <v>109</v>
      </c>
      <c r="H23" s="80">
        <v>45</v>
      </c>
      <c r="I23" s="131"/>
      <c r="J23" s="120" t="str">
        <f t="shared" si="1"/>
        <v>0</v>
      </c>
      <c r="K23" s="120" t="str">
        <f t="shared" si="2"/>
        <v>0</v>
      </c>
      <c r="L23" s="117"/>
      <c r="M23" s="117"/>
      <c r="N23" s="265" t="s">
        <v>98</v>
      </c>
      <c r="O23" s="153"/>
      <c r="P23" s="154"/>
      <c r="Q23" s="149"/>
      <c r="R23" s="104"/>
      <c r="S23" s="105"/>
      <c r="T23" s="105"/>
      <c r="U23" s="106"/>
      <c r="X23" s="357"/>
      <c r="Y23" s="358"/>
      <c r="Z23" s="358"/>
    </row>
    <row r="24" spans="1:44" ht="16.5" customHeight="1" thickBot="1" x14ac:dyDescent="0.35">
      <c r="A24" s="125">
        <v>20</v>
      </c>
      <c r="B24" s="123">
        <v>11097</v>
      </c>
      <c r="C24" s="21" t="s">
        <v>370</v>
      </c>
      <c r="D24" s="196" t="s">
        <v>371</v>
      </c>
      <c r="E24" s="171" t="s">
        <v>92</v>
      </c>
      <c r="F24" s="165">
        <v>1340</v>
      </c>
      <c r="G24" s="204" t="s">
        <v>126</v>
      </c>
      <c r="H24" s="80"/>
      <c r="I24" s="131">
        <v>55</v>
      </c>
      <c r="J24" s="120" t="str">
        <f t="shared" si="1"/>
        <v>0</v>
      </c>
      <c r="K24" s="120" t="str">
        <f t="shared" si="2"/>
        <v>0</v>
      </c>
      <c r="L24" s="60"/>
      <c r="M24" s="60"/>
      <c r="N24" s="124" t="s">
        <v>98</v>
      </c>
      <c r="O24" s="291"/>
      <c r="P24" s="290"/>
      <c r="Q24" s="292"/>
      <c r="R24" s="133" t="s">
        <v>78</v>
      </c>
      <c r="S24" s="134" t="s">
        <v>79</v>
      </c>
      <c r="T24" s="134" t="s">
        <v>80</v>
      </c>
      <c r="U24" s="135" t="s">
        <v>81</v>
      </c>
      <c r="X24" s="38"/>
      <c r="AD24" s="23" t="s">
        <v>39</v>
      </c>
      <c r="AE24" s="21" t="s">
        <v>32</v>
      </c>
      <c r="AF24" s="21" t="s">
        <v>38</v>
      </c>
      <c r="AG24" s="21" t="s">
        <v>35</v>
      </c>
      <c r="AH24" s="21" t="s">
        <v>40</v>
      </c>
      <c r="AI24" s="21" t="s">
        <v>5</v>
      </c>
    </row>
    <row r="25" spans="1:44" ht="16.5" customHeight="1" x14ac:dyDescent="0.3">
      <c r="A25" s="125">
        <v>21</v>
      </c>
      <c r="B25" s="119"/>
      <c r="C25" s="122"/>
      <c r="D25" s="198"/>
      <c r="E25" s="171"/>
      <c r="F25" s="165"/>
      <c r="G25" s="204"/>
      <c r="H25" s="81"/>
      <c r="I25" s="81"/>
      <c r="J25" s="120" t="str">
        <f t="shared" si="1"/>
        <v>0</v>
      </c>
      <c r="K25" s="120" t="str">
        <f t="shared" si="2"/>
        <v>0</v>
      </c>
      <c r="L25" s="60"/>
      <c r="M25" s="60"/>
      <c r="N25" s="124"/>
      <c r="O25" s="291"/>
      <c r="P25" s="290"/>
      <c r="Q25" s="292"/>
      <c r="R25" s="91">
        <f>COUNTIF(G5:G29,"GV1")+COUNTIF(G37:G61,"GV1")+COUNTIF(G69:G93,"GV1")</f>
        <v>0</v>
      </c>
      <c r="S25" s="92">
        <f>COUNTIF(G5:G29,"GV2")+COUNTIF(G37:G61,"GV2")+COUNTIF(G69:G93,"GV2")</f>
        <v>0</v>
      </c>
      <c r="T25" s="92">
        <f>COUNTIF(G5:G29,"GV3")+COUNTIF(G37:G61,"GV3")+COUNTIF(G69:G93,"GV3")</f>
        <v>0</v>
      </c>
      <c r="U25" s="361">
        <f>((C32+(R26+S26+T26)*0.5))</f>
        <v>2041.3899999999999</v>
      </c>
      <c r="AD25" s="24">
        <f>SUM(AE25:AF25)</f>
        <v>0</v>
      </c>
      <c r="AE25" s="20">
        <f>SUM(AE22)</f>
        <v>0</v>
      </c>
      <c r="AF25" s="20">
        <f>SUM(AP22)</f>
        <v>0</v>
      </c>
      <c r="AG25" s="20">
        <f>SUM(AF22+AQ22)</f>
        <v>0</v>
      </c>
      <c r="AH25" s="20">
        <f>AG22+AR22</f>
        <v>0</v>
      </c>
      <c r="AI25" s="20">
        <f>SUM(AE25:AH25)</f>
        <v>0</v>
      </c>
    </row>
    <row r="26" spans="1:44" s="40" customFormat="1" ht="16.5" customHeight="1" thickBot="1" x14ac:dyDescent="0.35">
      <c r="A26" s="125">
        <v>22</v>
      </c>
      <c r="B26" s="123"/>
      <c r="C26" s="26"/>
      <c r="D26" s="199"/>
      <c r="E26" s="171"/>
      <c r="F26" s="167"/>
      <c r="G26" s="19"/>
      <c r="H26" s="80"/>
      <c r="I26" s="131"/>
      <c r="J26" s="120" t="str">
        <f t="shared" si="1"/>
        <v>0</v>
      </c>
      <c r="K26" s="120" t="str">
        <f t="shared" si="2"/>
        <v>0</v>
      </c>
      <c r="L26" s="60"/>
      <c r="M26" s="60"/>
      <c r="N26" s="124"/>
      <c r="O26" s="291"/>
      <c r="P26" s="290"/>
      <c r="Q26" s="292"/>
      <c r="R26" s="103">
        <f>R25*37.5</f>
        <v>0</v>
      </c>
      <c r="S26" s="93">
        <f>S25*41.5</f>
        <v>0</v>
      </c>
      <c r="T26" s="93">
        <f>T25*50</f>
        <v>0</v>
      </c>
      <c r="U26" s="362"/>
      <c r="X26" s="41" t="s">
        <v>30</v>
      </c>
      <c r="Y26" s="41"/>
      <c r="Z26" s="41"/>
      <c r="AD26" s="42"/>
      <c r="AE26" s="43"/>
      <c r="AF26" s="44"/>
    </row>
    <row r="27" spans="1:44" ht="16.5" customHeight="1" thickBot="1" x14ac:dyDescent="0.35">
      <c r="A27" s="125">
        <v>23</v>
      </c>
      <c r="B27" s="119"/>
      <c r="C27" s="26"/>
      <c r="D27" s="199"/>
      <c r="E27" s="171"/>
      <c r="F27" s="167"/>
      <c r="G27" s="19"/>
      <c r="H27" s="80"/>
      <c r="I27" s="131"/>
      <c r="J27" s="120" t="str">
        <f t="shared" si="1"/>
        <v>0</v>
      </c>
      <c r="K27" s="120" t="str">
        <f t="shared" si="2"/>
        <v>0</v>
      </c>
      <c r="L27" s="60"/>
      <c r="M27" s="60"/>
      <c r="N27" s="124"/>
      <c r="O27" s="291"/>
      <c r="P27" s="290"/>
      <c r="Q27" s="292"/>
      <c r="R27" s="354" t="s">
        <v>56</v>
      </c>
      <c r="S27" s="355"/>
      <c r="T27" s="355"/>
      <c r="U27" s="356"/>
      <c r="V27" s="14" t="s">
        <v>41</v>
      </c>
      <c r="W27" s="14" t="s">
        <v>41</v>
      </c>
      <c r="X27" s="14">
        <v>1</v>
      </c>
      <c r="Y27" s="28"/>
      <c r="Z27" s="45">
        <v>-2745</v>
      </c>
    </row>
    <row r="28" spans="1:44" ht="16.5" customHeight="1" x14ac:dyDescent="0.3">
      <c r="A28" s="125">
        <v>24</v>
      </c>
      <c r="B28" s="123"/>
      <c r="C28" s="26"/>
      <c r="D28" s="199"/>
      <c r="E28" s="171"/>
      <c r="F28" s="167"/>
      <c r="G28" s="19"/>
      <c r="H28" s="80"/>
      <c r="I28" s="131"/>
      <c r="J28" s="120" t="str">
        <f t="shared" si="1"/>
        <v>0</v>
      </c>
      <c r="K28" s="120" t="str">
        <f t="shared" si="2"/>
        <v>0</v>
      </c>
      <c r="L28" s="60"/>
      <c r="M28" s="60"/>
      <c r="N28" s="124"/>
      <c r="O28" s="291"/>
      <c r="P28" s="290"/>
      <c r="Q28" s="292"/>
      <c r="R28" s="347"/>
      <c r="S28" s="348"/>
      <c r="T28" s="349"/>
      <c r="U28" s="136"/>
      <c r="X28" s="14">
        <v>2</v>
      </c>
      <c r="Z28" s="45"/>
      <c r="AE28" s="39"/>
    </row>
    <row r="29" spans="1:44" ht="16.5" customHeight="1" thickBot="1" x14ac:dyDescent="0.35">
      <c r="A29" s="137">
        <v>25</v>
      </c>
      <c r="B29" s="119"/>
      <c r="C29" s="33"/>
      <c r="D29" s="200"/>
      <c r="E29" s="172"/>
      <c r="F29" s="167"/>
      <c r="G29" s="19"/>
      <c r="H29" s="80"/>
      <c r="I29" s="80"/>
      <c r="J29" s="120" t="str">
        <f t="shared" si="1"/>
        <v>0</v>
      </c>
      <c r="K29" s="120" t="str">
        <f t="shared" si="2"/>
        <v>0</v>
      </c>
      <c r="L29" s="60"/>
      <c r="M29" s="60"/>
      <c r="N29" s="124"/>
      <c r="O29" s="334"/>
      <c r="P29" s="335"/>
      <c r="Q29" s="336"/>
      <c r="R29" s="337"/>
      <c r="S29" s="338"/>
      <c r="T29" s="339"/>
      <c r="U29" s="140"/>
      <c r="X29" s="14">
        <v>3</v>
      </c>
      <c r="Z29" s="45"/>
      <c r="AE29" s="39"/>
    </row>
    <row r="30" spans="1:44" ht="16.5" customHeight="1" thickBot="1" x14ac:dyDescent="0.35">
      <c r="A30" s="340" t="s">
        <v>48</v>
      </c>
      <c r="B30" s="341"/>
      <c r="C30" s="341"/>
      <c r="D30" s="341"/>
      <c r="E30" s="342"/>
      <c r="F30" s="341"/>
      <c r="G30" s="341"/>
      <c r="H30" s="201">
        <f t="shared" ref="H30:M30" si="3">SUM(H5:H29)</f>
        <v>820</v>
      </c>
      <c r="I30" s="96">
        <f>SUM(I5:I29)</f>
        <v>717.25</v>
      </c>
      <c r="J30" s="96">
        <f>J5+J6+J7+J8+J9+J10+J11+J12+J13+J14+J15+J16+J18+J19+J17+J20+J22+J23+J21+J24+J25+J26+J27+J28+J29</f>
        <v>0</v>
      </c>
      <c r="K30" s="96">
        <f>K5+K6+K7+K8+K9+K10+K11+K12+K13+K14+K15+K16+K18+K19+K17+K20+K22+K23+K21+K24+K25+K26+K27+K28+K29</f>
        <v>504.14</v>
      </c>
      <c r="L30" s="97">
        <f t="shared" si="3"/>
        <v>0</v>
      </c>
      <c r="M30" s="97">
        <f t="shared" si="3"/>
        <v>375</v>
      </c>
      <c r="N30" s="206" t="s">
        <v>15</v>
      </c>
      <c r="O30" s="206" t="s">
        <v>20</v>
      </c>
      <c r="P30" s="206" t="s">
        <v>45</v>
      </c>
      <c r="Q30" s="87" t="s">
        <v>44</v>
      </c>
      <c r="R30" s="343"/>
      <c r="S30" s="343"/>
      <c r="T30" s="344"/>
      <c r="U30" s="141"/>
      <c r="X30" s="14">
        <v>4</v>
      </c>
      <c r="Z30" s="45"/>
      <c r="AD30" s="46"/>
    </row>
    <row r="31" spans="1:44" x14ac:dyDescent="0.3">
      <c r="A31" s="345" t="s">
        <v>16</v>
      </c>
      <c r="B31" s="346"/>
      <c r="C31" s="346"/>
      <c r="D31" s="346"/>
      <c r="E31" s="346"/>
      <c r="F31" s="346"/>
      <c r="G31" s="346"/>
      <c r="H31" s="202">
        <f t="shared" ref="H31:J31" si="4">H30+H62+H94</f>
        <v>820</v>
      </c>
      <c r="I31" s="94">
        <f t="shared" si="4"/>
        <v>717.25</v>
      </c>
      <c r="J31" s="94">
        <f t="shared" si="4"/>
        <v>0</v>
      </c>
      <c r="K31" s="94">
        <f>K30+K62+K94</f>
        <v>504.14</v>
      </c>
      <c r="L31" s="88">
        <f>L30+L62+L94</f>
        <v>0</v>
      </c>
      <c r="M31" s="88">
        <f>M30+M62+M94</f>
        <v>375</v>
      </c>
      <c r="N31" s="207">
        <f>COUNT(H5:H29,H37:H61,H69:H93)</f>
        <v>8</v>
      </c>
      <c r="O31" s="95">
        <f>COUNT(I5:I29,I37:I61,I69:I93)</f>
        <v>8</v>
      </c>
      <c r="P31" s="95">
        <f>COUNTIF(G5:G29,"G*")+COUNTIF(G37:G61,"G*")+COUNTIF(G69:G93,"G*")+COUNTIF(G5:G29,"P*")+COUNTIF(G37:G61,"P*")+COUNTIF(G69:G93,"P*")</f>
        <v>4</v>
      </c>
      <c r="Q31" s="108">
        <f>COUNTIF(G5:G29,"RSL")+COUNTIF(G37:G61,"RSL")+COUNTIF(G69:G93,"RSL")</f>
        <v>0</v>
      </c>
      <c r="R31" s="89" t="s">
        <v>83</v>
      </c>
      <c r="S31" s="102">
        <f>H31+L31-U28-U29-U30</f>
        <v>820</v>
      </c>
      <c r="T31" s="330">
        <f>H31+I31+L31+M31</f>
        <v>1912.25</v>
      </c>
      <c r="U31" s="331"/>
      <c r="X31" s="47" t="s">
        <v>28</v>
      </c>
      <c r="Y31" s="47"/>
      <c r="Z31" s="47">
        <f>SUM(Z27:Z30)</f>
        <v>-2745</v>
      </c>
      <c r="AE31" s="39"/>
    </row>
    <row r="32" spans="1:44" ht="17.25" thickBot="1" x14ac:dyDescent="0.35">
      <c r="A32" s="350" t="s">
        <v>55</v>
      </c>
      <c r="B32" s="351"/>
      <c r="C32" s="98">
        <f>H31+I31+J31+K31</f>
        <v>2041.3899999999999</v>
      </c>
      <c r="D32" s="186"/>
      <c r="E32" s="98"/>
      <c r="F32" s="352" t="s">
        <v>53</v>
      </c>
      <c r="G32" s="352"/>
      <c r="H32" s="100">
        <f>COUNT(B5:B29,B37:B61,B69:B93)</f>
        <v>20</v>
      </c>
      <c r="I32" s="353" t="s">
        <v>54</v>
      </c>
      <c r="J32" s="353"/>
      <c r="K32" s="99">
        <f>C32/H32</f>
        <v>102.06949999999999</v>
      </c>
      <c r="L32" s="208"/>
      <c r="M32" s="208"/>
      <c r="N32" s="208">
        <f>H31/C32</f>
        <v>0.40168708576019285</v>
      </c>
      <c r="O32" s="208">
        <f>I31/C32</f>
        <v>0.35135373446524182</v>
      </c>
      <c r="P32" s="208">
        <f>K31/C32</f>
        <v>0.24695917977456538</v>
      </c>
      <c r="Q32" s="101">
        <f>J31/C32</f>
        <v>0</v>
      </c>
      <c r="R32" s="90" t="s">
        <v>82</v>
      </c>
      <c r="S32" s="203">
        <f>I31+M31</f>
        <v>1092.25</v>
      </c>
      <c r="T32" s="332"/>
      <c r="U32" s="333"/>
      <c r="V32" s="39"/>
      <c r="W32" s="39"/>
      <c r="X32" s="48" t="s">
        <v>27</v>
      </c>
      <c r="Y32" s="48"/>
      <c r="Z32" s="47">
        <f>I31</f>
        <v>717.25</v>
      </c>
    </row>
    <row r="33" spans="1:33" ht="17.25" thickBot="1" x14ac:dyDescent="0.35">
      <c r="A33" s="284" t="s">
        <v>24</v>
      </c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325"/>
      <c r="U33" s="326"/>
      <c r="X33" s="49" t="s">
        <v>29</v>
      </c>
      <c r="Y33" s="49"/>
      <c r="Z33" s="50">
        <f>SUM(Z31:Z32)</f>
        <v>-2027.75</v>
      </c>
      <c r="AG33" s="35"/>
    </row>
    <row r="34" spans="1:33" ht="17.25" thickBot="1" x14ac:dyDescent="0.35">
      <c r="A34" s="324" t="str">
        <f>A2</f>
        <v>11-09-2022</v>
      </c>
      <c r="B34" s="325"/>
      <c r="C34" s="325"/>
      <c r="D34" s="325"/>
      <c r="E34" s="325"/>
      <c r="F34" s="325"/>
      <c r="G34" s="326"/>
      <c r="H34" s="327" t="s">
        <v>49</v>
      </c>
      <c r="I34" s="328"/>
      <c r="J34" s="324" t="str">
        <f>J2</f>
        <v>SUNNY</v>
      </c>
      <c r="K34" s="326"/>
      <c r="L34" s="328" t="s">
        <v>50</v>
      </c>
      <c r="M34" s="329"/>
      <c r="N34" s="327"/>
      <c r="O34" s="325" t="str">
        <f>O2</f>
        <v>JOHN</v>
      </c>
      <c r="P34" s="325"/>
      <c r="Q34" s="326"/>
      <c r="R34" s="328" t="s">
        <v>51</v>
      </c>
      <c r="S34" s="327"/>
      <c r="T34" s="316">
        <f>T2</f>
        <v>7</v>
      </c>
      <c r="U34" s="316"/>
      <c r="Z34" s="39"/>
    </row>
    <row r="35" spans="1:33" ht="17.25" thickBot="1" x14ac:dyDescent="0.35">
      <c r="A35" s="15" t="s">
        <v>6</v>
      </c>
      <c r="H35" s="9"/>
      <c r="I35" s="18"/>
      <c r="T35" s="10"/>
      <c r="U35" s="11"/>
    </row>
    <row r="36" spans="1:33" ht="17.25" thickBot="1" x14ac:dyDescent="0.35">
      <c r="A36" s="144" t="s">
        <v>0</v>
      </c>
      <c r="B36" s="205" t="s">
        <v>21</v>
      </c>
      <c r="C36" s="157" t="s">
        <v>7</v>
      </c>
      <c r="D36" s="184" t="s">
        <v>88</v>
      </c>
      <c r="E36" s="157" t="s">
        <v>89</v>
      </c>
      <c r="F36" s="205" t="s">
        <v>25</v>
      </c>
      <c r="G36" s="205" t="s">
        <v>1</v>
      </c>
      <c r="H36" s="205" t="s">
        <v>22</v>
      </c>
      <c r="I36" s="205" t="s">
        <v>20</v>
      </c>
      <c r="J36" s="205" t="s">
        <v>44</v>
      </c>
      <c r="K36" s="205" t="s">
        <v>45</v>
      </c>
      <c r="L36" s="205" t="s">
        <v>47</v>
      </c>
      <c r="M36" s="205" t="s">
        <v>46</v>
      </c>
      <c r="N36" s="205" t="s">
        <v>2</v>
      </c>
      <c r="O36" s="317" t="s">
        <v>8</v>
      </c>
      <c r="P36" s="317"/>
      <c r="Q36" s="317"/>
      <c r="R36" s="205" t="s">
        <v>26</v>
      </c>
      <c r="S36" s="145" t="s">
        <v>3</v>
      </c>
      <c r="T36" s="145" t="s">
        <v>4</v>
      </c>
      <c r="U36" s="146" t="s">
        <v>18</v>
      </c>
    </row>
    <row r="37" spans="1:33" x14ac:dyDescent="0.3">
      <c r="A37" s="142">
        <f>A29+1</f>
        <v>26</v>
      </c>
      <c r="B37" s="109"/>
      <c r="C37" s="59"/>
      <c r="D37" s="248"/>
      <c r="E37" s="171"/>
      <c r="F37" s="164"/>
      <c r="G37" s="109"/>
      <c r="H37" s="82"/>
      <c r="I37" s="115"/>
      <c r="J37" s="120" t="str">
        <f>IF(G37="RSL","55","0")</f>
        <v>0</v>
      </c>
      <c r="K37" s="120" t="str">
        <f t="shared" ref="K37:K61" si="5">IF(G37="GVS","37.5",IF(G37="GVM","41.5",IF(G37="GVL","50",IF(G37="PCS","45.8",IF(G37="PCM","50",IF(G37="PCL","58.3","0"))))))</f>
        <v>0</v>
      </c>
      <c r="L37" s="121"/>
      <c r="M37" s="121"/>
      <c r="N37" s="60"/>
      <c r="O37" s="291"/>
      <c r="P37" s="290"/>
      <c r="Q37" s="292"/>
      <c r="R37" s="51"/>
      <c r="S37" s="52"/>
      <c r="T37" s="52"/>
      <c r="U37" s="61"/>
    </row>
    <row r="38" spans="1:33" x14ac:dyDescent="0.3">
      <c r="A38" s="118">
        <f>A37+1</f>
        <v>27</v>
      </c>
      <c r="B38" s="204"/>
      <c r="C38" s="58"/>
      <c r="D38" s="185"/>
      <c r="E38" s="171"/>
      <c r="F38" s="169"/>
      <c r="G38" s="109"/>
      <c r="H38" s="82"/>
      <c r="I38" s="115"/>
      <c r="J38" s="120" t="str">
        <f t="shared" ref="J38:J61" si="6">IF(G38="RSL","55","0")</f>
        <v>0</v>
      </c>
      <c r="K38" s="120" t="str">
        <f t="shared" si="5"/>
        <v>0</v>
      </c>
      <c r="L38" s="121"/>
      <c r="M38" s="121"/>
      <c r="N38" s="60"/>
      <c r="O38" s="318"/>
      <c r="P38" s="319"/>
      <c r="Q38" s="320"/>
      <c r="R38" s="69"/>
      <c r="S38" s="62"/>
      <c r="T38" s="16"/>
      <c r="U38" s="63"/>
    </row>
    <row r="39" spans="1:33" x14ac:dyDescent="0.3">
      <c r="A39" s="118">
        <f t="shared" ref="A39:A61" si="7">A38+1</f>
        <v>28</v>
      </c>
      <c r="B39" s="109"/>
      <c r="C39" s="26"/>
      <c r="D39" s="173"/>
      <c r="E39" s="171"/>
      <c r="F39" s="169"/>
      <c r="G39" s="109"/>
      <c r="H39" s="82"/>
      <c r="I39" s="115"/>
      <c r="J39" s="120" t="str">
        <f t="shared" si="6"/>
        <v>0</v>
      </c>
      <c r="K39" s="120" t="str">
        <f t="shared" si="5"/>
        <v>0</v>
      </c>
      <c r="L39" s="121"/>
      <c r="M39" s="121"/>
      <c r="N39" s="60"/>
      <c r="O39" s="291"/>
      <c r="P39" s="290"/>
      <c r="Q39" s="292"/>
      <c r="R39" s="70"/>
      <c r="S39" s="13"/>
      <c r="T39" s="12"/>
      <c r="U39" s="63"/>
    </row>
    <row r="40" spans="1:33" x14ac:dyDescent="0.3">
      <c r="A40" s="118">
        <f t="shared" si="7"/>
        <v>29</v>
      </c>
      <c r="B40" s="204"/>
      <c r="C40" s="54"/>
      <c r="D40" s="174"/>
      <c r="E40" s="171"/>
      <c r="F40" s="170"/>
      <c r="G40" s="110"/>
      <c r="H40" s="82"/>
      <c r="I40" s="82"/>
      <c r="J40" s="120" t="str">
        <f t="shared" si="6"/>
        <v>0</v>
      </c>
      <c r="K40" s="120" t="str">
        <f t="shared" si="5"/>
        <v>0</v>
      </c>
      <c r="L40" s="121"/>
      <c r="M40" s="121"/>
      <c r="N40" s="60"/>
      <c r="O40" s="321"/>
      <c r="P40" s="322"/>
      <c r="Q40" s="323"/>
      <c r="R40" s="69"/>
      <c r="S40" s="62"/>
      <c r="T40" s="62"/>
      <c r="U40" s="63"/>
    </row>
    <row r="41" spans="1:33" x14ac:dyDescent="0.3">
      <c r="A41" s="118">
        <f t="shared" si="7"/>
        <v>30</v>
      </c>
      <c r="B41" s="109"/>
      <c r="C41" s="54"/>
      <c r="D41" s="174"/>
      <c r="E41" s="171"/>
      <c r="F41" s="170"/>
      <c r="G41" s="110"/>
      <c r="H41" s="82"/>
      <c r="I41" s="82"/>
      <c r="J41" s="120" t="str">
        <f t="shared" si="6"/>
        <v>0</v>
      </c>
      <c r="K41" s="120" t="str">
        <f t="shared" si="5"/>
        <v>0</v>
      </c>
      <c r="L41" s="121"/>
      <c r="M41" s="121"/>
      <c r="N41" s="60"/>
      <c r="O41" s="321"/>
      <c r="P41" s="322"/>
      <c r="Q41" s="323"/>
      <c r="R41" s="71"/>
      <c r="S41" s="64"/>
      <c r="T41" s="64"/>
      <c r="U41" s="65"/>
    </row>
    <row r="42" spans="1:33" x14ac:dyDescent="0.3">
      <c r="A42" s="118">
        <f t="shared" si="7"/>
        <v>31</v>
      </c>
      <c r="B42" s="204"/>
      <c r="C42" s="27"/>
      <c r="D42" s="175"/>
      <c r="E42" s="171"/>
      <c r="F42" s="163"/>
      <c r="G42" s="111"/>
      <c r="H42" s="114"/>
      <c r="I42" s="116"/>
      <c r="J42" s="120" t="str">
        <f t="shared" si="6"/>
        <v>0</v>
      </c>
      <c r="K42" s="120" t="str">
        <f t="shared" si="5"/>
        <v>0</v>
      </c>
      <c r="L42" s="121"/>
      <c r="M42" s="121"/>
      <c r="N42" s="60"/>
      <c r="O42" s="313"/>
      <c r="P42" s="314"/>
      <c r="Q42" s="315"/>
      <c r="R42" s="71"/>
      <c r="S42" s="64"/>
      <c r="T42" s="64"/>
      <c r="U42" s="65"/>
    </row>
    <row r="43" spans="1:33" x14ac:dyDescent="0.3">
      <c r="A43" s="118">
        <f t="shared" si="7"/>
        <v>32</v>
      </c>
      <c r="B43" s="109"/>
      <c r="C43" s="17"/>
      <c r="D43" s="181"/>
      <c r="E43" s="171"/>
      <c r="F43" s="57"/>
      <c r="G43" s="143"/>
      <c r="H43" s="114"/>
      <c r="I43" s="115"/>
      <c r="J43" s="120" t="str">
        <f t="shared" si="6"/>
        <v>0</v>
      </c>
      <c r="K43" s="120" t="str">
        <f t="shared" si="5"/>
        <v>0</v>
      </c>
      <c r="L43" s="121"/>
      <c r="M43" s="121"/>
      <c r="N43" s="60"/>
      <c r="O43" s="291"/>
      <c r="P43" s="290"/>
      <c r="Q43" s="292"/>
      <c r="R43" s="69"/>
      <c r="S43" s="62"/>
      <c r="T43" s="62"/>
      <c r="U43" s="63"/>
    </row>
    <row r="44" spans="1:33" x14ac:dyDescent="0.3">
      <c r="A44" s="118">
        <f t="shared" si="7"/>
        <v>33</v>
      </c>
      <c r="B44" s="204"/>
      <c r="C44" s="55"/>
      <c r="D44" s="176"/>
      <c r="E44" s="171"/>
      <c r="F44" s="163"/>
      <c r="G44" s="110"/>
      <c r="H44" s="114"/>
      <c r="I44" s="116"/>
      <c r="J44" s="120" t="str">
        <f t="shared" si="6"/>
        <v>0</v>
      </c>
      <c r="K44" s="120" t="str">
        <f t="shared" si="5"/>
        <v>0</v>
      </c>
      <c r="L44" s="121"/>
      <c r="M44" s="121"/>
      <c r="N44" s="60"/>
      <c r="O44" s="291"/>
      <c r="P44" s="290"/>
      <c r="Q44" s="292"/>
      <c r="R44" s="5"/>
      <c r="S44" s="62"/>
      <c r="T44" s="62"/>
      <c r="U44" s="63"/>
    </row>
    <row r="45" spans="1:33" x14ac:dyDescent="0.3">
      <c r="A45" s="118">
        <f t="shared" si="7"/>
        <v>34</v>
      </c>
      <c r="B45" s="109"/>
      <c r="C45" s="55"/>
      <c r="D45" s="176"/>
      <c r="E45" s="171"/>
      <c r="F45" s="163"/>
      <c r="G45" s="110"/>
      <c r="H45" s="114"/>
      <c r="I45" s="116"/>
      <c r="J45" s="120" t="str">
        <f t="shared" si="6"/>
        <v>0</v>
      </c>
      <c r="K45" s="120" t="str">
        <f t="shared" si="5"/>
        <v>0</v>
      </c>
      <c r="L45" s="121"/>
      <c r="M45" s="121"/>
      <c r="N45" s="60"/>
      <c r="O45" s="291"/>
      <c r="P45" s="290"/>
      <c r="Q45" s="292"/>
      <c r="R45" s="5"/>
      <c r="S45" s="62"/>
      <c r="T45" s="62"/>
      <c r="U45" s="63"/>
    </row>
    <row r="46" spans="1:33" x14ac:dyDescent="0.3">
      <c r="A46" s="118">
        <f t="shared" si="7"/>
        <v>35</v>
      </c>
      <c r="B46" s="204"/>
      <c r="C46" s="56"/>
      <c r="D46" s="177"/>
      <c r="E46" s="171"/>
      <c r="F46" s="160"/>
      <c r="G46" s="113"/>
      <c r="H46" s="114"/>
      <c r="I46" s="115"/>
      <c r="J46" s="120" t="str">
        <f t="shared" si="6"/>
        <v>0</v>
      </c>
      <c r="K46" s="120" t="str">
        <f t="shared" si="5"/>
        <v>0</v>
      </c>
      <c r="L46" s="121"/>
      <c r="M46" s="121"/>
      <c r="N46" s="60"/>
      <c r="O46" s="291"/>
      <c r="P46" s="290"/>
      <c r="Q46" s="292"/>
      <c r="R46" s="5"/>
      <c r="S46" s="62"/>
      <c r="T46" s="62"/>
      <c r="U46" s="63"/>
    </row>
    <row r="47" spans="1:33" x14ac:dyDescent="0.3">
      <c r="A47" s="118">
        <f t="shared" si="7"/>
        <v>36</v>
      </c>
      <c r="B47" s="109"/>
      <c r="C47" s="17"/>
      <c r="D47" s="181"/>
      <c r="E47" s="171"/>
      <c r="F47" s="57"/>
      <c r="G47" s="112"/>
      <c r="H47" s="114"/>
      <c r="I47" s="115"/>
      <c r="J47" s="120" t="str">
        <f t="shared" si="6"/>
        <v>0</v>
      </c>
      <c r="K47" s="120" t="str">
        <f t="shared" si="5"/>
        <v>0</v>
      </c>
      <c r="L47" s="121"/>
      <c r="M47" s="121"/>
      <c r="N47" s="60"/>
      <c r="O47" s="291"/>
      <c r="P47" s="290"/>
      <c r="Q47" s="292"/>
      <c r="R47" s="5"/>
      <c r="S47" s="62"/>
      <c r="T47" s="62"/>
      <c r="U47" s="63"/>
    </row>
    <row r="48" spans="1:33" x14ac:dyDescent="0.3">
      <c r="A48" s="118">
        <f t="shared" si="7"/>
        <v>37</v>
      </c>
      <c r="B48" s="204"/>
      <c r="C48" s="56"/>
      <c r="D48" s="177"/>
      <c r="E48" s="171"/>
      <c r="F48" s="160"/>
      <c r="G48" s="113"/>
      <c r="H48" s="114"/>
      <c r="I48" s="115"/>
      <c r="J48" s="120" t="str">
        <f t="shared" si="6"/>
        <v>0</v>
      </c>
      <c r="K48" s="120" t="str">
        <f t="shared" si="5"/>
        <v>0</v>
      </c>
      <c r="L48" s="121"/>
      <c r="M48" s="121"/>
      <c r="N48" s="60"/>
      <c r="O48" s="291"/>
      <c r="P48" s="290"/>
      <c r="Q48" s="292"/>
      <c r="R48" s="5"/>
      <c r="S48" s="62"/>
      <c r="T48" s="62"/>
      <c r="U48" s="63"/>
    </row>
    <row r="49" spans="1:21" x14ac:dyDescent="0.3">
      <c r="A49" s="118">
        <f t="shared" si="7"/>
        <v>38</v>
      </c>
      <c r="B49" s="204"/>
      <c r="C49" s="17"/>
      <c r="D49" s="181"/>
      <c r="E49" s="171"/>
      <c r="F49" s="57"/>
      <c r="G49" s="112"/>
      <c r="H49" s="114"/>
      <c r="I49" s="115"/>
      <c r="J49" s="120" t="str">
        <f t="shared" si="6"/>
        <v>0</v>
      </c>
      <c r="K49" s="120" t="str">
        <f t="shared" si="5"/>
        <v>0</v>
      </c>
      <c r="L49" s="121"/>
      <c r="M49" s="121"/>
      <c r="N49" s="60"/>
      <c r="O49" s="291"/>
      <c r="P49" s="290"/>
      <c r="Q49" s="292"/>
      <c r="R49" s="5"/>
      <c r="S49" s="62"/>
      <c r="T49" s="66"/>
      <c r="U49" s="63"/>
    </row>
    <row r="50" spans="1:21" x14ac:dyDescent="0.3">
      <c r="A50" s="118">
        <f t="shared" si="7"/>
        <v>39</v>
      </c>
      <c r="B50" s="204"/>
      <c r="C50" s="17"/>
      <c r="D50" s="181"/>
      <c r="E50" s="171"/>
      <c r="F50" s="57"/>
      <c r="G50" s="19"/>
      <c r="H50" s="114"/>
      <c r="I50" s="115"/>
      <c r="J50" s="120" t="str">
        <f t="shared" si="6"/>
        <v>0</v>
      </c>
      <c r="K50" s="120" t="str">
        <f t="shared" si="5"/>
        <v>0</v>
      </c>
      <c r="L50" s="121"/>
      <c r="M50" s="121"/>
      <c r="N50" s="60"/>
      <c r="O50" s="291"/>
      <c r="P50" s="290"/>
      <c r="Q50" s="292"/>
      <c r="R50" s="5"/>
      <c r="S50" s="62"/>
      <c r="T50" s="66"/>
      <c r="U50" s="63"/>
    </row>
    <row r="51" spans="1:21" x14ac:dyDescent="0.3">
      <c r="A51" s="118">
        <f t="shared" si="7"/>
        <v>40</v>
      </c>
      <c r="B51" s="204"/>
      <c r="C51" s="17"/>
      <c r="D51" s="181"/>
      <c r="E51" s="171"/>
      <c r="F51" s="57"/>
      <c r="G51" s="112"/>
      <c r="H51" s="114"/>
      <c r="I51" s="115"/>
      <c r="J51" s="120" t="str">
        <f t="shared" si="6"/>
        <v>0</v>
      </c>
      <c r="K51" s="120" t="str">
        <f t="shared" si="5"/>
        <v>0</v>
      </c>
      <c r="L51" s="121"/>
      <c r="M51" s="121"/>
      <c r="N51" s="60"/>
      <c r="O51" s="291"/>
      <c r="P51" s="290"/>
      <c r="Q51" s="290"/>
      <c r="R51" s="5"/>
      <c r="S51" s="62"/>
      <c r="T51" s="66"/>
      <c r="U51" s="63"/>
    </row>
    <row r="52" spans="1:21" x14ac:dyDescent="0.3">
      <c r="A52" s="118">
        <f t="shared" si="7"/>
        <v>41</v>
      </c>
      <c r="B52" s="204"/>
      <c r="C52" s="57"/>
      <c r="D52" s="182"/>
      <c r="E52" s="171"/>
      <c r="F52" s="57"/>
      <c r="G52" s="112"/>
      <c r="H52" s="114"/>
      <c r="I52" s="115"/>
      <c r="J52" s="120" t="str">
        <f t="shared" si="6"/>
        <v>0</v>
      </c>
      <c r="K52" s="120" t="str">
        <f t="shared" si="5"/>
        <v>0</v>
      </c>
      <c r="L52" s="121"/>
      <c r="M52" s="121"/>
      <c r="N52" s="60"/>
      <c r="O52" s="291"/>
      <c r="P52" s="290"/>
      <c r="Q52" s="290"/>
      <c r="R52" s="72"/>
      <c r="S52" s="59"/>
      <c r="T52" s="67"/>
      <c r="U52" s="68"/>
    </row>
    <row r="53" spans="1:21" x14ac:dyDescent="0.3">
      <c r="A53" s="118">
        <f t="shared" si="7"/>
        <v>42</v>
      </c>
      <c r="B53" s="204"/>
      <c r="C53" s="21"/>
      <c r="D53" s="178"/>
      <c r="E53" s="171"/>
      <c r="F53" s="165"/>
      <c r="G53" s="204"/>
      <c r="H53" s="80"/>
      <c r="I53" s="131"/>
      <c r="J53" s="120" t="str">
        <f t="shared" si="6"/>
        <v>0</v>
      </c>
      <c r="K53" s="120" t="str">
        <f t="shared" si="5"/>
        <v>0</v>
      </c>
      <c r="L53" s="60"/>
      <c r="M53" s="60"/>
      <c r="N53" s="60"/>
      <c r="O53" s="312"/>
      <c r="P53" s="291"/>
      <c r="Q53" s="291"/>
      <c r="R53" s="72"/>
      <c r="S53" s="59"/>
      <c r="T53" s="67"/>
      <c r="U53" s="68"/>
    </row>
    <row r="54" spans="1:21" x14ac:dyDescent="0.3">
      <c r="A54" s="118">
        <f t="shared" si="7"/>
        <v>43</v>
      </c>
      <c r="B54" s="204"/>
      <c r="C54" s="21"/>
      <c r="D54" s="178"/>
      <c r="E54" s="171"/>
      <c r="F54" s="165"/>
      <c r="G54" s="204"/>
      <c r="H54" s="80"/>
      <c r="I54" s="131"/>
      <c r="J54" s="120" t="str">
        <f t="shared" si="6"/>
        <v>0</v>
      </c>
      <c r="K54" s="120" t="str">
        <f t="shared" si="5"/>
        <v>0</v>
      </c>
      <c r="L54" s="60"/>
      <c r="M54" s="60"/>
      <c r="N54" s="60"/>
      <c r="O54" s="312"/>
      <c r="P54" s="291"/>
      <c r="Q54" s="291"/>
      <c r="R54" s="72"/>
      <c r="S54" s="59"/>
      <c r="T54" s="67"/>
      <c r="U54" s="68"/>
    </row>
    <row r="55" spans="1:21" x14ac:dyDescent="0.3">
      <c r="A55" s="118">
        <f t="shared" si="7"/>
        <v>44</v>
      </c>
      <c r="B55" s="204"/>
      <c r="C55" s="21"/>
      <c r="D55" s="178"/>
      <c r="E55" s="171"/>
      <c r="F55" s="165"/>
      <c r="G55" s="204"/>
      <c r="H55" s="80"/>
      <c r="I55" s="131"/>
      <c r="J55" s="120" t="str">
        <f t="shared" si="6"/>
        <v>0</v>
      </c>
      <c r="K55" s="120" t="str">
        <f t="shared" si="5"/>
        <v>0</v>
      </c>
      <c r="L55" s="60"/>
      <c r="M55" s="60"/>
      <c r="N55" s="60"/>
      <c r="O55" s="312"/>
      <c r="P55" s="291"/>
      <c r="Q55" s="291"/>
      <c r="R55" s="72"/>
      <c r="S55" s="59"/>
      <c r="T55" s="67"/>
      <c r="U55" s="68"/>
    </row>
    <row r="56" spans="1:21" x14ac:dyDescent="0.3">
      <c r="A56" s="118">
        <f t="shared" si="7"/>
        <v>45</v>
      </c>
      <c r="B56" s="204"/>
      <c r="C56" s="122"/>
      <c r="D56" s="179"/>
      <c r="E56" s="171"/>
      <c r="F56" s="165"/>
      <c r="G56" s="204"/>
      <c r="H56" s="81"/>
      <c r="I56" s="81"/>
      <c r="J56" s="120" t="str">
        <f t="shared" si="6"/>
        <v>0</v>
      </c>
      <c r="K56" s="120" t="str">
        <f t="shared" si="5"/>
        <v>0</v>
      </c>
      <c r="L56" s="60"/>
      <c r="M56" s="60"/>
      <c r="N56" s="60"/>
      <c r="O56" s="290"/>
      <c r="P56" s="290"/>
      <c r="Q56" s="290"/>
      <c r="R56" s="72"/>
      <c r="S56" s="59"/>
      <c r="T56" s="67"/>
      <c r="U56" s="68"/>
    </row>
    <row r="57" spans="1:21" x14ac:dyDescent="0.3">
      <c r="A57" s="118">
        <f t="shared" si="7"/>
        <v>46</v>
      </c>
      <c r="B57" s="204"/>
      <c r="C57" s="26"/>
      <c r="D57" s="173"/>
      <c r="E57" s="171"/>
      <c r="F57" s="167"/>
      <c r="G57" s="19"/>
      <c r="H57" s="80"/>
      <c r="I57" s="131"/>
      <c r="J57" s="120" t="str">
        <f t="shared" si="6"/>
        <v>0</v>
      </c>
      <c r="K57" s="120" t="str">
        <f t="shared" si="5"/>
        <v>0</v>
      </c>
      <c r="L57" s="60"/>
      <c r="M57" s="60"/>
      <c r="N57" s="60"/>
      <c r="O57" s="291"/>
      <c r="P57" s="290"/>
      <c r="Q57" s="290"/>
      <c r="R57" s="72"/>
      <c r="S57" s="59"/>
      <c r="T57" s="59"/>
      <c r="U57" s="68"/>
    </row>
    <row r="58" spans="1:21" x14ac:dyDescent="0.3">
      <c r="A58" s="118">
        <f t="shared" si="7"/>
        <v>47</v>
      </c>
      <c r="B58" s="204"/>
      <c r="C58" s="26"/>
      <c r="D58" s="173"/>
      <c r="E58" s="171"/>
      <c r="F58" s="167"/>
      <c r="G58" s="19"/>
      <c r="H58" s="80"/>
      <c r="I58" s="131"/>
      <c r="J58" s="120" t="str">
        <f t="shared" si="6"/>
        <v>0</v>
      </c>
      <c r="K58" s="120" t="str">
        <f t="shared" si="5"/>
        <v>0</v>
      </c>
      <c r="L58" s="60"/>
      <c r="M58" s="60"/>
      <c r="N58" s="60"/>
      <c r="O58" s="290"/>
      <c r="P58" s="290"/>
      <c r="Q58" s="290"/>
      <c r="R58" s="72"/>
      <c r="S58" s="59"/>
      <c r="T58" s="59"/>
      <c r="U58" s="68"/>
    </row>
    <row r="59" spans="1:21" x14ac:dyDescent="0.3">
      <c r="A59" s="118">
        <f t="shared" si="7"/>
        <v>48</v>
      </c>
      <c r="B59" s="204"/>
      <c r="C59" s="26"/>
      <c r="D59" s="173"/>
      <c r="E59" s="171"/>
      <c r="F59" s="167"/>
      <c r="G59" s="19"/>
      <c r="H59" s="80"/>
      <c r="I59" s="131"/>
      <c r="J59" s="120" t="str">
        <f t="shared" si="6"/>
        <v>0</v>
      </c>
      <c r="K59" s="120" t="str">
        <f t="shared" si="5"/>
        <v>0</v>
      </c>
      <c r="L59" s="60"/>
      <c r="M59" s="60"/>
      <c r="N59" s="60"/>
      <c r="O59" s="290"/>
      <c r="P59" s="290"/>
      <c r="Q59" s="290"/>
      <c r="R59" s="72"/>
      <c r="S59" s="59"/>
      <c r="T59" s="59"/>
      <c r="U59" s="68"/>
    </row>
    <row r="60" spans="1:21" x14ac:dyDescent="0.3">
      <c r="A60" s="118">
        <f t="shared" si="7"/>
        <v>49</v>
      </c>
      <c r="B60" s="204"/>
      <c r="C60" s="33"/>
      <c r="D60" s="180"/>
      <c r="E60" s="171"/>
      <c r="F60" s="167"/>
      <c r="G60" s="19"/>
      <c r="H60" s="80"/>
      <c r="I60" s="80"/>
      <c r="J60" s="120" t="str">
        <f t="shared" si="6"/>
        <v>0</v>
      </c>
      <c r="K60" s="120" t="str">
        <f t="shared" si="5"/>
        <v>0</v>
      </c>
      <c r="L60" s="60"/>
      <c r="M60" s="60"/>
      <c r="N60" s="60"/>
      <c r="O60" s="291"/>
      <c r="P60" s="290"/>
      <c r="Q60" s="292"/>
      <c r="R60" s="72"/>
      <c r="S60" s="59"/>
      <c r="T60" s="59"/>
      <c r="U60" s="68"/>
    </row>
    <row r="61" spans="1:21" ht="17.25" thickBot="1" x14ac:dyDescent="0.35">
      <c r="A61" s="118">
        <f t="shared" si="7"/>
        <v>50</v>
      </c>
      <c r="B61" s="204"/>
      <c r="C61" s="29"/>
      <c r="D61" s="188"/>
      <c r="F61" s="29"/>
      <c r="G61" s="204"/>
      <c r="H61" s="138"/>
      <c r="I61" s="138"/>
      <c r="J61" s="120" t="str">
        <f t="shared" si="6"/>
        <v>0</v>
      </c>
      <c r="K61" s="120" t="str">
        <f t="shared" si="5"/>
        <v>0</v>
      </c>
      <c r="L61" s="139"/>
      <c r="M61" s="139"/>
      <c r="N61" s="139"/>
      <c r="O61" s="293"/>
      <c r="P61" s="294"/>
      <c r="Q61" s="295"/>
      <c r="R61" s="72"/>
      <c r="S61" s="59"/>
      <c r="T61" s="59"/>
      <c r="U61" s="68"/>
    </row>
    <row r="62" spans="1:21" x14ac:dyDescent="0.3">
      <c r="A62" s="296" t="s">
        <v>48</v>
      </c>
      <c r="B62" s="297"/>
      <c r="C62" s="297"/>
      <c r="D62" s="297"/>
      <c r="E62" s="297"/>
      <c r="F62" s="297"/>
      <c r="G62" s="297"/>
      <c r="H62" s="297">
        <f t="shared" ref="H62:M62" si="8">SUM(H37:H61)</f>
        <v>0</v>
      </c>
      <c r="I62" s="303">
        <f t="shared" si="8"/>
        <v>0</v>
      </c>
      <c r="J62" s="303">
        <f>J61+J60+J59+J58+J57+J56+J55+J54+J53+J52+J51+J50+J49+J48+J47+J46+J45+J44+J43+J42+J41+J40+J39+J38+J37</f>
        <v>0</v>
      </c>
      <c r="K62" s="303">
        <f>K61+K60+K59+K58+K57+K56+K55+K54+K53+K52+K51+K50+K49+K48+K47+K46+K45+K44+K43+K42+K41+K40+K39+K38+K37</f>
        <v>0</v>
      </c>
      <c r="L62" s="306">
        <f t="shared" si="8"/>
        <v>0</v>
      </c>
      <c r="M62" s="309">
        <f t="shared" si="8"/>
        <v>0</v>
      </c>
      <c r="N62" s="278"/>
      <c r="O62" s="279"/>
      <c r="P62" s="279"/>
      <c r="Q62" s="280"/>
      <c r="R62" s="5"/>
      <c r="S62" s="6"/>
      <c r="T62" s="7"/>
      <c r="U62" s="8"/>
    </row>
    <row r="63" spans="1:21" ht="17.25" thickBot="1" x14ac:dyDescent="0.35">
      <c r="A63" s="299"/>
      <c r="B63" s="300"/>
      <c r="C63" s="300"/>
      <c r="D63" s="300"/>
      <c r="E63" s="300"/>
      <c r="F63" s="300"/>
      <c r="G63" s="300"/>
      <c r="H63" s="300"/>
      <c r="I63" s="304"/>
      <c r="J63" s="304"/>
      <c r="K63" s="304"/>
      <c r="L63" s="307"/>
      <c r="M63" s="310"/>
      <c r="N63" s="281"/>
      <c r="O63" s="282"/>
      <c r="P63" s="282"/>
      <c r="Q63" s="283"/>
      <c r="R63" s="1"/>
      <c r="S63" s="2"/>
      <c r="T63" s="3"/>
      <c r="U63" s="4"/>
    </row>
    <row r="64" spans="1:21" ht="17.25" thickBot="1" x14ac:dyDescent="0.35">
      <c r="A64" s="301"/>
      <c r="B64" s="302"/>
      <c r="C64" s="302"/>
      <c r="D64" s="302"/>
      <c r="E64" s="302"/>
      <c r="F64" s="302"/>
      <c r="G64" s="302"/>
      <c r="H64" s="302"/>
      <c r="I64" s="305"/>
      <c r="J64" s="305"/>
      <c r="K64" s="305"/>
      <c r="L64" s="308"/>
      <c r="M64" s="311"/>
      <c r="N64" s="284"/>
      <c r="O64" s="285"/>
      <c r="P64" s="285"/>
      <c r="Q64" s="286"/>
      <c r="R64" s="287" t="s">
        <v>17</v>
      </c>
      <c r="S64" s="288"/>
      <c r="T64" s="288"/>
      <c r="U64" s="289"/>
    </row>
    <row r="65" spans="1:21" ht="17.25" thickBot="1" x14ac:dyDescent="0.35">
      <c r="A65" s="324" t="s">
        <v>24</v>
      </c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6"/>
    </row>
    <row r="66" spans="1:21" ht="17.25" thickBot="1" x14ac:dyDescent="0.35">
      <c r="A66" s="324" t="str">
        <f>A34</f>
        <v>11-09-2022</v>
      </c>
      <c r="B66" s="325"/>
      <c r="C66" s="325"/>
      <c r="D66" s="325"/>
      <c r="E66" s="325"/>
      <c r="F66" s="325"/>
      <c r="G66" s="326"/>
      <c r="H66" s="327" t="s">
        <v>49</v>
      </c>
      <c r="I66" s="328"/>
      <c r="J66" s="324" t="str">
        <f>J34</f>
        <v>SUNNY</v>
      </c>
      <c r="K66" s="326"/>
      <c r="L66" s="328" t="s">
        <v>50</v>
      </c>
      <c r="M66" s="329"/>
      <c r="N66" s="327"/>
      <c r="O66" s="325" t="str">
        <f>O34</f>
        <v>JOHN</v>
      </c>
      <c r="P66" s="325"/>
      <c r="Q66" s="326"/>
      <c r="R66" s="328" t="s">
        <v>51</v>
      </c>
      <c r="S66" s="327"/>
      <c r="T66" s="316">
        <f>T34</f>
        <v>7</v>
      </c>
      <c r="U66" s="316"/>
    </row>
    <row r="67" spans="1:21" ht="17.25" thickBot="1" x14ac:dyDescent="0.35">
      <c r="A67" s="15" t="s">
        <v>6</v>
      </c>
      <c r="H67" s="9"/>
      <c r="I67" s="18"/>
      <c r="T67" s="10"/>
      <c r="U67" s="11"/>
    </row>
    <row r="68" spans="1:21" ht="17.25" thickBot="1" x14ac:dyDescent="0.35">
      <c r="A68" s="144" t="s">
        <v>0</v>
      </c>
      <c r="B68" s="205" t="s">
        <v>21</v>
      </c>
      <c r="C68" s="157" t="s">
        <v>7</v>
      </c>
      <c r="D68" s="184" t="s">
        <v>88</v>
      </c>
      <c r="E68" s="157" t="s">
        <v>89</v>
      </c>
      <c r="F68" s="205" t="s">
        <v>25</v>
      </c>
      <c r="G68" s="205" t="s">
        <v>1</v>
      </c>
      <c r="H68" s="205" t="s">
        <v>22</v>
      </c>
      <c r="I68" s="205" t="s">
        <v>20</v>
      </c>
      <c r="J68" s="205" t="s">
        <v>44</v>
      </c>
      <c r="K68" s="205" t="s">
        <v>45</v>
      </c>
      <c r="L68" s="205" t="s">
        <v>47</v>
      </c>
      <c r="M68" s="205" t="s">
        <v>46</v>
      </c>
      <c r="N68" s="205" t="s">
        <v>2</v>
      </c>
      <c r="O68" s="317" t="s">
        <v>8</v>
      </c>
      <c r="P68" s="317"/>
      <c r="Q68" s="317"/>
      <c r="R68" s="205" t="s">
        <v>26</v>
      </c>
      <c r="S68" s="145" t="s">
        <v>3</v>
      </c>
      <c r="T68" s="145" t="s">
        <v>4</v>
      </c>
      <c r="U68" s="146" t="s">
        <v>18</v>
      </c>
    </row>
    <row r="69" spans="1:21" x14ac:dyDescent="0.3">
      <c r="A69" s="142">
        <f>A61+1</f>
        <v>51</v>
      </c>
      <c r="B69" s="204"/>
      <c r="C69" s="59"/>
      <c r="D69" s="187"/>
      <c r="E69" s="171"/>
      <c r="F69" s="161"/>
      <c r="G69" s="109"/>
      <c r="H69" s="82"/>
      <c r="I69" s="115"/>
      <c r="J69" s="120" t="str">
        <f>IF(G69="RSL","55","0")</f>
        <v>0</v>
      </c>
      <c r="K69" s="120" t="str">
        <f t="shared" ref="K69:K93" si="9">IF(G69="GVS","37.5",IF(G69="GVM","41.5",IF(G69="GVL","50",IF(G69="PCS","45.8",IF(G69="PCM","50",IF(G69="PCL","58.3","0"))))))</f>
        <v>0</v>
      </c>
      <c r="L69" s="121"/>
      <c r="M69" s="121"/>
      <c r="N69" s="60"/>
      <c r="O69" s="291"/>
      <c r="P69" s="290"/>
      <c r="Q69" s="292"/>
      <c r="R69" s="51"/>
      <c r="S69" s="52"/>
      <c r="T69" s="52"/>
      <c r="U69" s="61"/>
    </row>
    <row r="70" spans="1:21" x14ac:dyDescent="0.3">
      <c r="A70" s="118">
        <f>A69+1</f>
        <v>52</v>
      </c>
      <c r="B70" s="204"/>
      <c r="C70" s="58"/>
      <c r="D70" s="185"/>
      <c r="E70" s="171"/>
      <c r="F70" s="161"/>
      <c r="G70" s="109"/>
      <c r="H70" s="82"/>
      <c r="I70" s="115"/>
      <c r="J70" s="120" t="str">
        <f t="shared" ref="J70:J93" si="10">IF(G70="RSL","55","0")</f>
        <v>0</v>
      </c>
      <c r="K70" s="120" t="str">
        <f t="shared" si="9"/>
        <v>0</v>
      </c>
      <c r="L70" s="121"/>
      <c r="M70" s="121"/>
      <c r="N70" s="60"/>
      <c r="O70" s="318"/>
      <c r="P70" s="319"/>
      <c r="Q70" s="320"/>
      <c r="R70" s="69"/>
      <c r="S70" s="62"/>
      <c r="T70" s="16"/>
      <c r="U70" s="63"/>
    </row>
    <row r="71" spans="1:21" x14ac:dyDescent="0.3">
      <c r="A71" s="118">
        <f t="shared" ref="A71:A93" si="11">A70+1</f>
        <v>53</v>
      </c>
      <c r="B71" s="204"/>
      <c r="C71" s="26"/>
      <c r="D71" s="173"/>
      <c r="E71" s="171"/>
      <c r="F71" s="161"/>
      <c r="G71" s="109"/>
      <c r="H71" s="82"/>
      <c r="I71" s="115"/>
      <c r="J71" s="120" t="str">
        <f t="shared" si="10"/>
        <v>0</v>
      </c>
      <c r="K71" s="120" t="str">
        <f t="shared" si="9"/>
        <v>0</v>
      </c>
      <c r="L71" s="121"/>
      <c r="M71" s="121"/>
      <c r="N71" s="60"/>
      <c r="O71" s="291"/>
      <c r="P71" s="290"/>
      <c r="Q71" s="292"/>
      <c r="R71" s="70"/>
      <c r="S71" s="13"/>
      <c r="T71" s="12"/>
      <c r="U71" s="63"/>
    </row>
    <row r="72" spans="1:21" x14ac:dyDescent="0.3">
      <c r="A72" s="118">
        <f t="shared" si="11"/>
        <v>54</v>
      </c>
      <c r="B72" s="204"/>
      <c r="C72" s="54"/>
      <c r="D72" s="174"/>
      <c r="E72" s="171"/>
      <c r="F72" s="162"/>
      <c r="G72" s="110"/>
      <c r="H72" s="82"/>
      <c r="I72" s="82"/>
      <c r="J72" s="120" t="str">
        <f t="shared" si="10"/>
        <v>0</v>
      </c>
      <c r="K72" s="120" t="str">
        <f t="shared" si="9"/>
        <v>0</v>
      </c>
      <c r="L72" s="121"/>
      <c r="M72" s="121"/>
      <c r="N72" s="60"/>
      <c r="O72" s="321"/>
      <c r="P72" s="322"/>
      <c r="Q72" s="323"/>
      <c r="R72" s="69"/>
      <c r="S72" s="62"/>
      <c r="T72" s="62"/>
      <c r="U72" s="63"/>
    </row>
    <row r="73" spans="1:21" x14ac:dyDescent="0.3">
      <c r="A73" s="118">
        <f t="shared" si="11"/>
        <v>55</v>
      </c>
      <c r="B73" s="204"/>
      <c r="C73" s="54"/>
      <c r="D73" s="174"/>
      <c r="E73" s="171"/>
      <c r="F73" s="162"/>
      <c r="G73" s="110"/>
      <c r="H73" s="82"/>
      <c r="I73" s="82"/>
      <c r="J73" s="120" t="str">
        <f t="shared" si="10"/>
        <v>0</v>
      </c>
      <c r="K73" s="120" t="str">
        <f t="shared" si="9"/>
        <v>0</v>
      </c>
      <c r="L73" s="121"/>
      <c r="M73" s="121"/>
      <c r="N73" s="60"/>
      <c r="O73" s="321"/>
      <c r="P73" s="322"/>
      <c r="Q73" s="323"/>
      <c r="R73" s="71"/>
      <c r="S73" s="64"/>
      <c r="T73" s="64"/>
      <c r="U73" s="65"/>
    </row>
    <row r="74" spans="1:21" x14ac:dyDescent="0.3">
      <c r="A74" s="118">
        <f t="shared" si="11"/>
        <v>56</v>
      </c>
      <c r="B74" s="204"/>
      <c r="C74" s="27"/>
      <c r="D74" s="175"/>
      <c r="E74" s="171"/>
      <c r="F74" s="163"/>
      <c r="G74" s="111"/>
      <c r="H74" s="114"/>
      <c r="I74" s="116"/>
      <c r="J74" s="120" t="str">
        <f t="shared" si="10"/>
        <v>0</v>
      </c>
      <c r="K74" s="120" t="str">
        <f t="shared" si="9"/>
        <v>0</v>
      </c>
      <c r="L74" s="121"/>
      <c r="M74" s="121"/>
      <c r="N74" s="60"/>
      <c r="O74" s="313"/>
      <c r="P74" s="314"/>
      <c r="Q74" s="315"/>
      <c r="R74" s="71"/>
      <c r="S74" s="64"/>
      <c r="T74" s="64"/>
      <c r="U74" s="65"/>
    </row>
    <row r="75" spans="1:21" x14ac:dyDescent="0.3">
      <c r="A75" s="118">
        <f t="shared" si="11"/>
        <v>57</v>
      </c>
      <c r="B75" s="204"/>
      <c r="C75" s="17"/>
      <c r="D75" s="181"/>
      <c r="E75" s="171"/>
      <c r="F75" s="57"/>
      <c r="G75" s="112"/>
      <c r="H75" s="114"/>
      <c r="I75" s="115"/>
      <c r="J75" s="120" t="str">
        <f t="shared" si="10"/>
        <v>0</v>
      </c>
      <c r="K75" s="120" t="str">
        <f t="shared" si="9"/>
        <v>0</v>
      </c>
      <c r="L75" s="121"/>
      <c r="M75" s="121"/>
      <c r="N75" s="60"/>
      <c r="O75" s="291"/>
      <c r="P75" s="290"/>
      <c r="Q75" s="292"/>
      <c r="R75" s="69"/>
      <c r="S75" s="62"/>
      <c r="T75" s="62"/>
      <c r="U75" s="63"/>
    </row>
    <row r="76" spans="1:21" x14ac:dyDescent="0.3">
      <c r="A76" s="118">
        <f t="shared" si="11"/>
        <v>58</v>
      </c>
      <c r="B76" s="204"/>
      <c r="C76" s="55"/>
      <c r="D76" s="176"/>
      <c r="E76" s="171"/>
      <c r="F76" s="163"/>
      <c r="G76" s="110"/>
      <c r="H76" s="114"/>
      <c r="I76" s="116"/>
      <c r="J76" s="120" t="str">
        <f t="shared" si="10"/>
        <v>0</v>
      </c>
      <c r="K76" s="120" t="str">
        <f t="shared" si="9"/>
        <v>0</v>
      </c>
      <c r="L76" s="121"/>
      <c r="M76" s="121"/>
      <c r="N76" s="60"/>
      <c r="O76" s="291"/>
      <c r="P76" s="290"/>
      <c r="Q76" s="292"/>
      <c r="R76" s="5"/>
      <c r="S76" s="62"/>
      <c r="T76" s="62"/>
      <c r="U76" s="63"/>
    </row>
    <row r="77" spans="1:21" x14ac:dyDescent="0.3">
      <c r="A77" s="118">
        <f t="shared" si="11"/>
        <v>59</v>
      </c>
      <c r="B77" s="204"/>
      <c r="C77" s="55"/>
      <c r="D77" s="176"/>
      <c r="E77" s="171"/>
      <c r="F77" s="163"/>
      <c r="G77" s="110"/>
      <c r="H77" s="114"/>
      <c r="I77" s="116"/>
      <c r="J77" s="120" t="str">
        <f t="shared" si="10"/>
        <v>0</v>
      </c>
      <c r="K77" s="120" t="str">
        <f t="shared" si="9"/>
        <v>0</v>
      </c>
      <c r="L77" s="121"/>
      <c r="M77" s="121"/>
      <c r="N77" s="60"/>
      <c r="O77" s="291"/>
      <c r="P77" s="290"/>
      <c r="Q77" s="292"/>
      <c r="R77" s="5"/>
      <c r="S77" s="62"/>
      <c r="T77" s="62"/>
      <c r="U77" s="63"/>
    </row>
    <row r="78" spans="1:21" x14ac:dyDescent="0.3">
      <c r="A78" s="118">
        <f t="shared" si="11"/>
        <v>60</v>
      </c>
      <c r="B78" s="204"/>
      <c r="C78" s="56"/>
      <c r="D78" s="177"/>
      <c r="E78" s="171"/>
      <c r="F78" s="160"/>
      <c r="G78" s="113"/>
      <c r="H78" s="114"/>
      <c r="I78" s="115"/>
      <c r="J78" s="120" t="str">
        <f t="shared" si="10"/>
        <v>0</v>
      </c>
      <c r="K78" s="120" t="str">
        <f t="shared" si="9"/>
        <v>0</v>
      </c>
      <c r="L78" s="121"/>
      <c r="M78" s="121"/>
      <c r="N78" s="60"/>
      <c r="O78" s="291"/>
      <c r="P78" s="290"/>
      <c r="Q78" s="292"/>
      <c r="R78" s="5"/>
      <c r="S78" s="62"/>
      <c r="T78" s="62"/>
      <c r="U78" s="63"/>
    </row>
    <row r="79" spans="1:21" x14ac:dyDescent="0.3">
      <c r="A79" s="118">
        <f t="shared" si="11"/>
        <v>61</v>
      </c>
      <c r="B79" s="204"/>
      <c r="C79" s="17"/>
      <c r="D79" s="181"/>
      <c r="E79" s="171"/>
      <c r="F79" s="57"/>
      <c r="G79" s="112"/>
      <c r="H79" s="114"/>
      <c r="I79" s="115"/>
      <c r="J79" s="120" t="str">
        <f t="shared" si="10"/>
        <v>0</v>
      </c>
      <c r="K79" s="120" t="str">
        <f t="shared" si="9"/>
        <v>0</v>
      </c>
      <c r="L79" s="121"/>
      <c r="M79" s="121"/>
      <c r="N79" s="60"/>
      <c r="O79" s="291"/>
      <c r="P79" s="290"/>
      <c r="Q79" s="292"/>
      <c r="R79" s="5"/>
      <c r="S79" s="62"/>
      <c r="T79" s="62"/>
      <c r="U79" s="63"/>
    </row>
    <row r="80" spans="1:21" x14ac:dyDescent="0.3">
      <c r="A80" s="118">
        <f t="shared" si="11"/>
        <v>62</v>
      </c>
      <c r="B80" s="204"/>
      <c r="C80" s="56"/>
      <c r="D80" s="177"/>
      <c r="E80" s="171"/>
      <c r="F80" s="160"/>
      <c r="G80" s="113"/>
      <c r="H80" s="114"/>
      <c r="I80" s="115"/>
      <c r="J80" s="120" t="str">
        <f t="shared" si="10"/>
        <v>0</v>
      </c>
      <c r="K80" s="120" t="str">
        <f t="shared" si="9"/>
        <v>0</v>
      </c>
      <c r="L80" s="121"/>
      <c r="M80" s="121"/>
      <c r="N80" s="60"/>
      <c r="O80" s="291"/>
      <c r="P80" s="290"/>
      <c r="Q80" s="292"/>
      <c r="R80" s="5"/>
      <c r="S80" s="62"/>
      <c r="T80" s="62"/>
      <c r="U80" s="63"/>
    </row>
    <row r="81" spans="1:21" x14ac:dyDescent="0.3">
      <c r="A81" s="118">
        <f t="shared" si="11"/>
        <v>63</v>
      </c>
      <c r="B81" s="204"/>
      <c r="C81" s="17"/>
      <c r="D81" s="181"/>
      <c r="E81" s="171"/>
      <c r="F81" s="57"/>
      <c r="G81" s="112"/>
      <c r="H81" s="114"/>
      <c r="I81" s="115"/>
      <c r="J81" s="120" t="str">
        <f t="shared" si="10"/>
        <v>0</v>
      </c>
      <c r="K81" s="120" t="str">
        <f t="shared" si="9"/>
        <v>0</v>
      </c>
      <c r="L81" s="121"/>
      <c r="M81" s="121"/>
      <c r="N81" s="60"/>
      <c r="O81" s="291"/>
      <c r="P81" s="290"/>
      <c r="Q81" s="292"/>
      <c r="R81" s="5"/>
      <c r="S81" s="62"/>
      <c r="T81" s="66"/>
      <c r="U81" s="63"/>
    </row>
    <row r="82" spans="1:21" x14ac:dyDescent="0.3">
      <c r="A82" s="118">
        <f t="shared" si="11"/>
        <v>64</v>
      </c>
      <c r="B82" s="204"/>
      <c r="C82" s="17"/>
      <c r="D82" s="181"/>
      <c r="E82" s="171"/>
      <c r="F82" s="57"/>
      <c r="G82" s="19"/>
      <c r="H82" s="114"/>
      <c r="I82" s="115"/>
      <c r="J82" s="120" t="str">
        <f t="shared" si="10"/>
        <v>0</v>
      </c>
      <c r="K82" s="120" t="str">
        <f t="shared" si="9"/>
        <v>0</v>
      </c>
      <c r="L82" s="121"/>
      <c r="M82" s="121"/>
      <c r="N82" s="60"/>
      <c r="O82" s="291"/>
      <c r="P82" s="290"/>
      <c r="Q82" s="292"/>
      <c r="R82" s="5"/>
      <c r="S82" s="62"/>
      <c r="T82" s="66"/>
      <c r="U82" s="63"/>
    </row>
    <row r="83" spans="1:21" x14ac:dyDescent="0.3">
      <c r="A83" s="118">
        <f t="shared" si="11"/>
        <v>65</v>
      </c>
      <c r="B83" s="204"/>
      <c r="C83" s="17"/>
      <c r="D83" s="181"/>
      <c r="E83" s="171"/>
      <c r="F83" s="57"/>
      <c r="G83" s="112"/>
      <c r="H83" s="114"/>
      <c r="I83" s="115"/>
      <c r="J83" s="120" t="str">
        <f t="shared" si="10"/>
        <v>0</v>
      </c>
      <c r="K83" s="120" t="str">
        <f t="shared" si="9"/>
        <v>0</v>
      </c>
      <c r="L83" s="121"/>
      <c r="M83" s="121"/>
      <c r="N83" s="60"/>
      <c r="O83" s="291"/>
      <c r="P83" s="290"/>
      <c r="Q83" s="290"/>
      <c r="R83" s="5"/>
      <c r="S83" s="62"/>
      <c r="T83" s="66"/>
      <c r="U83" s="63"/>
    </row>
    <row r="84" spans="1:21" x14ac:dyDescent="0.3">
      <c r="A84" s="118">
        <f t="shared" si="11"/>
        <v>66</v>
      </c>
      <c r="B84" s="204"/>
      <c r="C84" s="57"/>
      <c r="D84" s="182"/>
      <c r="E84" s="171"/>
      <c r="F84" s="57"/>
      <c r="G84" s="112"/>
      <c r="H84" s="114"/>
      <c r="I84" s="115"/>
      <c r="J84" s="120" t="str">
        <f t="shared" si="10"/>
        <v>0</v>
      </c>
      <c r="K84" s="120" t="str">
        <f t="shared" si="9"/>
        <v>0</v>
      </c>
      <c r="L84" s="121"/>
      <c r="M84" s="121"/>
      <c r="N84" s="60"/>
      <c r="O84" s="291"/>
      <c r="P84" s="290"/>
      <c r="Q84" s="290"/>
      <c r="R84" s="72"/>
      <c r="S84" s="59"/>
      <c r="T84" s="67"/>
      <c r="U84" s="68"/>
    </row>
    <row r="85" spans="1:21" x14ac:dyDescent="0.3">
      <c r="A85" s="118">
        <f t="shared" si="11"/>
        <v>67</v>
      </c>
      <c r="B85" s="204"/>
      <c r="C85" s="21"/>
      <c r="D85" s="178"/>
      <c r="E85" s="171"/>
      <c r="F85" s="165"/>
      <c r="G85" s="204"/>
      <c r="H85" s="80"/>
      <c r="I85" s="131"/>
      <c r="J85" s="120" t="str">
        <f t="shared" si="10"/>
        <v>0</v>
      </c>
      <c r="K85" s="120" t="str">
        <f t="shared" si="9"/>
        <v>0</v>
      </c>
      <c r="L85" s="60"/>
      <c r="M85" s="60"/>
      <c r="N85" s="60"/>
      <c r="O85" s="312"/>
      <c r="P85" s="291"/>
      <c r="Q85" s="291"/>
      <c r="R85" s="72"/>
      <c r="S85" s="59"/>
      <c r="T85" s="67"/>
      <c r="U85" s="68"/>
    </row>
    <row r="86" spans="1:21" x14ac:dyDescent="0.3">
      <c r="A86" s="118">
        <f t="shared" si="11"/>
        <v>68</v>
      </c>
      <c r="B86" s="204"/>
      <c r="C86" s="21"/>
      <c r="D86" s="178"/>
      <c r="E86" s="171"/>
      <c r="F86" s="165"/>
      <c r="G86" s="204"/>
      <c r="H86" s="80"/>
      <c r="I86" s="131"/>
      <c r="J86" s="120" t="str">
        <f t="shared" si="10"/>
        <v>0</v>
      </c>
      <c r="K86" s="120" t="str">
        <f t="shared" si="9"/>
        <v>0</v>
      </c>
      <c r="L86" s="60"/>
      <c r="M86" s="60"/>
      <c r="N86" s="60"/>
      <c r="O86" s="312"/>
      <c r="P86" s="291"/>
      <c r="Q86" s="291"/>
      <c r="R86" s="72"/>
      <c r="S86" s="59"/>
      <c r="T86" s="67"/>
      <c r="U86" s="68"/>
    </row>
    <row r="87" spans="1:21" x14ac:dyDescent="0.3">
      <c r="A87" s="118">
        <f t="shared" si="11"/>
        <v>69</v>
      </c>
      <c r="B87" s="204"/>
      <c r="C87" s="21"/>
      <c r="D87" s="178"/>
      <c r="E87" s="171"/>
      <c r="F87" s="165"/>
      <c r="G87" s="204"/>
      <c r="H87" s="80"/>
      <c r="I87" s="131"/>
      <c r="J87" s="120" t="str">
        <f t="shared" si="10"/>
        <v>0</v>
      </c>
      <c r="K87" s="120" t="str">
        <f t="shared" si="9"/>
        <v>0</v>
      </c>
      <c r="L87" s="60"/>
      <c r="M87" s="60"/>
      <c r="N87" s="60"/>
      <c r="O87" s="312"/>
      <c r="P87" s="291"/>
      <c r="Q87" s="291"/>
      <c r="R87" s="72"/>
      <c r="S87" s="59"/>
      <c r="T87" s="67"/>
      <c r="U87" s="68"/>
    </row>
    <row r="88" spans="1:21" x14ac:dyDescent="0.3">
      <c r="A88" s="118">
        <f t="shared" si="11"/>
        <v>70</v>
      </c>
      <c r="B88" s="204"/>
      <c r="C88" s="122"/>
      <c r="D88" s="179"/>
      <c r="E88" s="171"/>
      <c r="F88" s="165"/>
      <c r="G88" s="204"/>
      <c r="H88" s="81"/>
      <c r="I88" s="81"/>
      <c r="J88" s="120" t="str">
        <f t="shared" si="10"/>
        <v>0</v>
      </c>
      <c r="K88" s="120" t="str">
        <f t="shared" si="9"/>
        <v>0</v>
      </c>
      <c r="L88" s="60"/>
      <c r="M88" s="60"/>
      <c r="N88" s="60"/>
      <c r="O88" s="290"/>
      <c r="P88" s="290"/>
      <c r="Q88" s="290"/>
      <c r="R88" s="72"/>
      <c r="S88" s="59"/>
      <c r="T88" s="67"/>
      <c r="U88" s="68"/>
    </row>
    <row r="89" spans="1:21" x14ac:dyDescent="0.3">
      <c r="A89" s="118">
        <f t="shared" si="11"/>
        <v>71</v>
      </c>
      <c r="B89" s="204"/>
      <c r="C89" s="26"/>
      <c r="D89" s="173"/>
      <c r="E89" s="171"/>
      <c r="F89" s="167"/>
      <c r="G89" s="19"/>
      <c r="H89" s="80"/>
      <c r="I89" s="131"/>
      <c r="J89" s="120" t="str">
        <f t="shared" si="10"/>
        <v>0</v>
      </c>
      <c r="K89" s="120" t="str">
        <f t="shared" si="9"/>
        <v>0</v>
      </c>
      <c r="L89" s="60"/>
      <c r="M89" s="60"/>
      <c r="N89" s="60"/>
      <c r="O89" s="291"/>
      <c r="P89" s="290"/>
      <c r="Q89" s="290"/>
      <c r="R89" s="72"/>
      <c r="S89" s="59"/>
      <c r="T89" s="59"/>
      <c r="U89" s="68"/>
    </row>
    <row r="90" spans="1:21" x14ac:dyDescent="0.3">
      <c r="A90" s="118">
        <f t="shared" si="11"/>
        <v>72</v>
      </c>
      <c r="B90" s="204"/>
      <c r="C90" s="26"/>
      <c r="D90" s="173"/>
      <c r="E90" s="171"/>
      <c r="F90" s="167"/>
      <c r="G90" s="19"/>
      <c r="H90" s="80"/>
      <c r="I90" s="131"/>
      <c r="J90" s="120" t="str">
        <f t="shared" si="10"/>
        <v>0</v>
      </c>
      <c r="K90" s="120" t="str">
        <f t="shared" si="9"/>
        <v>0</v>
      </c>
      <c r="L90" s="60"/>
      <c r="M90" s="60"/>
      <c r="N90" s="60"/>
      <c r="O90" s="290"/>
      <c r="P90" s="290"/>
      <c r="Q90" s="290"/>
      <c r="R90" s="72"/>
      <c r="S90" s="59"/>
      <c r="T90" s="59"/>
      <c r="U90" s="68"/>
    </row>
    <row r="91" spans="1:21" x14ac:dyDescent="0.3">
      <c r="A91" s="118">
        <f t="shared" si="11"/>
        <v>73</v>
      </c>
      <c r="B91" s="204"/>
      <c r="C91" s="26"/>
      <c r="D91" s="173"/>
      <c r="E91" s="171"/>
      <c r="F91" s="167"/>
      <c r="G91" s="19"/>
      <c r="H91" s="80"/>
      <c r="I91" s="131"/>
      <c r="J91" s="120" t="str">
        <f t="shared" si="10"/>
        <v>0</v>
      </c>
      <c r="K91" s="120" t="str">
        <f t="shared" si="9"/>
        <v>0</v>
      </c>
      <c r="L91" s="60"/>
      <c r="M91" s="60"/>
      <c r="N91" s="60"/>
      <c r="O91" s="290"/>
      <c r="P91" s="290"/>
      <c r="Q91" s="290"/>
      <c r="R91" s="72"/>
      <c r="S91" s="59"/>
      <c r="T91" s="59"/>
      <c r="U91" s="68"/>
    </row>
    <row r="92" spans="1:21" x14ac:dyDescent="0.3">
      <c r="A92" s="118">
        <f t="shared" si="11"/>
        <v>74</v>
      </c>
      <c r="B92" s="204"/>
      <c r="C92" s="33"/>
      <c r="D92" s="180"/>
      <c r="E92" s="171"/>
      <c r="F92" s="167"/>
      <c r="G92" s="19"/>
      <c r="H92" s="80"/>
      <c r="I92" s="80"/>
      <c r="J92" s="120" t="str">
        <f t="shared" si="10"/>
        <v>0</v>
      </c>
      <c r="K92" s="120" t="str">
        <f t="shared" si="9"/>
        <v>0</v>
      </c>
      <c r="L92" s="60"/>
      <c r="M92" s="60"/>
      <c r="N92" s="60"/>
      <c r="O92" s="291"/>
      <c r="P92" s="290"/>
      <c r="Q92" s="292"/>
      <c r="R92" s="72"/>
      <c r="S92" s="59"/>
      <c r="T92" s="59"/>
      <c r="U92" s="68"/>
    </row>
    <row r="93" spans="1:21" ht="17.25" thickBot="1" x14ac:dyDescent="0.35">
      <c r="A93" s="118">
        <f t="shared" si="11"/>
        <v>75</v>
      </c>
      <c r="B93" s="204"/>
      <c r="C93" s="29"/>
      <c r="D93" s="189"/>
      <c r="E93" s="172"/>
      <c r="F93" s="168"/>
      <c r="G93" s="204"/>
      <c r="H93" s="138"/>
      <c r="I93" s="138"/>
      <c r="J93" s="120" t="str">
        <f t="shared" si="10"/>
        <v>0</v>
      </c>
      <c r="K93" s="120" t="str">
        <f t="shared" si="9"/>
        <v>0</v>
      </c>
      <c r="L93" s="139"/>
      <c r="M93" s="139"/>
      <c r="N93" s="139"/>
      <c r="O93" s="293"/>
      <c r="P93" s="294"/>
      <c r="Q93" s="295"/>
      <c r="R93" s="72"/>
      <c r="S93" s="59"/>
      <c r="T93" s="59"/>
      <c r="U93" s="68"/>
    </row>
    <row r="94" spans="1:21" x14ac:dyDescent="0.3">
      <c r="A94" s="296" t="s">
        <v>48</v>
      </c>
      <c r="B94" s="297"/>
      <c r="C94" s="297"/>
      <c r="D94" s="297"/>
      <c r="E94" s="298"/>
      <c r="F94" s="297"/>
      <c r="G94" s="297"/>
      <c r="H94" s="297">
        <f t="shared" ref="H94:M94" si="12">SUM(H69:H93)</f>
        <v>0</v>
      </c>
      <c r="I94" s="303">
        <f t="shared" si="12"/>
        <v>0</v>
      </c>
      <c r="J94" s="303">
        <f>J93+J92+J91+J90+J89+J88+J87+J86+J85+J84+J83+J82+J81+J80+J79+J78+J77+J76+J75+J74+J73+J72+J71+J70+J69</f>
        <v>0</v>
      </c>
      <c r="K94" s="303">
        <f>K93+K92+K91+K90+K89+K88+K87+K86+K85+K84+K83+K82+K81+K80+K79+K78+K77+K76+K75+K74+K73+K72+K71+K70+K69</f>
        <v>0</v>
      </c>
      <c r="L94" s="306">
        <f t="shared" si="12"/>
        <v>0</v>
      </c>
      <c r="M94" s="309">
        <f t="shared" si="12"/>
        <v>0</v>
      </c>
      <c r="N94" s="278"/>
      <c r="O94" s="279"/>
      <c r="P94" s="279"/>
      <c r="Q94" s="280"/>
      <c r="R94" s="5"/>
      <c r="S94" s="6"/>
      <c r="T94" s="7"/>
      <c r="U94" s="8"/>
    </row>
    <row r="95" spans="1:21" ht="17.25" thickBot="1" x14ac:dyDescent="0.35">
      <c r="A95" s="299"/>
      <c r="B95" s="300"/>
      <c r="C95" s="300"/>
      <c r="D95" s="300"/>
      <c r="E95" s="300"/>
      <c r="F95" s="300"/>
      <c r="G95" s="300"/>
      <c r="H95" s="300"/>
      <c r="I95" s="304"/>
      <c r="J95" s="304"/>
      <c r="K95" s="304"/>
      <c r="L95" s="307"/>
      <c r="M95" s="310"/>
      <c r="N95" s="281"/>
      <c r="O95" s="282"/>
      <c r="P95" s="282"/>
      <c r="Q95" s="283"/>
      <c r="R95" s="1"/>
      <c r="S95" s="2"/>
      <c r="T95" s="3"/>
      <c r="U95" s="4"/>
    </row>
    <row r="96" spans="1:21" ht="17.25" thickBot="1" x14ac:dyDescent="0.35">
      <c r="A96" s="301"/>
      <c r="B96" s="302"/>
      <c r="C96" s="302"/>
      <c r="D96" s="302"/>
      <c r="E96" s="302"/>
      <c r="F96" s="302"/>
      <c r="G96" s="302"/>
      <c r="H96" s="302"/>
      <c r="I96" s="305"/>
      <c r="J96" s="305"/>
      <c r="K96" s="305"/>
      <c r="L96" s="308"/>
      <c r="M96" s="311"/>
      <c r="N96" s="284"/>
      <c r="O96" s="285"/>
      <c r="P96" s="285"/>
      <c r="Q96" s="286"/>
      <c r="R96" s="287" t="s">
        <v>52</v>
      </c>
      <c r="S96" s="288"/>
      <c r="T96" s="288"/>
      <c r="U96" s="289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3" workbookViewId="0">
      <selection activeCell="AQ20" sqref="AQ20"/>
    </sheetView>
  </sheetViews>
  <sheetFormatPr defaultColWidth="9" defaultRowHeight="16.5" x14ac:dyDescent="0.3"/>
  <cols>
    <col min="1" max="477" width="2.625" style="14" customWidth="1"/>
    <col min="478" max="16384" width="9" style="14"/>
  </cols>
  <sheetData>
    <row r="1" spans="1:30" ht="32.25" customHeight="1" x14ac:dyDescent="0.3">
      <c r="A1" s="600"/>
      <c r="B1" s="600"/>
      <c r="C1" s="600"/>
      <c r="D1" s="600"/>
      <c r="E1" s="599" t="s">
        <v>59</v>
      </c>
      <c r="F1" s="599"/>
      <c r="G1" s="599"/>
      <c r="H1" s="599" t="s">
        <v>60</v>
      </c>
      <c r="I1" s="599"/>
      <c r="J1" s="599"/>
      <c r="K1" s="599"/>
      <c r="L1" s="599" t="s">
        <v>61</v>
      </c>
      <c r="M1" s="599"/>
      <c r="N1" s="599"/>
      <c r="O1" s="599"/>
      <c r="P1" s="599"/>
      <c r="Q1" s="599" t="s">
        <v>62</v>
      </c>
      <c r="R1" s="599"/>
      <c r="S1" s="599"/>
      <c r="T1" s="599"/>
      <c r="U1" s="599"/>
      <c r="V1" s="599" t="s">
        <v>63</v>
      </c>
      <c r="W1" s="599"/>
      <c r="X1" s="599"/>
      <c r="Y1" s="599"/>
      <c r="Z1" s="599"/>
      <c r="AA1" s="599" t="s">
        <v>64</v>
      </c>
      <c r="AB1" s="599"/>
      <c r="AC1" s="599"/>
      <c r="AD1" s="599"/>
    </row>
    <row r="2" spans="1:30" ht="20.100000000000001" customHeight="1" x14ac:dyDescent="0.3">
      <c r="A2" s="680" t="s">
        <v>66</v>
      </c>
      <c r="B2" s="491" t="s">
        <v>57</v>
      </c>
      <c r="C2" s="491"/>
      <c r="D2" s="515"/>
      <c r="E2" s="515">
        <f>MON!N31</f>
        <v>5</v>
      </c>
      <c r="F2" s="515"/>
      <c r="G2" s="515"/>
      <c r="H2" s="484">
        <f>MON!S31</f>
        <v>390</v>
      </c>
      <c r="I2" s="484"/>
      <c r="J2" s="484"/>
      <c r="K2" s="484"/>
      <c r="L2" s="485">
        <f>MON!N32</f>
        <v>0.30450907671286354</v>
      </c>
      <c r="M2" s="485"/>
      <c r="N2" s="485"/>
      <c r="O2" s="485"/>
      <c r="P2" s="485"/>
      <c r="Q2" s="545">
        <f>SUM(E2:G5)</f>
        <v>13</v>
      </c>
      <c r="R2" s="546"/>
      <c r="S2" s="546"/>
      <c r="T2" s="546"/>
      <c r="U2" s="547"/>
      <c r="V2" s="610">
        <f>SUM(H2,H3,H5)</f>
        <v>1280.75</v>
      </c>
      <c r="W2" s="611"/>
      <c r="X2" s="611"/>
      <c r="Y2" s="611"/>
      <c r="Z2" s="612"/>
      <c r="AA2" s="619">
        <f>V2/Q2</f>
        <v>98.519230769230774</v>
      </c>
      <c r="AB2" s="620"/>
      <c r="AC2" s="620"/>
      <c r="AD2" s="621"/>
    </row>
    <row r="3" spans="1:30" ht="20.100000000000001" customHeight="1" x14ac:dyDescent="0.3">
      <c r="A3" s="681"/>
      <c r="B3" s="491" t="s">
        <v>58</v>
      </c>
      <c r="C3" s="491"/>
      <c r="D3" s="515"/>
      <c r="E3" s="515">
        <f>MON!O31</f>
        <v>5</v>
      </c>
      <c r="F3" s="515"/>
      <c r="G3" s="515"/>
      <c r="H3" s="484">
        <f>MON!S32</f>
        <v>670.75</v>
      </c>
      <c r="I3" s="484"/>
      <c r="J3" s="484"/>
      <c r="K3" s="484"/>
      <c r="L3" s="485">
        <f>MON!O32</f>
        <v>0.52371657232090574</v>
      </c>
      <c r="M3" s="485"/>
      <c r="N3" s="485"/>
      <c r="O3" s="485"/>
      <c r="P3" s="485"/>
      <c r="Q3" s="548"/>
      <c r="R3" s="549"/>
      <c r="S3" s="549"/>
      <c r="T3" s="549"/>
      <c r="U3" s="550"/>
      <c r="V3" s="613"/>
      <c r="W3" s="614"/>
      <c r="X3" s="614"/>
      <c r="Y3" s="614"/>
      <c r="Z3" s="615"/>
      <c r="AA3" s="622"/>
      <c r="AB3" s="623"/>
      <c r="AC3" s="623"/>
      <c r="AD3" s="624"/>
    </row>
    <row r="4" spans="1:30" ht="20.100000000000001" customHeight="1" x14ac:dyDescent="0.3">
      <c r="A4" s="681"/>
      <c r="B4" s="491" t="s">
        <v>45</v>
      </c>
      <c r="C4" s="491"/>
      <c r="D4" s="515"/>
      <c r="E4" s="515">
        <f>MON!P31</f>
        <v>0</v>
      </c>
      <c r="F4" s="515"/>
      <c r="G4" s="515"/>
      <c r="H4" s="484">
        <f>MON!K31</f>
        <v>0</v>
      </c>
      <c r="I4" s="484"/>
      <c r="J4" s="484"/>
      <c r="K4" s="484"/>
      <c r="L4" s="485">
        <f>MON!P32</f>
        <v>0</v>
      </c>
      <c r="M4" s="485"/>
      <c r="N4" s="485"/>
      <c r="O4" s="485"/>
      <c r="P4" s="485"/>
      <c r="Q4" s="548"/>
      <c r="R4" s="549"/>
      <c r="S4" s="549"/>
      <c r="T4" s="549"/>
      <c r="U4" s="550"/>
      <c r="V4" s="613"/>
      <c r="W4" s="614"/>
      <c r="X4" s="614"/>
      <c r="Y4" s="614"/>
      <c r="Z4" s="615"/>
      <c r="AA4" s="622"/>
      <c r="AB4" s="623"/>
      <c r="AC4" s="623"/>
      <c r="AD4" s="624"/>
    </row>
    <row r="5" spans="1:30" ht="20.100000000000001" customHeight="1" x14ac:dyDescent="0.3">
      <c r="A5" s="681"/>
      <c r="B5" s="489" t="s">
        <v>65</v>
      </c>
      <c r="C5" s="490"/>
      <c r="D5" s="491"/>
      <c r="E5" s="489">
        <f>MON!Q31</f>
        <v>3</v>
      </c>
      <c r="F5" s="490"/>
      <c r="G5" s="491"/>
      <c r="H5" s="537">
        <f>MON!J31</f>
        <v>220</v>
      </c>
      <c r="I5" s="538"/>
      <c r="J5" s="538"/>
      <c r="K5" s="539"/>
      <c r="L5" s="540">
        <f>MON!Q32</f>
        <v>0.17177435096623073</v>
      </c>
      <c r="M5" s="541"/>
      <c r="N5" s="541"/>
      <c r="O5" s="541"/>
      <c r="P5" s="542"/>
      <c r="Q5" s="551"/>
      <c r="R5" s="552"/>
      <c r="S5" s="552"/>
      <c r="T5" s="552"/>
      <c r="U5" s="553"/>
      <c r="V5" s="616"/>
      <c r="W5" s="617"/>
      <c r="X5" s="617"/>
      <c r="Y5" s="617"/>
      <c r="Z5" s="618"/>
      <c r="AA5" s="625"/>
      <c r="AB5" s="626"/>
      <c r="AC5" s="626"/>
      <c r="AD5" s="627"/>
    </row>
    <row r="6" spans="1:30" ht="20.100000000000001" customHeight="1" x14ac:dyDescent="0.3">
      <c r="A6" s="682"/>
      <c r="B6" s="489" t="s">
        <v>94</v>
      </c>
      <c r="C6" s="490"/>
      <c r="D6" s="491"/>
      <c r="E6" s="489">
        <f>MON!U16</f>
        <v>17.500000000000004</v>
      </c>
      <c r="F6" s="490"/>
      <c r="G6" s="491"/>
      <c r="H6" s="537" t="s">
        <v>95</v>
      </c>
      <c r="I6" s="538"/>
      <c r="J6" s="538"/>
      <c r="K6" s="539"/>
      <c r="L6" s="593">
        <f>MON!T2</f>
        <v>3</v>
      </c>
      <c r="M6" s="594"/>
      <c r="N6" s="594"/>
      <c r="O6" s="594"/>
      <c r="P6" s="595"/>
      <c r="Q6" s="596"/>
      <c r="R6" s="597"/>
      <c r="S6" s="597"/>
      <c r="T6" s="597"/>
      <c r="U6" s="598"/>
      <c r="V6" s="701"/>
      <c r="W6" s="702"/>
      <c r="X6" s="702"/>
      <c r="Y6" s="702"/>
      <c r="Z6" s="703"/>
      <c r="AA6" s="704"/>
      <c r="AB6" s="705"/>
      <c r="AC6" s="705"/>
      <c r="AD6" s="706"/>
    </row>
    <row r="7" spans="1:30" ht="20.100000000000001" customHeight="1" x14ac:dyDescent="0.3">
      <c r="A7" s="683" t="s">
        <v>67</v>
      </c>
      <c r="B7" s="507" t="s">
        <v>57</v>
      </c>
      <c r="C7" s="507"/>
      <c r="D7" s="508"/>
      <c r="E7" s="508">
        <f>TUE!N31</f>
        <v>3</v>
      </c>
      <c r="F7" s="508"/>
      <c r="G7" s="508"/>
      <c r="H7" s="486">
        <f>TUE!S31</f>
        <v>205</v>
      </c>
      <c r="I7" s="486"/>
      <c r="J7" s="486"/>
      <c r="K7" s="486"/>
      <c r="L7" s="499">
        <f>TUE!N32</f>
        <v>0.16275007939028263</v>
      </c>
      <c r="M7" s="500"/>
      <c r="N7" s="500"/>
      <c r="O7" s="500"/>
      <c r="P7" s="501"/>
      <c r="Q7" s="575">
        <f>SUM(E7:G10)</f>
        <v>12</v>
      </c>
      <c r="R7" s="576"/>
      <c r="S7" s="576"/>
      <c r="T7" s="576"/>
      <c r="U7" s="577"/>
      <c r="V7" s="601">
        <f>SUM(H7,H8,H10)</f>
        <v>2129.4499999999998</v>
      </c>
      <c r="W7" s="602"/>
      <c r="X7" s="602"/>
      <c r="Y7" s="602"/>
      <c r="Z7" s="603"/>
      <c r="AA7" s="628">
        <f>V7/Q7</f>
        <v>177.45416666666665</v>
      </c>
      <c r="AB7" s="629"/>
      <c r="AC7" s="629"/>
      <c r="AD7" s="630"/>
    </row>
    <row r="8" spans="1:30" ht="20.100000000000001" customHeight="1" x14ac:dyDescent="0.3">
      <c r="A8" s="684"/>
      <c r="B8" s="507" t="s">
        <v>58</v>
      </c>
      <c r="C8" s="507"/>
      <c r="D8" s="508"/>
      <c r="E8" s="508">
        <f>TUE!O31</f>
        <v>5</v>
      </c>
      <c r="F8" s="508"/>
      <c r="G8" s="508"/>
      <c r="H8" s="486">
        <f>TUE!S32</f>
        <v>1924.45</v>
      </c>
      <c r="I8" s="486"/>
      <c r="J8" s="486"/>
      <c r="K8" s="486"/>
      <c r="L8" s="499">
        <f>TUE!O32</f>
        <v>0.60570816132105443</v>
      </c>
      <c r="M8" s="500"/>
      <c r="N8" s="500"/>
      <c r="O8" s="500"/>
      <c r="P8" s="501"/>
      <c r="Q8" s="578"/>
      <c r="R8" s="579"/>
      <c r="S8" s="579"/>
      <c r="T8" s="579"/>
      <c r="U8" s="580"/>
      <c r="V8" s="604"/>
      <c r="W8" s="605"/>
      <c r="X8" s="605"/>
      <c r="Y8" s="605"/>
      <c r="Z8" s="606"/>
      <c r="AA8" s="631"/>
      <c r="AB8" s="632"/>
      <c r="AC8" s="632"/>
      <c r="AD8" s="633"/>
    </row>
    <row r="9" spans="1:30" ht="20.100000000000001" customHeight="1" x14ac:dyDescent="0.3">
      <c r="A9" s="684"/>
      <c r="B9" s="507" t="s">
        <v>45</v>
      </c>
      <c r="C9" s="507"/>
      <c r="D9" s="508"/>
      <c r="E9" s="508">
        <f>TUE!P31</f>
        <v>4</v>
      </c>
      <c r="F9" s="508"/>
      <c r="G9" s="508"/>
      <c r="H9" s="486">
        <f>TUE!K31</f>
        <v>291.64999999999998</v>
      </c>
      <c r="I9" s="486"/>
      <c r="J9" s="486"/>
      <c r="K9" s="486"/>
      <c r="L9" s="499">
        <f>TUE!P32</f>
        <v>0.23154175928866308</v>
      </c>
      <c r="M9" s="500"/>
      <c r="N9" s="500"/>
      <c r="O9" s="500"/>
      <c r="P9" s="501"/>
      <c r="Q9" s="578"/>
      <c r="R9" s="579"/>
      <c r="S9" s="579"/>
      <c r="T9" s="579"/>
      <c r="U9" s="580"/>
      <c r="V9" s="604"/>
      <c r="W9" s="605"/>
      <c r="X9" s="605"/>
      <c r="Y9" s="605"/>
      <c r="Z9" s="606"/>
      <c r="AA9" s="631"/>
      <c r="AB9" s="632"/>
      <c r="AC9" s="632"/>
      <c r="AD9" s="633"/>
    </row>
    <row r="10" spans="1:30" ht="20.100000000000001" customHeight="1" x14ac:dyDescent="0.3">
      <c r="A10" s="684"/>
      <c r="B10" s="543" t="s">
        <v>65</v>
      </c>
      <c r="C10" s="544"/>
      <c r="D10" s="507"/>
      <c r="E10" s="543">
        <f>TUE!Q31</f>
        <v>0</v>
      </c>
      <c r="F10" s="544"/>
      <c r="G10" s="507"/>
      <c r="H10" s="516">
        <f>TUE!J31</f>
        <v>0</v>
      </c>
      <c r="I10" s="517"/>
      <c r="J10" s="517"/>
      <c r="K10" s="518"/>
      <c r="L10" s="499">
        <f>TUE!Q32</f>
        <v>0</v>
      </c>
      <c r="M10" s="500"/>
      <c r="N10" s="500"/>
      <c r="O10" s="500"/>
      <c r="P10" s="501"/>
      <c r="Q10" s="581"/>
      <c r="R10" s="582"/>
      <c r="S10" s="582"/>
      <c r="T10" s="582"/>
      <c r="U10" s="583"/>
      <c r="V10" s="607"/>
      <c r="W10" s="608"/>
      <c r="X10" s="608"/>
      <c r="Y10" s="608"/>
      <c r="Z10" s="609"/>
      <c r="AA10" s="634"/>
      <c r="AB10" s="635"/>
      <c r="AC10" s="635"/>
      <c r="AD10" s="636"/>
    </row>
    <row r="11" spans="1:30" ht="20.100000000000001" customHeight="1" x14ac:dyDescent="0.3">
      <c r="A11" s="685"/>
      <c r="B11" s="543" t="s">
        <v>94</v>
      </c>
      <c r="C11" s="544"/>
      <c r="D11" s="507"/>
      <c r="E11" s="543">
        <f>TUE!U16</f>
        <v>30.25</v>
      </c>
      <c r="F11" s="544"/>
      <c r="G11" s="507"/>
      <c r="H11" s="516" t="s">
        <v>95</v>
      </c>
      <c r="I11" s="517"/>
      <c r="J11" s="517"/>
      <c r="K11" s="518"/>
      <c r="L11" s="707">
        <f>TUE!T2</f>
        <v>4</v>
      </c>
      <c r="M11" s="708"/>
      <c r="N11" s="708"/>
      <c r="O11" s="708"/>
      <c r="P11" s="709"/>
      <c r="Q11" s="710"/>
      <c r="R11" s="711"/>
      <c r="S11" s="711"/>
      <c r="T11" s="711"/>
      <c r="U11" s="712"/>
      <c r="V11" s="713"/>
      <c r="W11" s="714"/>
      <c r="X11" s="714"/>
      <c r="Y11" s="714"/>
      <c r="Z11" s="715"/>
      <c r="AA11" s="716"/>
      <c r="AB11" s="717"/>
      <c r="AC11" s="717"/>
      <c r="AD11" s="718"/>
    </row>
    <row r="12" spans="1:30" ht="20.100000000000001" customHeight="1" x14ac:dyDescent="0.3">
      <c r="A12" s="686" t="s">
        <v>68</v>
      </c>
      <c r="B12" s="492" t="s">
        <v>57</v>
      </c>
      <c r="C12" s="492"/>
      <c r="D12" s="300"/>
      <c r="E12" s="300">
        <f>WED!N31</f>
        <v>1</v>
      </c>
      <c r="F12" s="300"/>
      <c r="G12" s="300"/>
      <c r="H12" s="493">
        <f>WED!S31</f>
        <v>75</v>
      </c>
      <c r="I12" s="494"/>
      <c r="J12" s="494"/>
      <c r="K12" s="495"/>
      <c r="L12" s="496">
        <f>WED!N32</f>
        <v>6.2843018140684576E-2</v>
      </c>
      <c r="M12" s="497"/>
      <c r="N12" s="497"/>
      <c r="O12" s="497"/>
      <c r="P12" s="498"/>
      <c r="Q12" s="554">
        <f>SUM(E12:G15)</f>
        <v>15</v>
      </c>
      <c r="R12" s="555"/>
      <c r="S12" s="555"/>
      <c r="T12" s="555"/>
      <c r="U12" s="556"/>
      <c r="V12" s="728">
        <f>SUM(H12,H13,H15)</f>
        <v>1289.05</v>
      </c>
      <c r="W12" s="729"/>
      <c r="X12" s="729"/>
      <c r="Y12" s="729"/>
      <c r="Z12" s="730"/>
      <c r="AA12" s="719">
        <f>V12/Q12</f>
        <v>85.936666666666667</v>
      </c>
      <c r="AB12" s="720"/>
      <c r="AC12" s="720"/>
      <c r="AD12" s="721"/>
    </row>
    <row r="13" spans="1:30" ht="20.100000000000001" customHeight="1" x14ac:dyDescent="0.3">
      <c r="A13" s="687"/>
      <c r="B13" s="492" t="s">
        <v>58</v>
      </c>
      <c r="C13" s="492"/>
      <c r="D13" s="300"/>
      <c r="E13" s="300">
        <f>WED!O31</f>
        <v>10</v>
      </c>
      <c r="F13" s="300"/>
      <c r="G13" s="300"/>
      <c r="H13" s="493">
        <f>WED!S32</f>
        <v>1214.05</v>
      </c>
      <c r="I13" s="494"/>
      <c r="J13" s="494"/>
      <c r="K13" s="495"/>
      <c r="L13" s="496">
        <f>WED!O32</f>
        <v>0.61527504294272917</v>
      </c>
      <c r="M13" s="497"/>
      <c r="N13" s="497"/>
      <c r="O13" s="497"/>
      <c r="P13" s="498"/>
      <c r="Q13" s="557"/>
      <c r="R13" s="558"/>
      <c r="S13" s="558"/>
      <c r="T13" s="558"/>
      <c r="U13" s="559"/>
      <c r="V13" s="731"/>
      <c r="W13" s="732"/>
      <c r="X13" s="732"/>
      <c r="Y13" s="732"/>
      <c r="Z13" s="733"/>
      <c r="AA13" s="722"/>
      <c r="AB13" s="723"/>
      <c r="AC13" s="723"/>
      <c r="AD13" s="724"/>
    </row>
    <row r="14" spans="1:30" ht="20.100000000000001" customHeight="1" x14ac:dyDescent="0.3">
      <c r="A14" s="687"/>
      <c r="B14" s="492" t="s">
        <v>45</v>
      </c>
      <c r="C14" s="492"/>
      <c r="D14" s="300"/>
      <c r="E14" s="300">
        <f>WED!P31</f>
        <v>4</v>
      </c>
      <c r="F14" s="300"/>
      <c r="G14" s="300"/>
      <c r="H14" s="493">
        <f>WED!K31</f>
        <v>384.15</v>
      </c>
      <c r="I14" s="494"/>
      <c r="J14" s="494"/>
      <c r="K14" s="495"/>
      <c r="L14" s="496">
        <f>WED!P32</f>
        <v>0.3218819389165864</v>
      </c>
      <c r="M14" s="497"/>
      <c r="N14" s="497"/>
      <c r="O14" s="497"/>
      <c r="P14" s="498"/>
      <c r="Q14" s="557"/>
      <c r="R14" s="558"/>
      <c r="S14" s="558"/>
      <c r="T14" s="558"/>
      <c r="U14" s="559"/>
      <c r="V14" s="731"/>
      <c r="W14" s="732"/>
      <c r="X14" s="732"/>
      <c r="Y14" s="732"/>
      <c r="Z14" s="733"/>
      <c r="AA14" s="722"/>
      <c r="AB14" s="723"/>
      <c r="AC14" s="723"/>
      <c r="AD14" s="724"/>
    </row>
    <row r="15" spans="1:30" ht="20.100000000000001" customHeight="1" x14ac:dyDescent="0.3">
      <c r="A15" s="687"/>
      <c r="B15" s="509" t="s">
        <v>65</v>
      </c>
      <c r="C15" s="510"/>
      <c r="D15" s="492"/>
      <c r="E15" s="509">
        <f>WED!Q31</f>
        <v>0</v>
      </c>
      <c r="F15" s="510"/>
      <c r="G15" s="492"/>
      <c r="H15" s="493">
        <f>WED!J31</f>
        <v>0</v>
      </c>
      <c r="I15" s="494"/>
      <c r="J15" s="494"/>
      <c r="K15" s="495"/>
      <c r="L15" s="496">
        <f>WED!Q32</f>
        <v>0</v>
      </c>
      <c r="M15" s="497"/>
      <c r="N15" s="497"/>
      <c r="O15" s="497"/>
      <c r="P15" s="498"/>
      <c r="Q15" s="560"/>
      <c r="R15" s="561"/>
      <c r="S15" s="561"/>
      <c r="T15" s="561"/>
      <c r="U15" s="562"/>
      <c r="V15" s="734"/>
      <c r="W15" s="735"/>
      <c r="X15" s="735"/>
      <c r="Y15" s="735"/>
      <c r="Z15" s="736"/>
      <c r="AA15" s="725"/>
      <c r="AB15" s="726"/>
      <c r="AC15" s="726"/>
      <c r="AD15" s="727"/>
    </row>
    <row r="16" spans="1:30" ht="20.100000000000001" customHeight="1" x14ac:dyDescent="0.3">
      <c r="A16" s="688"/>
      <c r="B16" s="509" t="s">
        <v>94</v>
      </c>
      <c r="C16" s="510"/>
      <c r="D16" s="492"/>
      <c r="E16" s="509">
        <f>WED!U16</f>
        <v>31.499999999999996</v>
      </c>
      <c r="F16" s="510"/>
      <c r="G16" s="492"/>
      <c r="H16" s="493" t="s">
        <v>95</v>
      </c>
      <c r="I16" s="494"/>
      <c r="J16" s="494"/>
      <c r="K16" s="495"/>
      <c r="L16" s="512">
        <f>WED!T2</f>
        <v>4</v>
      </c>
      <c r="M16" s="513"/>
      <c r="N16" s="513"/>
      <c r="O16" s="513"/>
      <c r="P16" s="514"/>
      <c r="Q16" s="224"/>
      <c r="R16" s="225"/>
      <c r="S16" s="225"/>
      <c r="T16" s="225"/>
      <c r="U16" s="226"/>
      <c r="V16" s="215"/>
      <c r="W16" s="216"/>
      <c r="X16" s="216"/>
      <c r="Y16" s="216"/>
      <c r="Z16" s="217"/>
      <c r="AA16" s="212"/>
      <c r="AB16" s="213"/>
      <c r="AC16" s="213"/>
      <c r="AD16" s="214"/>
    </row>
    <row r="17" spans="1:30" ht="20.100000000000001" customHeight="1" x14ac:dyDescent="0.3">
      <c r="A17" s="689" t="s">
        <v>69</v>
      </c>
      <c r="B17" s="456" t="s">
        <v>57</v>
      </c>
      <c r="C17" s="456"/>
      <c r="D17" s="503"/>
      <c r="E17" s="503">
        <f>THU!N31</f>
        <v>8</v>
      </c>
      <c r="F17" s="503"/>
      <c r="G17" s="503"/>
      <c r="H17" s="511">
        <f>THU!S31</f>
        <v>670</v>
      </c>
      <c r="I17" s="511"/>
      <c r="J17" s="511"/>
      <c r="K17" s="511"/>
      <c r="L17" s="502">
        <f>THU!N32</f>
        <v>0.397244192527066</v>
      </c>
      <c r="M17" s="502"/>
      <c r="N17" s="502"/>
      <c r="O17" s="502"/>
      <c r="P17" s="502"/>
      <c r="Q17" s="584">
        <f>SUM(E17:G20)</f>
        <v>20</v>
      </c>
      <c r="R17" s="585"/>
      <c r="S17" s="585"/>
      <c r="T17" s="585"/>
      <c r="U17" s="586"/>
      <c r="V17" s="528">
        <f>SUM(H17,H18,H20)</f>
        <v>1782.05</v>
      </c>
      <c r="W17" s="529"/>
      <c r="X17" s="529"/>
      <c r="Y17" s="529"/>
      <c r="Z17" s="530"/>
      <c r="AA17" s="519">
        <f>V17/Q17</f>
        <v>89.102499999999992</v>
      </c>
      <c r="AB17" s="520"/>
      <c r="AC17" s="520"/>
      <c r="AD17" s="521"/>
    </row>
    <row r="18" spans="1:30" ht="20.100000000000001" customHeight="1" x14ac:dyDescent="0.3">
      <c r="A18" s="690"/>
      <c r="B18" s="456" t="s">
        <v>58</v>
      </c>
      <c r="C18" s="456"/>
      <c r="D18" s="503"/>
      <c r="E18" s="503">
        <f>THU!O31</f>
        <v>7</v>
      </c>
      <c r="F18" s="503"/>
      <c r="G18" s="503"/>
      <c r="H18" s="511">
        <f>THU!S32</f>
        <v>1002.05</v>
      </c>
      <c r="I18" s="511"/>
      <c r="J18" s="511"/>
      <c r="K18" s="511"/>
      <c r="L18" s="502">
        <f>THU!O32</f>
        <v>0.36955567940614958</v>
      </c>
      <c r="M18" s="502"/>
      <c r="N18" s="502"/>
      <c r="O18" s="502"/>
      <c r="P18" s="502"/>
      <c r="Q18" s="587"/>
      <c r="R18" s="588"/>
      <c r="S18" s="588"/>
      <c r="T18" s="588"/>
      <c r="U18" s="589"/>
      <c r="V18" s="531"/>
      <c r="W18" s="532"/>
      <c r="X18" s="532"/>
      <c r="Y18" s="532"/>
      <c r="Z18" s="533"/>
      <c r="AA18" s="522"/>
      <c r="AB18" s="523"/>
      <c r="AC18" s="523"/>
      <c r="AD18" s="524"/>
    </row>
    <row r="19" spans="1:30" ht="20.100000000000001" customHeight="1" x14ac:dyDescent="0.3">
      <c r="A19" s="690"/>
      <c r="B19" s="456" t="s">
        <v>45</v>
      </c>
      <c r="C19" s="456"/>
      <c r="D19" s="503"/>
      <c r="E19" s="503">
        <f>THU!P31</f>
        <v>4</v>
      </c>
      <c r="F19" s="503"/>
      <c r="G19" s="503"/>
      <c r="H19" s="511">
        <f>THU!K31</f>
        <v>283.32</v>
      </c>
      <c r="I19" s="511"/>
      <c r="J19" s="511"/>
      <c r="K19" s="511"/>
      <c r="L19" s="502">
        <f>THU!P32</f>
        <v>0.16798093227875871</v>
      </c>
      <c r="M19" s="502"/>
      <c r="N19" s="502"/>
      <c r="O19" s="502"/>
      <c r="P19" s="502"/>
      <c r="Q19" s="587"/>
      <c r="R19" s="588"/>
      <c r="S19" s="588"/>
      <c r="T19" s="588"/>
      <c r="U19" s="589"/>
      <c r="V19" s="531"/>
      <c r="W19" s="532"/>
      <c r="X19" s="532"/>
      <c r="Y19" s="532"/>
      <c r="Z19" s="533"/>
      <c r="AA19" s="522"/>
      <c r="AB19" s="523"/>
      <c r="AC19" s="523"/>
      <c r="AD19" s="524"/>
    </row>
    <row r="20" spans="1:30" ht="20.100000000000001" customHeight="1" x14ac:dyDescent="0.3">
      <c r="A20" s="690"/>
      <c r="B20" s="454" t="s">
        <v>65</v>
      </c>
      <c r="C20" s="455"/>
      <c r="D20" s="456"/>
      <c r="E20" s="454">
        <f>THU!Q31</f>
        <v>1</v>
      </c>
      <c r="F20" s="455"/>
      <c r="G20" s="456"/>
      <c r="H20" s="448">
        <f>THU!J31</f>
        <v>110</v>
      </c>
      <c r="I20" s="449"/>
      <c r="J20" s="449"/>
      <c r="K20" s="450"/>
      <c r="L20" s="504">
        <f>THU!Q32</f>
        <v>6.5219195788025763E-2</v>
      </c>
      <c r="M20" s="505"/>
      <c r="N20" s="505"/>
      <c r="O20" s="505"/>
      <c r="P20" s="506"/>
      <c r="Q20" s="590"/>
      <c r="R20" s="591"/>
      <c r="S20" s="591"/>
      <c r="T20" s="591"/>
      <c r="U20" s="592"/>
      <c r="V20" s="534"/>
      <c r="W20" s="535"/>
      <c r="X20" s="535"/>
      <c r="Y20" s="535"/>
      <c r="Z20" s="536"/>
      <c r="AA20" s="525"/>
      <c r="AB20" s="526"/>
      <c r="AC20" s="526"/>
      <c r="AD20" s="527"/>
    </row>
    <row r="21" spans="1:30" ht="20.100000000000001" customHeight="1" x14ac:dyDescent="0.3">
      <c r="A21" s="691"/>
      <c r="B21" s="454" t="s">
        <v>94</v>
      </c>
      <c r="C21" s="455"/>
      <c r="D21" s="456"/>
      <c r="E21" s="454">
        <f>THU!U16</f>
        <v>27</v>
      </c>
      <c r="F21" s="455"/>
      <c r="G21" s="456"/>
      <c r="H21" s="448" t="s">
        <v>95</v>
      </c>
      <c r="I21" s="449"/>
      <c r="J21" s="449"/>
      <c r="K21" s="450"/>
      <c r="L21" s="413">
        <f>THU!T2</f>
        <v>4</v>
      </c>
      <c r="M21" s="414"/>
      <c r="N21" s="414"/>
      <c r="O21" s="414"/>
      <c r="P21" s="415"/>
      <c r="Q21" s="230"/>
      <c r="R21" s="231"/>
      <c r="S21" s="231"/>
      <c r="T21" s="231"/>
      <c r="U21" s="232"/>
      <c r="V21" s="221"/>
      <c r="W21" s="222"/>
      <c r="X21" s="222"/>
      <c r="Y21" s="222"/>
      <c r="Z21" s="223"/>
      <c r="AA21" s="218"/>
      <c r="AB21" s="219"/>
      <c r="AC21" s="219"/>
      <c r="AD21" s="220"/>
    </row>
    <row r="22" spans="1:30" ht="20.100000000000001" customHeight="1" x14ac:dyDescent="0.3">
      <c r="A22" s="692" t="s">
        <v>93</v>
      </c>
      <c r="B22" s="411" t="s">
        <v>57</v>
      </c>
      <c r="C22" s="411"/>
      <c r="D22" s="412"/>
      <c r="E22" s="412">
        <f>FRI!N31</f>
        <v>0</v>
      </c>
      <c r="F22" s="412"/>
      <c r="G22" s="412"/>
      <c r="H22" s="487">
        <f>FRI!S31</f>
        <v>0</v>
      </c>
      <c r="I22" s="487"/>
      <c r="J22" s="487"/>
      <c r="K22" s="487"/>
      <c r="L22" s="488">
        <f>FRI!N32</f>
        <v>0</v>
      </c>
      <c r="M22" s="488"/>
      <c r="N22" s="488"/>
      <c r="O22" s="488"/>
      <c r="P22" s="488"/>
      <c r="Q22" s="466">
        <f>SUM(E22:G25)</f>
        <v>8</v>
      </c>
      <c r="R22" s="467"/>
      <c r="S22" s="467"/>
      <c r="T22" s="467"/>
      <c r="U22" s="468"/>
      <c r="V22" s="475">
        <f>SUM(H22,H23,H25)</f>
        <v>796.7</v>
      </c>
      <c r="W22" s="476"/>
      <c r="X22" s="476"/>
      <c r="Y22" s="476"/>
      <c r="Z22" s="477"/>
      <c r="AA22" s="419">
        <f>V22/Q22</f>
        <v>99.587500000000006</v>
      </c>
      <c r="AB22" s="420"/>
      <c r="AC22" s="420"/>
      <c r="AD22" s="421"/>
    </row>
    <row r="23" spans="1:30" ht="20.100000000000001" customHeight="1" x14ac:dyDescent="0.3">
      <c r="A23" s="693"/>
      <c r="B23" s="411" t="s">
        <v>58</v>
      </c>
      <c r="C23" s="411"/>
      <c r="D23" s="412"/>
      <c r="E23" s="412">
        <f>FRI!O31</f>
        <v>6</v>
      </c>
      <c r="F23" s="412"/>
      <c r="G23" s="412"/>
      <c r="H23" s="487">
        <f>FRI!S32</f>
        <v>796.7</v>
      </c>
      <c r="I23" s="487"/>
      <c r="J23" s="487"/>
      <c r="K23" s="487"/>
      <c r="L23" s="488">
        <f>FRI!O32</f>
        <v>0.7894047173343316</v>
      </c>
      <c r="M23" s="488"/>
      <c r="N23" s="488"/>
      <c r="O23" s="488"/>
      <c r="P23" s="488"/>
      <c r="Q23" s="469"/>
      <c r="R23" s="470"/>
      <c r="S23" s="470"/>
      <c r="T23" s="470"/>
      <c r="U23" s="471"/>
      <c r="V23" s="478"/>
      <c r="W23" s="479"/>
      <c r="X23" s="479"/>
      <c r="Y23" s="479"/>
      <c r="Z23" s="480"/>
      <c r="AA23" s="422"/>
      <c r="AB23" s="423"/>
      <c r="AC23" s="423"/>
      <c r="AD23" s="424"/>
    </row>
    <row r="24" spans="1:30" ht="20.100000000000001" customHeight="1" x14ac:dyDescent="0.3">
      <c r="A24" s="693"/>
      <c r="B24" s="411" t="s">
        <v>45</v>
      </c>
      <c r="C24" s="411"/>
      <c r="D24" s="412"/>
      <c r="E24" s="412">
        <f>FRI!P31</f>
        <v>2</v>
      </c>
      <c r="F24" s="412"/>
      <c r="G24" s="412"/>
      <c r="H24" s="487">
        <f>FRI!K31</f>
        <v>112.5</v>
      </c>
      <c r="I24" s="487"/>
      <c r="J24" s="487"/>
      <c r="K24" s="487"/>
      <c r="L24" s="488">
        <f>FRI!P32</f>
        <v>0.21059528266566827</v>
      </c>
      <c r="M24" s="488"/>
      <c r="N24" s="488"/>
      <c r="O24" s="488"/>
      <c r="P24" s="488"/>
      <c r="Q24" s="469"/>
      <c r="R24" s="470"/>
      <c r="S24" s="470"/>
      <c r="T24" s="470"/>
      <c r="U24" s="471"/>
      <c r="V24" s="478"/>
      <c r="W24" s="479"/>
      <c r="X24" s="479"/>
      <c r="Y24" s="479"/>
      <c r="Z24" s="480"/>
      <c r="AA24" s="422"/>
      <c r="AB24" s="423"/>
      <c r="AC24" s="423"/>
      <c r="AD24" s="424"/>
    </row>
    <row r="25" spans="1:30" ht="20.100000000000001" customHeight="1" x14ac:dyDescent="0.3">
      <c r="A25" s="693"/>
      <c r="B25" s="457" t="s">
        <v>65</v>
      </c>
      <c r="C25" s="458"/>
      <c r="D25" s="411"/>
      <c r="E25" s="457">
        <f>FRI!Q31</f>
        <v>0</v>
      </c>
      <c r="F25" s="458"/>
      <c r="G25" s="411"/>
      <c r="H25" s="451">
        <f>FRI!J31</f>
        <v>0</v>
      </c>
      <c r="I25" s="452"/>
      <c r="J25" s="452"/>
      <c r="K25" s="453"/>
      <c r="L25" s="463">
        <f>FRI!Q32</f>
        <v>0</v>
      </c>
      <c r="M25" s="464"/>
      <c r="N25" s="464"/>
      <c r="O25" s="464"/>
      <c r="P25" s="465"/>
      <c r="Q25" s="472"/>
      <c r="R25" s="473"/>
      <c r="S25" s="473"/>
      <c r="T25" s="473"/>
      <c r="U25" s="474"/>
      <c r="V25" s="481"/>
      <c r="W25" s="482"/>
      <c r="X25" s="482"/>
      <c r="Y25" s="482"/>
      <c r="Z25" s="483"/>
      <c r="AA25" s="425"/>
      <c r="AB25" s="426"/>
      <c r="AC25" s="426"/>
      <c r="AD25" s="427"/>
    </row>
    <row r="26" spans="1:30" ht="20.100000000000001" customHeight="1" x14ac:dyDescent="0.3">
      <c r="A26" s="694"/>
      <c r="B26" s="457" t="s">
        <v>94</v>
      </c>
      <c r="C26" s="458"/>
      <c r="D26" s="411"/>
      <c r="E26" s="457">
        <f>FRI!U16</f>
        <v>15.750000000000004</v>
      </c>
      <c r="F26" s="458"/>
      <c r="G26" s="411"/>
      <c r="H26" s="451" t="s">
        <v>95</v>
      </c>
      <c r="I26" s="452"/>
      <c r="J26" s="452"/>
      <c r="K26" s="453"/>
      <c r="L26" s="416">
        <f>FRI!T2</f>
        <v>2</v>
      </c>
      <c r="M26" s="417"/>
      <c r="N26" s="417"/>
      <c r="O26" s="417"/>
      <c r="P26" s="418"/>
      <c r="Q26" s="233"/>
      <c r="R26" s="234"/>
      <c r="S26" s="234"/>
      <c r="T26" s="234"/>
      <c r="U26" s="235"/>
      <c r="V26" s="236"/>
      <c r="W26" s="237"/>
      <c r="X26" s="237"/>
      <c r="Y26" s="237"/>
      <c r="Z26" s="238"/>
      <c r="AA26" s="239"/>
      <c r="AB26" s="240"/>
      <c r="AC26" s="240"/>
      <c r="AD26" s="241"/>
    </row>
    <row r="27" spans="1:30" ht="20.100000000000001" customHeight="1" x14ac:dyDescent="0.3">
      <c r="A27" s="695" t="s">
        <v>70</v>
      </c>
      <c r="B27" s="461" t="s">
        <v>57</v>
      </c>
      <c r="C27" s="461"/>
      <c r="D27" s="446"/>
      <c r="E27" s="446">
        <f>SAT!N31</f>
        <v>10</v>
      </c>
      <c r="F27" s="446"/>
      <c r="G27" s="446"/>
      <c r="H27" s="447">
        <f>SAT!S31</f>
        <v>1020</v>
      </c>
      <c r="I27" s="447"/>
      <c r="J27" s="447"/>
      <c r="K27" s="447"/>
      <c r="L27" s="462">
        <f>SAT!N32</f>
        <v>0.3673822215819047</v>
      </c>
      <c r="M27" s="462"/>
      <c r="N27" s="462"/>
      <c r="O27" s="462"/>
      <c r="P27" s="462"/>
      <c r="Q27" s="563">
        <f>SUM(E27:G30)</f>
        <v>27</v>
      </c>
      <c r="R27" s="564"/>
      <c r="S27" s="564"/>
      <c r="T27" s="564"/>
      <c r="U27" s="565"/>
      <c r="V27" s="437">
        <f>SUM(H27,H28,H30)</f>
        <v>2868.2</v>
      </c>
      <c r="W27" s="438"/>
      <c r="X27" s="438"/>
      <c r="Y27" s="438"/>
      <c r="Z27" s="439"/>
      <c r="AA27" s="428">
        <f>V27/Q27</f>
        <v>106.22962962962963</v>
      </c>
      <c r="AB27" s="429"/>
      <c r="AC27" s="429"/>
      <c r="AD27" s="430"/>
    </row>
    <row r="28" spans="1:30" ht="20.100000000000001" customHeight="1" x14ac:dyDescent="0.3">
      <c r="A28" s="696"/>
      <c r="B28" s="461" t="s">
        <v>58</v>
      </c>
      <c r="C28" s="461"/>
      <c r="D28" s="446"/>
      <c r="E28" s="446">
        <f>SAT!O31</f>
        <v>12</v>
      </c>
      <c r="F28" s="446"/>
      <c r="G28" s="446"/>
      <c r="H28" s="447">
        <f>SAT!S32</f>
        <v>1848.2</v>
      </c>
      <c r="I28" s="447"/>
      <c r="J28" s="447"/>
      <c r="K28" s="447"/>
      <c r="L28" s="462">
        <f>SAT!O32</f>
        <v>0.44957498919464062</v>
      </c>
      <c r="M28" s="462"/>
      <c r="N28" s="462"/>
      <c r="O28" s="462"/>
      <c r="P28" s="462"/>
      <c r="Q28" s="566"/>
      <c r="R28" s="567"/>
      <c r="S28" s="567"/>
      <c r="T28" s="567"/>
      <c r="U28" s="568"/>
      <c r="V28" s="440"/>
      <c r="W28" s="441"/>
      <c r="X28" s="441"/>
      <c r="Y28" s="441"/>
      <c r="Z28" s="442"/>
      <c r="AA28" s="431"/>
      <c r="AB28" s="432"/>
      <c r="AC28" s="432"/>
      <c r="AD28" s="433"/>
    </row>
    <row r="29" spans="1:30" ht="20.100000000000001" customHeight="1" x14ac:dyDescent="0.3">
      <c r="A29" s="696"/>
      <c r="B29" s="461" t="s">
        <v>45</v>
      </c>
      <c r="C29" s="461"/>
      <c r="D29" s="446"/>
      <c r="E29" s="446">
        <f>SAT!P31</f>
        <v>5</v>
      </c>
      <c r="F29" s="446"/>
      <c r="G29" s="446"/>
      <c r="H29" s="447">
        <f>SAT!K31</f>
        <v>508.20000000000005</v>
      </c>
      <c r="I29" s="447"/>
      <c r="J29" s="447"/>
      <c r="K29" s="447"/>
      <c r="L29" s="462">
        <f>SAT!P32</f>
        <v>0.18304278922345488</v>
      </c>
      <c r="M29" s="462"/>
      <c r="N29" s="462"/>
      <c r="O29" s="462"/>
      <c r="P29" s="462"/>
      <c r="Q29" s="566"/>
      <c r="R29" s="567"/>
      <c r="S29" s="567"/>
      <c r="T29" s="567"/>
      <c r="U29" s="568"/>
      <c r="V29" s="440"/>
      <c r="W29" s="441"/>
      <c r="X29" s="441"/>
      <c r="Y29" s="441"/>
      <c r="Z29" s="442"/>
      <c r="AA29" s="431"/>
      <c r="AB29" s="432"/>
      <c r="AC29" s="432"/>
      <c r="AD29" s="433"/>
    </row>
    <row r="30" spans="1:30" ht="20.100000000000001" customHeight="1" x14ac:dyDescent="0.3">
      <c r="A30" s="696"/>
      <c r="B30" s="459" t="s">
        <v>65</v>
      </c>
      <c r="C30" s="460"/>
      <c r="D30" s="461"/>
      <c r="E30" s="459">
        <f>SAT!Q31</f>
        <v>0</v>
      </c>
      <c r="F30" s="460"/>
      <c r="G30" s="461"/>
      <c r="H30" s="740">
        <f>SAT!J31</f>
        <v>0</v>
      </c>
      <c r="I30" s="741"/>
      <c r="J30" s="741"/>
      <c r="K30" s="742"/>
      <c r="L30" s="572">
        <f>SAT!Q32</f>
        <v>0</v>
      </c>
      <c r="M30" s="573"/>
      <c r="N30" s="573"/>
      <c r="O30" s="573"/>
      <c r="P30" s="574"/>
      <c r="Q30" s="569"/>
      <c r="R30" s="570"/>
      <c r="S30" s="570"/>
      <c r="T30" s="570"/>
      <c r="U30" s="571"/>
      <c r="V30" s="443"/>
      <c r="W30" s="444"/>
      <c r="X30" s="444"/>
      <c r="Y30" s="444"/>
      <c r="Z30" s="445"/>
      <c r="AA30" s="434"/>
      <c r="AB30" s="435"/>
      <c r="AC30" s="435"/>
      <c r="AD30" s="436"/>
    </row>
    <row r="31" spans="1:30" ht="20.100000000000001" customHeight="1" x14ac:dyDescent="0.3">
      <c r="A31" s="697"/>
      <c r="B31" s="459" t="s">
        <v>94</v>
      </c>
      <c r="C31" s="460"/>
      <c r="D31" s="461"/>
      <c r="E31" s="459">
        <f>SAT!U16</f>
        <v>52.75</v>
      </c>
      <c r="F31" s="460"/>
      <c r="G31" s="461"/>
      <c r="H31" s="740" t="s">
        <v>95</v>
      </c>
      <c r="I31" s="741"/>
      <c r="J31" s="741"/>
      <c r="K31" s="742"/>
      <c r="L31" s="737">
        <f>SAT!T2</f>
        <v>7</v>
      </c>
      <c r="M31" s="738"/>
      <c r="N31" s="738"/>
      <c r="O31" s="738"/>
      <c r="P31" s="739"/>
      <c r="Q31" s="227"/>
      <c r="R31" s="228"/>
      <c r="S31" s="228"/>
      <c r="T31" s="228"/>
      <c r="U31" s="229"/>
      <c r="V31" s="245"/>
      <c r="W31" s="246"/>
      <c r="X31" s="246"/>
      <c r="Y31" s="246"/>
      <c r="Z31" s="247"/>
      <c r="AA31" s="242"/>
      <c r="AB31" s="243"/>
      <c r="AC31" s="243"/>
      <c r="AD31" s="244"/>
    </row>
    <row r="32" spans="1:30" ht="20.100000000000001" customHeight="1" x14ac:dyDescent="0.3">
      <c r="A32" s="698" t="s">
        <v>71</v>
      </c>
      <c r="B32" s="382" t="s">
        <v>57</v>
      </c>
      <c r="C32" s="383"/>
      <c r="D32" s="383"/>
      <c r="E32" s="383">
        <f>SUN!N31</f>
        <v>8</v>
      </c>
      <c r="F32" s="383"/>
      <c r="G32" s="383"/>
      <c r="H32" s="408">
        <f>SUN!S31</f>
        <v>820</v>
      </c>
      <c r="I32" s="408"/>
      <c r="J32" s="408"/>
      <c r="K32" s="408"/>
      <c r="L32" s="409">
        <f>SUN!N32</f>
        <v>0.40168708576019285</v>
      </c>
      <c r="M32" s="409"/>
      <c r="N32" s="409"/>
      <c r="O32" s="409"/>
      <c r="P32" s="409"/>
      <c r="Q32" s="410">
        <f>SUM(E32:G35)</f>
        <v>20</v>
      </c>
      <c r="R32" s="410"/>
      <c r="S32" s="410"/>
      <c r="T32" s="410"/>
      <c r="U32" s="410"/>
      <c r="V32" s="381">
        <f>SUM(H32,H33,H35)</f>
        <v>1912.25</v>
      </c>
      <c r="W32" s="381"/>
      <c r="X32" s="381"/>
      <c r="Y32" s="381"/>
      <c r="Z32" s="381"/>
      <c r="AA32" s="400">
        <f>V32/Q32</f>
        <v>95.612499999999997</v>
      </c>
      <c r="AB32" s="401"/>
      <c r="AC32" s="401"/>
      <c r="AD32" s="401"/>
    </row>
    <row r="33" spans="1:30" ht="20.100000000000001" customHeight="1" x14ac:dyDescent="0.3">
      <c r="A33" s="699"/>
      <c r="B33" s="382" t="s">
        <v>58</v>
      </c>
      <c r="C33" s="383"/>
      <c r="D33" s="383"/>
      <c r="E33" s="383">
        <f>SUN!O31</f>
        <v>8</v>
      </c>
      <c r="F33" s="383"/>
      <c r="G33" s="383"/>
      <c r="H33" s="408">
        <f>SUN!S32</f>
        <v>1092.25</v>
      </c>
      <c r="I33" s="408"/>
      <c r="J33" s="408"/>
      <c r="K33" s="408"/>
      <c r="L33" s="409">
        <f>SUN!O32</f>
        <v>0.35135373446524182</v>
      </c>
      <c r="M33" s="409"/>
      <c r="N33" s="409"/>
      <c r="O33" s="409"/>
      <c r="P33" s="409"/>
      <c r="Q33" s="410"/>
      <c r="R33" s="410"/>
      <c r="S33" s="410"/>
      <c r="T33" s="410"/>
      <c r="U33" s="410"/>
      <c r="V33" s="381"/>
      <c r="W33" s="381"/>
      <c r="X33" s="381"/>
      <c r="Y33" s="381"/>
      <c r="Z33" s="381"/>
      <c r="AA33" s="401"/>
      <c r="AB33" s="401"/>
      <c r="AC33" s="401"/>
      <c r="AD33" s="401"/>
    </row>
    <row r="34" spans="1:30" ht="20.100000000000001" customHeight="1" x14ac:dyDescent="0.3">
      <c r="A34" s="699"/>
      <c r="B34" s="382" t="s">
        <v>45</v>
      </c>
      <c r="C34" s="383"/>
      <c r="D34" s="383"/>
      <c r="E34" s="383">
        <f>SUN!P31</f>
        <v>4</v>
      </c>
      <c r="F34" s="383"/>
      <c r="G34" s="383"/>
      <c r="H34" s="408">
        <f>SUN!K31</f>
        <v>504.14</v>
      </c>
      <c r="I34" s="408"/>
      <c r="J34" s="408"/>
      <c r="K34" s="408"/>
      <c r="L34" s="409">
        <f>SUN!P32</f>
        <v>0.24695917977456538</v>
      </c>
      <c r="M34" s="409"/>
      <c r="N34" s="409"/>
      <c r="O34" s="409"/>
      <c r="P34" s="409"/>
      <c r="Q34" s="410"/>
      <c r="R34" s="410"/>
      <c r="S34" s="410"/>
      <c r="T34" s="410"/>
      <c r="U34" s="410"/>
      <c r="V34" s="381"/>
      <c r="W34" s="381"/>
      <c r="X34" s="381"/>
      <c r="Y34" s="381"/>
      <c r="Z34" s="381"/>
      <c r="AA34" s="401"/>
      <c r="AB34" s="401"/>
      <c r="AC34" s="401"/>
      <c r="AD34" s="401"/>
    </row>
    <row r="35" spans="1:30" ht="20.100000000000001" customHeight="1" x14ac:dyDescent="0.3">
      <c r="A35" s="699"/>
      <c r="B35" s="382" t="s">
        <v>65</v>
      </c>
      <c r="C35" s="383"/>
      <c r="D35" s="383"/>
      <c r="E35" s="383">
        <f>SUN!Q31</f>
        <v>0</v>
      </c>
      <c r="F35" s="383"/>
      <c r="G35" s="383"/>
      <c r="H35" s="408">
        <f>SUN!J31</f>
        <v>0</v>
      </c>
      <c r="I35" s="408"/>
      <c r="J35" s="408"/>
      <c r="K35" s="408"/>
      <c r="L35" s="409">
        <f>SUN!Q32</f>
        <v>0</v>
      </c>
      <c r="M35" s="409"/>
      <c r="N35" s="409"/>
      <c r="O35" s="409"/>
      <c r="P35" s="409"/>
      <c r="Q35" s="410"/>
      <c r="R35" s="410"/>
      <c r="S35" s="410"/>
      <c r="T35" s="410"/>
      <c r="U35" s="410"/>
      <c r="V35" s="381"/>
      <c r="W35" s="381"/>
      <c r="X35" s="381"/>
      <c r="Y35" s="381"/>
      <c r="Z35" s="381"/>
      <c r="AA35" s="401"/>
      <c r="AB35" s="401"/>
      <c r="AC35" s="401"/>
      <c r="AD35" s="401"/>
    </row>
    <row r="36" spans="1:30" ht="20.100000000000001" customHeight="1" thickBot="1" x14ac:dyDescent="0.35">
      <c r="A36" s="700"/>
      <c r="B36" s="386" t="s">
        <v>94</v>
      </c>
      <c r="C36" s="387"/>
      <c r="D36" s="388"/>
      <c r="E36" s="386">
        <f>SUN!U16</f>
        <v>53.25</v>
      </c>
      <c r="F36" s="387"/>
      <c r="G36" s="388"/>
      <c r="H36" s="386" t="s">
        <v>95</v>
      </c>
      <c r="I36" s="387"/>
      <c r="J36" s="387"/>
      <c r="K36" s="388"/>
      <c r="L36" s="402">
        <f>SUN!T2</f>
        <v>7</v>
      </c>
      <c r="M36" s="403"/>
      <c r="N36" s="403"/>
      <c r="O36" s="403"/>
      <c r="P36" s="404"/>
      <c r="Q36" s="405"/>
      <c r="R36" s="406"/>
      <c r="S36" s="406"/>
      <c r="T36" s="406"/>
      <c r="U36" s="407"/>
      <c r="V36" s="389"/>
      <c r="W36" s="390"/>
      <c r="X36" s="390"/>
      <c r="Y36" s="390"/>
      <c r="Z36" s="391"/>
      <c r="AA36" s="392"/>
      <c r="AB36" s="393"/>
      <c r="AC36" s="393"/>
      <c r="AD36" s="394"/>
    </row>
    <row r="37" spans="1:30" ht="16.5" customHeight="1" x14ac:dyDescent="0.3">
      <c r="A37" s="372" t="s">
        <v>72</v>
      </c>
      <c r="B37" s="373"/>
      <c r="C37" s="373"/>
      <c r="D37" s="373"/>
      <c r="E37" s="373" t="s">
        <v>73</v>
      </c>
      <c r="F37" s="373"/>
      <c r="G37" s="373"/>
      <c r="H37" s="373"/>
      <c r="I37" s="373"/>
      <c r="J37" s="373"/>
      <c r="K37" s="373" t="s">
        <v>74</v>
      </c>
      <c r="L37" s="373"/>
      <c r="M37" s="373"/>
      <c r="N37" s="373"/>
      <c r="O37" s="373" t="s">
        <v>65</v>
      </c>
      <c r="P37" s="373"/>
      <c r="Q37" s="373"/>
      <c r="R37" s="373"/>
      <c r="S37" s="373"/>
      <c r="T37" s="373" t="s">
        <v>75</v>
      </c>
      <c r="U37" s="373"/>
      <c r="V37" s="373"/>
      <c r="W37" s="373"/>
      <c r="X37" s="373"/>
      <c r="Y37" s="373" t="s">
        <v>76</v>
      </c>
      <c r="Z37" s="373"/>
      <c r="AA37" s="373"/>
      <c r="AB37" s="373"/>
      <c r="AC37" s="373"/>
      <c r="AD37" s="384"/>
    </row>
    <row r="38" spans="1:30" ht="16.5" customHeight="1" x14ac:dyDescent="0.3">
      <c r="A38" s="374"/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375"/>
      <c r="M38" s="375"/>
      <c r="N38" s="375"/>
      <c r="O38" s="375"/>
      <c r="P38" s="375"/>
      <c r="Q38" s="375"/>
      <c r="R38" s="375"/>
      <c r="S38" s="375"/>
      <c r="T38" s="375"/>
      <c r="U38" s="375"/>
      <c r="V38" s="375"/>
      <c r="W38" s="375"/>
      <c r="X38" s="375"/>
      <c r="Y38" s="375"/>
      <c r="Z38" s="375"/>
      <c r="AA38" s="375"/>
      <c r="AB38" s="375"/>
      <c r="AC38" s="375"/>
      <c r="AD38" s="385"/>
    </row>
    <row r="39" spans="1:30" ht="16.5" customHeight="1" x14ac:dyDescent="0.3">
      <c r="A39" s="376">
        <f>SUM(Q2:U35)</f>
        <v>115</v>
      </c>
      <c r="B39" s="377"/>
      <c r="C39" s="377"/>
      <c r="D39" s="377"/>
      <c r="E39" s="380">
        <f>SUM(V2:Z35)</f>
        <v>12058.45</v>
      </c>
      <c r="F39" s="377"/>
      <c r="G39" s="377"/>
      <c r="H39" s="377"/>
      <c r="I39" s="377"/>
      <c r="J39" s="377"/>
      <c r="K39" s="380">
        <f>E39/A39</f>
        <v>104.85608695652175</v>
      </c>
      <c r="L39" s="377"/>
      <c r="M39" s="377"/>
      <c r="N39" s="377"/>
      <c r="O39" s="377">
        <f>SUM(MON:SUN!Q31)</f>
        <v>4</v>
      </c>
      <c r="P39" s="377"/>
      <c r="Q39" s="377"/>
      <c r="R39" s="377"/>
      <c r="S39" s="377"/>
      <c r="T39" s="377">
        <f>SUM(MON:SUN!P31)</f>
        <v>23</v>
      </c>
      <c r="U39" s="377"/>
      <c r="V39" s="377"/>
      <c r="W39" s="377"/>
      <c r="X39" s="377"/>
      <c r="Y39" s="377">
        <f>SUM(MON:SUN!S19)</f>
        <v>8</v>
      </c>
      <c r="Z39" s="377"/>
      <c r="AA39" s="377"/>
      <c r="AB39" s="377"/>
      <c r="AC39" s="377"/>
      <c r="AD39" s="397"/>
    </row>
    <row r="40" spans="1:30" ht="16.5" customHeight="1" x14ac:dyDescent="0.3">
      <c r="A40" s="376"/>
      <c r="B40" s="377"/>
      <c r="C40" s="377"/>
      <c r="D40" s="377"/>
      <c r="E40" s="377"/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377"/>
      <c r="AB40" s="377"/>
      <c r="AC40" s="377"/>
      <c r="AD40" s="397"/>
    </row>
    <row r="41" spans="1:30" ht="16.5" customHeight="1" x14ac:dyDescent="0.3">
      <c r="A41" s="376"/>
      <c r="B41" s="377"/>
      <c r="C41" s="377"/>
      <c r="D41" s="377"/>
      <c r="E41" s="377"/>
      <c r="F41" s="377"/>
      <c r="G41" s="377"/>
      <c r="H41" s="377"/>
      <c r="I41" s="377"/>
      <c r="J41" s="377"/>
      <c r="K41" s="377"/>
      <c r="L41" s="377"/>
      <c r="M41" s="377"/>
      <c r="N41" s="377"/>
      <c r="O41" s="395">
        <f>SUM(MON:SUN!J31)</f>
        <v>330</v>
      </c>
      <c r="P41" s="395"/>
      <c r="Q41" s="395"/>
      <c r="R41" s="395"/>
      <c r="S41" s="395"/>
      <c r="T41" s="395">
        <f>SUM(MON:SUN!K31)</f>
        <v>2083.96</v>
      </c>
      <c r="U41" s="395"/>
      <c r="V41" s="395"/>
      <c r="W41" s="395"/>
      <c r="X41" s="395"/>
      <c r="Y41" s="395">
        <f>SUM(MON:SUN!T19)</f>
        <v>3370</v>
      </c>
      <c r="Z41" s="395"/>
      <c r="AA41" s="395"/>
      <c r="AB41" s="395"/>
      <c r="AC41" s="395"/>
      <c r="AD41" s="398"/>
    </row>
    <row r="42" spans="1:30" ht="16.5" customHeight="1" thickBot="1" x14ac:dyDescent="0.35">
      <c r="A42" s="378"/>
      <c r="B42" s="379"/>
      <c r="C42" s="379"/>
      <c r="D42" s="379"/>
      <c r="E42" s="379"/>
      <c r="F42" s="379"/>
      <c r="G42" s="379"/>
      <c r="H42" s="379"/>
      <c r="I42" s="379"/>
      <c r="J42" s="379"/>
      <c r="K42" s="379"/>
      <c r="L42" s="379"/>
      <c r="M42" s="379"/>
      <c r="N42" s="379"/>
      <c r="O42" s="396"/>
      <c r="P42" s="396"/>
      <c r="Q42" s="396"/>
      <c r="R42" s="396"/>
      <c r="S42" s="396"/>
      <c r="T42" s="396"/>
      <c r="U42" s="396"/>
      <c r="V42" s="396"/>
      <c r="W42" s="396"/>
      <c r="X42" s="396"/>
      <c r="Y42" s="396"/>
      <c r="Z42" s="396"/>
      <c r="AA42" s="396"/>
      <c r="AB42" s="396"/>
      <c r="AC42" s="396"/>
      <c r="AD42" s="399"/>
    </row>
    <row r="43" spans="1:30" ht="17.45" customHeight="1" x14ac:dyDescent="0.3">
      <c r="A43" s="655" t="s">
        <v>84</v>
      </c>
      <c r="B43" s="656"/>
      <c r="C43" s="656"/>
      <c r="D43" s="656"/>
      <c r="E43" s="657"/>
      <c r="F43" s="655" t="s">
        <v>85</v>
      </c>
      <c r="G43" s="656"/>
      <c r="H43" s="656"/>
      <c r="I43" s="656"/>
      <c r="J43" s="657"/>
      <c r="K43" s="655" t="s">
        <v>86</v>
      </c>
      <c r="L43" s="656"/>
      <c r="M43" s="656"/>
      <c r="N43" s="656"/>
      <c r="O43" s="657"/>
      <c r="P43" s="655" t="s">
        <v>87</v>
      </c>
      <c r="Q43" s="656"/>
      <c r="R43" s="656"/>
      <c r="S43" s="656"/>
      <c r="T43" s="657"/>
      <c r="U43" s="655" t="s">
        <v>90</v>
      </c>
      <c r="V43" s="656"/>
      <c r="W43" s="656"/>
      <c r="X43" s="656"/>
      <c r="Y43" s="657"/>
      <c r="Z43" s="661" t="s">
        <v>95</v>
      </c>
      <c r="AA43" s="662"/>
      <c r="AB43" s="662"/>
      <c r="AC43" s="662"/>
      <c r="AD43" s="663"/>
    </row>
    <row r="44" spans="1:30" ht="17.45" customHeight="1" x14ac:dyDescent="0.3">
      <c r="A44" s="658"/>
      <c r="B44" s="659"/>
      <c r="C44" s="659"/>
      <c r="D44" s="659"/>
      <c r="E44" s="660"/>
      <c r="F44" s="658"/>
      <c r="G44" s="659"/>
      <c r="H44" s="659"/>
      <c r="I44" s="659"/>
      <c r="J44" s="660"/>
      <c r="K44" s="658"/>
      <c r="L44" s="659"/>
      <c r="M44" s="659"/>
      <c r="N44" s="659"/>
      <c r="O44" s="660"/>
      <c r="P44" s="658"/>
      <c r="Q44" s="659"/>
      <c r="R44" s="659"/>
      <c r="S44" s="659"/>
      <c r="T44" s="660"/>
      <c r="U44" s="658"/>
      <c r="V44" s="659"/>
      <c r="W44" s="659"/>
      <c r="X44" s="659"/>
      <c r="Y44" s="660"/>
      <c r="Z44" s="664"/>
      <c r="AA44" s="665"/>
      <c r="AB44" s="665"/>
      <c r="AC44" s="665"/>
      <c r="AD44" s="666"/>
    </row>
    <row r="45" spans="1:30" x14ac:dyDescent="0.3">
      <c r="A45" s="667">
        <f>SUM(H2,H7,H12,H17,H22,H27,H32)</f>
        <v>3180</v>
      </c>
      <c r="B45" s="668"/>
      <c r="C45" s="668"/>
      <c r="D45" s="668"/>
      <c r="E45" s="669"/>
      <c r="F45" s="667">
        <f>SUM(,H3,H8,H13,H18,H23,H28,H33)</f>
        <v>8548.4500000000007</v>
      </c>
      <c r="G45" s="668"/>
      <c r="H45" s="668"/>
      <c r="I45" s="668"/>
      <c r="J45" s="669"/>
      <c r="K45" s="667">
        <f>SUM(H5,H10,H15,H20,H25,H30,H35)</f>
        <v>330</v>
      </c>
      <c r="L45" s="668"/>
      <c r="M45" s="668"/>
      <c r="N45" s="668"/>
      <c r="O45" s="669"/>
      <c r="P45" s="667">
        <f>SUM(H4,H9,H14,H19,H24,H29,H34)</f>
        <v>2083.96</v>
      </c>
      <c r="Q45" s="668"/>
      <c r="R45" s="668"/>
      <c r="S45" s="668"/>
      <c r="T45" s="669"/>
      <c r="U45" s="676">
        <f>SUM(E6,E11,E16,E21,E26,E31,E36)</f>
        <v>228</v>
      </c>
      <c r="V45" s="668"/>
      <c r="W45" s="668"/>
      <c r="X45" s="668"/>
      <c r="Y45" s="669"/>
      <c r="Z45" s="676">
        <f>SUM(L6,L11,L16,L21,L26,L31,L36)</f>
        <v>31</v>
      </c>
      <c r="AA45" s="668"/>
      <c r="AB45" s="668"/>
      <c r="AC45" s="668"/>
      <c r="AD45" s="677"/>
    </row>
    <row r="46" spans="1:30" x14ac:dyDescent="0.3">
      <c r="A46" s="670"/>
      <c r="B46" s="671"/>
      <c r="C46" s="671"/>
      <c r="D46" s="671"/>
      <c r="E46" s="672"/>
      <c r="F46" s="670"/>
      <c r="G46" s="671"/>
      <c r="H46" s="671"/>
      <c r="I46" s="671"/>
      <c r="J46" s="672"/>
      <c r="K46" s="670"/>
      <c r="L46" s="671"/>
      <c r="M46" s="671"/>
      <c r="N46" s="671"/>
      <c r="O46" s="672"/>
      <c r="P46" s="670"/>
      <c r="Q46" s="671"/>
      <c r="R46" s="671"/>
      <c r="S46" s="671"/>
      <c r="T46" s="672"/>
      <c r="U46" s="670"/>
      <c r="V46" s="671"/>
      <c r="W46" s="671"/>
      <c r="X46" s="671"/>
      <c r="Y46" s="672"/>
      <c r="Z46" s="670"/>
      <c r="AA46" s="671"/>
      <c r="AB46" s="671"/>
      <c r="AC46" s="671"/>
      <c r="AD46" s="678"/>
    </row>
    <row r="47" spans="1:30" x14ac:dyDescent="0.3">
      <c r="A47" s="670"/>
      <c r="B47" s="671"/>
      <c r="C47" s="671"/>
      <c r="D47" s="671"/>
      <c r="E47" s="672"/>
      <c r="F47" s="670"/>
      <c r="G47" s="671"/>
      <c r="H47" s="671"/>
      <c r="I47" s="671"/>
      <c r="J47" s="672"/>
      <c r="K47" s="670"/>
      <c r="L47" s="671"/>
      <c r="M47" s="671"/>
      <c r="N47" s="671"/>
      <c r="O47" s="672"/>
      <c r="P47" s="670"/>
      <c r="Q47" s="671"/>
      <c r="R47" s="671"/>
      <c r="S47" s="671"/>
      <c r="T47" s="672"/>
      <c r="U47" s="670"/>
      <c r="V47" s="671"/>
      <c r="W47" s="671"/>
      <c r="X47" s="671"/>
      <c r="Y47" s="672"/>
      <c r="Z47" s="670"/>
      <c r="AA47" s="671"/>
      <c r="AB47" s="671"/>
      <c r="AC47" s="671"/>
      <c r="AD47" s="678"/>
    </row>
    <row r="48" spans="1:30" ht="17.25" thickBot="1" x14ac:dyDescent="0.35">
      <c r="A48" s="673"/>
      <c r="B48" s="674"/>
      <c r="C48" s="674"/>
      <c r="D48" s="674"/>
      <c r="E48" s="675"/>
      <c r="F48" s="673"/>
      <c r="G48" s="674"/>
      <c r="H48" s="674"/>
      <c r="I48" s="674"/>
      <c r="J48" s="675"/>
      <c r="K48" s="673"/>
      <c r="L48" s="674"/>
      <c r="M48" s="674"/>
      <c r="N48" s="674"/>
      <c r="O48" s="675"/>
      <c r="P48" s="673"/>
      <c r="Q48" s="674"/>
      <c r="R48" s="674"/>
      <c r="S48" s="674"/>
      <c r="T48" s="675"/>
      <c r="U48" s="673"/>
      <c r="V48" s="674"/>
      <c r="W48" s="674"/>
      <c r="X48" s="674"/>
      <c r="Y48" s="675"/>
      <c r="Z48" s="673"/>
      <c r="AA48" s="674"/>
      <c r="AB48" s="674"/>
      <c r="AC48" s="674"/>
      <c r="AD48" s="679"/>
    </row>
    <row r="49" spans="1:30" ht="17.45" customHeight="1" x14ac:dyDescent="0.3">
      <c r="A49" s="637">
        <f>A45/E39</f>
        <v>0.26371548582114618</v>
      </c>
      <c r="B49" s="638"/>
      <c r="C49" s="638"/>
      <c r="D49" s="638"/>
      <c r="E49" s="639"/>
      <c r="F49" s="637">
        <f>F45/E39</f>
        <v>0.70891781282005562</v>
      </c>
      <c r="G49" s="638"/>
      <c r="H49" s="638"/>
      <c r="I49" s="638"/>
      <c r="J49" s="639"/>
      <c r="K49" s="637">
        <f>K45/E39</f>
        <v>2.7366701358798186E-2</v>
      </c>
      <c r="L49" s="638"/>
      <c r="M49" s="638"/>
      <c r="N49" s="638"/>
      <c r="O49" s="639"/>
      <c r="P49" s="637">
        <f>P45/E39</f>
        <v>0.17282154837479111</v>
      </c>
      <c r="Q49" s="638"/>
      <c r="R49" s="638"/>
      <c r="S49" s="638"/>
      <c r="T49" s="639"/>
      <c r="U49" s="646">
        <f>U45/7</f>
        <v>32.571428571428569</v>
      </c>
      <c r="V49" s="647"/>
      <c r="W49" s="647"/>
      <c r="X49" s="647"/>
      <c r="Y49" s="648"/>
      <c r="Z49" s="646">
        <f>U45/Z45</f>
        <v>7.354838709677419</v>
      </c>
      <c r="AA49" s="647"/>
      <c r="AB49" s="647"/>
      <c r="AC49" s="647"/>
      <c r="AD49" s="648"/>
    </row>
    <row r="50" spans="1:30" ht="17.45" customHeight="1" x14ac:dyDescent="0.3">
      <c r="A50" s="640"/>
      <c r="B50" s="641"/>
      <c r="C50" s="641"/>
      <c r="D50" s="641"/>
      <c r="E50" s="642"/>
      <c r="F50" s="640"/>
      <c r="G50" s="641"/>
      <c r="H50" s="641"/>
      <c r="I50" s="641"/>
      <c r="J50" s="642"/>
      <c r="K50" s="640"/>
      <c r="L50" s="641"/>
      <c r="M50" s="641"/>
      <c r="N50" s="641"/>
      <c r="O50" s="642"/>
      <c r="P50" s="640"/>
      <c r="Q50" s="641"/>
      <c r="R50" s="641"/>
      <c r="S50" s="641"/>
      <c r="T50" s="642"/>
      <c r="U50" s="649"/>
      <c r="V50" s="650"/>
      <c r="W50" s="650"/>
      <c r="X50" s="650"/>
      <c r="Y50" s="651"/>
      <c r="Z50" s="649"/>
      <c r="AA50" s="650"/>
      <c r="AB50" s="650"/>
      <c r="AC50" s="650"/>
      <c r="AD50" s="651"/>
    </row>
    <row r="51" spans="1:30" ht="17.45" customHeight="1" x14ac:dyDescent="0.3">
      <c r="A51" s="640"/>
      <c r="B51" s="641"/>
      <c r="C51" s="641"/>
      <c r="D51" s="641"/>
      <c r="E51" s="642"/>
      <c r="F51" s="640"/>
      <c r="G51" s="641"/>
      <c r="H51" s="641"/>
      <c r="I51" s="641"/>
      <c r="J51" s="642"/>
      <c r="K51" s="640"/>
      <c r="L51" s="641"/>
      <c r="M51" s="641"/>
      <c r="N51" s="641"/>
      <c r="O51" s="642"/>
      <c r="P51" s="640"/>
      <c r="Q51" s="641"/>
      <c r="R51" s="641"/>
      <c r="S51" s="641"/>
      <c r="T51" s="642"/>
      <c r="U51" s="649"/>
      <c r="V51" s="650"/>
      <c r="W51" s="650"/>
      <c r="X51" s="650"/>
      <c r="Y51" s="651"/>
      <c r="Z51" s="649"/>
      <c r="AA51" s="650"/>
      <c r="AB51" s="650"/>
      <c r="AC51" s="650"/>
      <c r="AD51" s="651"/>
    </row>
    <row r="52" spans="1:30" ht="18" customHeight="1" thickBot="1" x14ac:dyDescent="0.35">
      <c r="A52" s="643"/>
      <c r="B52" s="644"/>
      <c r="C52" s="644"/>
      <c r="D52" s="644"/>
      <c r="E52" s="645"/>
      <c r="F52" s="643"/>
      <c r="G52" s="644"/>
      <c r="H52" s="644"/>
      <c r="I52" s="644"/>
      <c r="J52" s="645"/>
      <c r="K52" s="643"/>
      <c r="L52" s="644"/>
      <c r="M52" s="644"/>
      <c r="N52" s="644"/>
      <c r="O52" s="645"/>
      <c r="P52" s="643"/>
      <c r="Q52" s="644"/>
      <c r="R52" s="644"/>
      <c r="S52" s="644"/>
      <c r="T52" s="645"/>
      <c r="U52" s="652"/>
      <c r="V52" s="653"/>
      <c r="W52" s="653"/>
      <c r="X52" s="653"/>
      <c r="Y52" s="654"/>
      <c r="Z52" s="652"/>
      <c r="AA52" s="653"/>
      <c r="AB52" s="653"/>
      <c r="AC52" s="653"/>
      <c r="AD52" s="654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AF67D3DE-6810-4883-8161-BB96AC67556A}"/>
</file>

<file path=customXml/itemProps2.xml><?xml version="1.0" encoding="utf-8"?>
<ds:datastoreItem xmlns:ds="http://schemas.openxmlformats.org/officeDocument/2006/customXml" ds:itemID="{1F024CB5-C8AF-4780-9ECE-CCED496BCE85}"/>
</file>

<file path=customXml/itemProps3.xml><?xml version="1.0" encoding="utf-8"?>
<ds:datastoreItem xmlns:ds="http://schemas.openxmlformats.org/officeDocument/2006/customXml" ds:itemID="{0E48AFFC-ADB6-4C59-94E5-09BBA7269F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XTREAM</cp:lastModifiedBy>
  <cp:lastPrinted>2022-09-10T07:17:57Z</cp:lastPrinted>
  <dcterms:created xsi:type="dcterms:W3CDTF">2011-11-24T03:16:40Z</dcterms:created>
  <dcterms:modified xsi:type="dcterms:W3CDTF">2023-07-24T06:08:34Z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