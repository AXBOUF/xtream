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B2 DR\2022\9. Sep\"/>
    </mc:Choice>
  </mc:AlternateContent>
  <xr:revisionPtr revIDLastSave="0" documentId="13_ncr:1_{43ECD9D6-EA7C-4B03-8115-F41BAA71594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V22" i="8" s="1"/>
  <c r="AA22" i="8" s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J5" i="1"/>
  <c r="J30" i="1" s="1"/>
  <c r="J31" i="1" s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J17" i="5"/>
  <c r="K16" i="5"/>
  <c r="J16" i="5"/>
  <c r="U15" i="5"/>
  <c r="K15" i="5"/>
  <c r="J15" i="5"/>
  <c r="U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J20" i="6"/>
  <c r="T19" i="6"/>
  <c r="S19" i="6"/>
  <c r="K19" i="6"/>
  <c r="J19" i="6"/>
  <c r="J18" i="6"/>
  <c r="J17" i="6"/>
  <c r="K16" i="6"/>
  <c r="J16" i="6"/>
  <c r="U15" i="6"/>
  <c r="K15" i="6"/>
  <c r="J15" i="6"/>
  <c r="U14" i="6"/>
  <c r="K14" i="6"/>
  <c r="U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J30" i="2" l="1"/>
  <c r="J31" i="2" s="1"/>
  <c r="H35" i="8" s="1"/>
  <c r="U16" i="2"/>
  <c r="R16" i="2" s="1"/>
  <c r="K30" i="2"/>
  <c r="K31" i="2" s="1"/>
  <c r="U16" i="1"/>
  <c r="R16" i="1" s="1"/>
  <c r="K30" i="1"/>
  <c r="K31" i="1" s="1"/>
  <c r="C32" i="1" s="1"/>
  <c r="P32" i="1" s="1"/>
  <c r="K30" i="3"/>
  <c r="K31" i="3" s="1"/>
  <c r="J30" i="3"/>
  <c r="J31" i="3" s="1"/>
  <c r="C32" i="3" s="1"/>
  <c r="O32" i="3" s="1"/>
  <c r="U16" i="3"/>
  <c r="S16" i="3" s="1"/>
  <c r="S32" i="4"/>
  <c r="H18" i="8" s="1"/>
  <c r="J30" i="4"/>
  <c r="J31" i="4" s="1"/>
  <c r="K30" i="4"/>
  <c r="K31" i="4" s="1"/>
  <c r="U16" i="4"/>
  <c r="S16" i="4" s="1"/>
  <c r="S32" i="5"/>
  <c r="H13" i="8" s="1"/>
  <c r="J30" i="5"/>
  <c r="J31" i="5" s="1"/>
  <c r="K30" i="5"/>
  <c r="K31" i="5" s="1"/>
  <c r="U16" i="5"/>
  <c r="S16" i="5" s="1"/>
  <c r="S32" i="6"/>
  <c r="H8" i="8" s="1"/>
  <c r="J30" i="6"/>
  <c r="J31" i="6" s="1"/>
  <c r="K30" i="6"/>
  <c r="K31" i="6" s="1"/>
  <c r="U16" i="6"/>
  <c r="E11" i="8" s="1"/>
  <c r="AD25" i="2"/>
  <c r="AI25" i="2"/>
  <c r="Z32" i="2"/>
  <c r="Z33" i="2" s="1"/>
  <c r="S31" i="2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34" i="8"/>
  <c r="H32" i="8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S16" i="2" l="1"/>
  <c r="C32" i="2"/>
  <c r="O32" i="2" s="1"/>
  <c r="L33" i="8" s="1"/>
  <c r="E36" i="8"/>
  <c r="V32" i="8"/>
  <c r="S16" i="1"/>
  <c r="E31" i="8"/>
  <c r="O32" i="1"/>
  <c r="E26" i="8"/>
  <c r="R16" i="3"/>
  <c r="C32" i="4"/>
  <c r="P32" i="4" s="1"/>
  <c r="R16" i="4"/>
  <c r="R16" i="5"/>
  <c r="C32" i="5"/>
  <c r="P32" i="5" s="1"/>
  <c r="R16" i="6"/>
  <c r="S16" i="6"/>
  <c r="U25" i="1"/>
  <c r="K32" i="1"/>
  <c r="T16" i="1"/>
  <c r="N32" i="1"/>
  <c r="Q32" i="1"/>
  <c r="U25" i="3"/>
  <c r="T16" i="3"/>
  <c r="K32" i="3"/>
  <c r="P32" i="3"/>
  <c r="Q32" i="3"/>
  <c r="N32" i="3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Q32" i="2" l="1"/>
  <c r="L35" i="8" s="1"/>
  <c r="T16" i="2"/>
  <c r="P32" i="2"/>
  <c r="L34" i="8" s="1"/>
  <c r="K32" i="2"/>
  <c r="N32" i="2"/>
  <c r="L32" i="8" s="1"/>
  <c r="U25" i="2"/>
  <c r="N32" i="4"/>
  <c r="T16" i="4"/>
  <c r="K32" i="4"/>
  <c r="Q32" i="4"/>
  <c r="O32" i="4"/>
  <c r="U25" i="4"/>
  <c r="N32" i="5"/>
  <c r="T16" i="5"/>
  <c r="U25" i="5"/>
  <c r="Q32" i="5"/>
  <c r="K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L25" i="8"/>
  <c r="H24" i="8"/>
  <c r="L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<sst xmlns="http://schemas.openxmlformats.org/spreadsheetml/2006/main" count="1623" uniqueCount="359">
  <si>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</si>
  <si>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</si>
  <si>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</si>
  <si>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</si>
  <si>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</si>
  <si>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</si>
  <si>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</si>
  <si>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</si>
  <si>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</si>
  <si>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</si>
  <si>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</si>
  <si>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</si>
  <si>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</si>
  <si>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</si>
  <si>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</si>
  <si>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</si>
  <si>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</si>
  <si>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</si>
  <si>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</si>
  <si>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</si>
  <si>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</si>
  <si>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</si>
  <si>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</si>
  <si>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</si>
  <si>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</si>
  <si>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</si>
  <si>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</si>
  <si>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</si>
  <si>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</si>
  <si>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</si>
  <si>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</si>
  <si>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</si>
  <si>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</si>
  <si>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</si>
  <si>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</si>
  <si>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</si>
  <si>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</si>
  <si>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</si>
  <si>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</si>
  <si>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</si>
  <si>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</si>
  <si>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</si>
  <si>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</si>
  <si>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</si>
  <si>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</si>
  <si>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</si>
  <si>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</si>
  <si>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</si>
  <si>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</si>
  <si>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</si>
  <si>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</si>
  <si>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</si>
  <si>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</si>
  <si>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</si>
  <si>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</si>
  <si>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</si>
  <si>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</si>
  <si>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</si>
  <si>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</si>
  <si>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</si>
  <si>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</si>
  <si>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</si>
  <si>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</si>
  <si>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</si>
  <si>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</si>
  <si>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</si>
  <si>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</si>
  <si>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</si>
  <si>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</si>
  <si>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</si>
  <si>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</si>
  <si>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</si>
  <si>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</si>
  <si>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</si>
  <si>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</si>
  <si>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</si>
  <si>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</si>
  <si>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</si>
  <si>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</si>
  <si>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</si>
  <si>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</si>
  <si>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</si>
  <si>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</si>
  <si>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</si>
  <si>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</si>
  <si>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</si>
  <si>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</si>
  <si>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</si>
  <si>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</si>
  <si>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</si>
  <si>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</si>
  <si>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</si>
  <si>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</si>
  <si>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</si>
  <si>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</si>
  <si>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</si>
  <si>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</si>
  <si>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29 - 8 - 2022</t>
    <phoneticPr fontId="3" type="noConversion"/>
  </si>
  <si>
    <t>CLOUDY</t>
    <phoneticPr fontId="3" type="noConversion"/>
  </si>
  <si>
    <t>HENDRA</t>
    <phoneticPr fontId="3" type="noConversion"/>
  </si>
  <si>
    <t>JUNIOR</t>
    <phoneticPr fontId="3" type="noConversion"/>
  </si>
  <si>
    <t>ARIANTO</t>
    <phoneticPr fontId="3" type="noConversion"/>
  </si>
  <si>
    <t>KUROSH</t>
    <phoneticPr fontId="3" type="noConversion"/>
  </si>
  <si>
    <t>CALLAN OCTEC</t>
    <phoneticPr fontId="3" type="noConversion"/>
  </si>
  <si>
    <t>DARRYLEENNE OCTEC</t>
    <phoneticPr fontId="3" type="noConversion"/>
  </si>
  <si>
    <t>MONA</t>
    <phoneticPr fontId="3" type="noConversion"/>
  </si>
  <si>
    <t>MONA TRIAL NEW STAFF</t>
    <phoneticPr fontId="3" type="noConversion"/>
  </si>
  <si>
    <t>OCTEC: LUNCH 1/2 HOURS UNPAID</t>
    <phoneticPr fontId="3" type="noConversion"/>
  </si>
  <si>
    <t>GBI</t>
    <phoneticPr fontId="3" type="noConversion"/>
  </si>
  <si>
    <t>0415888891</t>
    <phoneticPr fontId="3" type="noConversion"/>
  </si>
  <si>
    <t>H</t>
    <phoneticPr fontId="3" type="noConversion"/>
  </si>
  <si>
    <t>VV2888</t>
    <phoneticPr fontId="3" type="noConversion"/>
  </si>
  <si>
    <t>0408844728</t>
    <phoneticPr fontId="3" type="noConversion"/>
  </si>
  <si>
    <t>PCL</t>
    <phoneticPr fontId="3" type="noConversion"/>
  </si>
  <si>
    <t>22058(2/6)</t>
    <phoneticPr fontId="3" type="noConversion"/>
  </si>
  <si>
    <t>DQV74S</t>
    <phoneticPr fontId="3" type="noConversion"/>
  </si>
  <si>
    <t>0416808517</t>
    <phoneticPr fontId="3" type="noConversion"/>
  </si>
  <si>
    <t>X</t>
    <phoneticPr fontId="3" type="noConversion"/>
  </si>
  <si>
    <t>NCB76H</t>
    <phoneticPr fontId="3" type="noConversion"/>
  </si>
  <si>
    <t>0411727470</t>
    <phoneticPr fontId="3" type="noConversion"/>
  </si>
  <si>
    <t>$5 OFF CASH</t>
    <phoneticPr fontId="3" type="noConversion"/>
  </si>
  <si>
    <t>EDW37U</t>
    <phoneticPr fontId="3" type="noConversion"/>
  </si>
  <si>
    <t>0477887477</t>
    <phoneticPr fontId="3" type="noConversion"/>
  </si>
  <si>
    <t>98CHUD</t>
    <phoneticPr fontId="3" type="noConversion"/>
  </si>
  <si>
    <t>0403552027</t>
    <phoneticPr fontId="3" type="noConversion"/>
  </si>
  <si>
    <t>S/D</t>
    <phoneticPr fontId="3" type="noConversion"/>
  </si>
  <si>
    <t>DCN78A</t>
    <phoneticPr fontId="3" type="noConversion"/>
  </si>
  <si>
    <t>0412125669</t>
    <phoneticPr fontId="3" type="noConversion"/>
  </si>
  <si>
    <t>D</t>
    <phoneticPr fontId="3" type="noConversion"/>
  </si>
  <si>
    <t>CDE13U</t>
    <phoneticPr fontId="3" type="noConversion"/>
  </si>
  <si>
    <t>0450920428</t>
    <phoneticPr fontId="3" type="noConversion"/>
  </si>
  <si>
    <t>ERF72D</t>
    <phoneticPr fontId="3" type="noConversion"/>
  </si>
  <si>
    <t>0414724920</t>
    <phoneticPr fontId="3" type="noConversion"/>
  </si>
  <si>
    <t>BFX88V</t>
    <phoneticPr fontId="3" type="noConversion"/>
  </si>
  <si>
    <t>0404117259</t>
    <phoneticPr fontId="3" type="noConversion"/>
  </si>
  <si>
    <t>CN800</t>
    <phoneticPr fontId="3" type="noConversion"/>
  </si>
  <si>
    <t>0418882000</t>
    <phoneticPr fontId="3" type="noConversion"/>
  </si>
  <si>
    <t>DWM33E</t>
    <phoneticPr fontId="3" type="noConversion"/>
  </si>
  <si>
    <t>0404625277</t>
    <phoneticPr fontId="3" type="noConversion"/>
  </si>
  <si>
    <t>D/CLAY</t>
    <phoneticPr fontId="3" type="noConversion"/>
  </si>
  <si>
    <t>ETJ04Y</t>
    <phoneticPr fontId="3" type="noConversion"/>
  </si>
  <si>
    <t>0450603985</t>
    <phoneticPr fontId="3" type="noConversion"/>
  </si>
  <si>
    <t>YBK23Y</t>
    <phoneticPr fontId="3" type="noConversion"/>
  </si>
  <si>
    <t>0413111450</t>
    <phoneticPr fontId="3" type="noConversion"/>
  </si>
  <si>
    <t>PCS</t>
    <phoneticPr fontId="3" type="noConversion"/>
  </si>
  <si>
    <t>22011(4/6)</t>
    <phoneticPr fontId="3" type="noConversion"/>
  </si>
  <si>
    <t>AMB030</t>
    <phoneticPr fontId="3" type="noConversion"/>
  </si>
  <si>
    <t>0430294924</t>
    <phoneticPr fontId="3" type="noConversion"/>
  </si>
  <si>
    <t>CSX83U</t>
    <phoneticPr fontId="3" type="noConversion"/>
  </si>
  <si>
    <t>0404553389</t>
    <phoneticPr fontId="3" type="noConversion"/>
  </si>
  <si>
    <t>W/O</t>
    <phoneticPr fontId="3" type="noConversion"/>
  </si>
  <si>
    <t>DDA89U</t>
    <phoneticPr fontId="3" type="noConversion"/>
  </si>
  <si>
    <t>0488682806</t>
    <phoneticPr fontId="3" type="noConversion"/>
  </si>
  <si>
    <t>DD2018</t>
    <phoneticPr fontId="3" type="noConversion"/>
  </si>
  <si>
    <t>0413880446</t>
    <phoneticPr fontId="3" type="noConversion"/>
  </si>
  <si>
    <t xml:space="preserve">MONA </t>
    <phoneticPr fontId="3" type="noConversion"/>
  </si>
  <si>
    <t>OCTEC: 1/2 HOURS LUNCH UNPAID</t>
    <phoneticPr fontId="3" type="noConversion"/>
  </si>
  <si>
    <t>DWS81Q</t>
    <phoneticPr fontId="3" type="noConversion"/>
  </si>
  <si>
    <t>0410585800</t>
    <phoneticPr fontId="3" type="noConversion"/>
  </si>
  <si>
    <t>DMT74C</t>
    <phoneticPr fontId="3" type="noConversion"/>
  </si>
  <si>
    <t>0410696194</t>
    <phoneticPr fontId="3" type="noConversion"/>
  </si>
  <si>
    <t>NBV17W</t>
    <phoneticPr fontId="3" type="noConversion"/>
  </si>
  <si>
    <t>0438772558</t>
    <phoneticPr fontId="3" type="noConversion"/>
  </si>
  <si>
    <t>CZB87J</t>
    <phoneticPr fontId="3" type="noConversion"/>
  </si>
  <si>
    <t>0422527231</t>
    <phoneticPr fontId="3" type="noConversion"/>
  </si>
  <si>
    <t>TAX</t>
    <phoneticPr fontId="3" type="noConversion"/>
  </si>
  <si>
    <t>DXA16Z</t>
    <phoneticPr fontId="3" type="noConversion"/>
  </si>
  <si>
    <t>0414905128</t>
    <phoneticPr fontId="3" type="noConversion"/>
  </si>
  <si>
    <t>VAS005</t>
    <phoneticPr fontId="3" type="noConversion"/>
  </si>
  <si>
    <t>0438212888</t>
    <phoneticPr fontId="3" type="noConversion"/>
  </si>
  <si>
    <t>DBM20L</t>
    <phoneticPr fontId="3" type="noConversion"/>
  </si>
  <si>
    <t>0412758760</t>
    <phoneticPr fontId="3" type="noConversion"/>
  </si>
  <si>
    <t>DVL10H</t>
    <phoneticPr fontId="3" type="noConversion"/>
  </si>
  <si>
    <t>0413872431</t>
    <phoneticPr fontId="3" type="noConversion"/>
  </si>
  <si>
    <t>22038(1/6)</t>
    <phoneticPr fontId="3" type="noConversion"/>
  </si>
  <si>
    <t>DYB76Y</t>
    <phoneticPr fontId="3" type="noConversion"/>
  </si>
  <si>
    <t>0439466346</t>
    <phoneticPr fontId="3" type="noConversion"/>
  </si>
  <si>
    <t>NKJ</t>
    <phoneticPr fontId="3" type="noConversion"/>
  </si>
  <si>
    <t>0420252220</t>
    <phoneticPr fontId="3" type="noConversion"/>
  </si>
  <si>
    <t>EQT73F</t>
    <phoneticPr fontId="3" type="noConversion"/>
  </si>
  <si>
    <t>0421254627</t>
    <phoneticPr fontId="3" type="noConversion"/>
  </si>
  <si>
    <t>22009(3/6)</t>
    <phoneticPr fontId="3" type="noConversion"/>
  </si>
  <si>
    <t>DBV65P</t>
    <phoneticPr fontId="3" type="noConversion"/>
  </si>
  <si>
    <t>0488890248</t>
    <phoneticPr fontId="3" type="noConversion"/>
  </si>
  <si>
    <t>22074(1/6)</t>
    <phoneticPr fontId="3" type="noConversion"/>
  </si>
  <si>
    <t>BER28W</t>
    <phoneticPr fontId="3" type="noConversion"/>
  </si>
  <si>
    <t>0400194999</t>
    <phoneticPr fontId="3" type="noConversion"/>
  </si>
  <si>
    <t>EJF45S</t>
    <phoneticPr fontId="3" type="noConversion"/>
  </si>
  <si>
    <t>0466634007</t>
    <phoneticPr fontId="3" type="noConversion"/>
  </si>
  <si>
    <t>CXX61S</t>
    <phoneticPr fontId="3" type="noConversion"/>
  </si>
  <si>
    <t>0424889886</t>
    <phoneticPr fontId="3" type="noConversion"/>
  </si>
  <si>
    <t>22075(1/6)</t>
    <phoneticPr fontId="3" type="noConversion"/>
  </si>
  <si>
    <t>CNP58Y</t>
    <phoneticPr fontId="3" type="noConversion"/>
  </si>
  <si>
    <t>0432525410</t>
    <phoneticPr fontId="3" type="noConversion"/>
  </si>
  <si>
    <t>31 - 8 - 2022</t>
    <phoneticPr fontId="3" type="noConversion"/>
  </si>
  <si>
    <t>SUNNY</t>
    <phoneticPr fontId="3" type="noConversion"/>
  </si>
  <si>
    <t>JAMES</t>
    <phoneticPr fontId="3" type="noConversion"/>
  </si>
  <si>
    <t>CSI94H</t>
    <phoneticPr fontId="3" type="noConversion"/>
  </si>
  <si>
    <t>???</t>
    <phoneticPr fontId="3" type="noConversion"/>
  </si>
  <si>
    <t>DAJ33N</t>
    <phoneticPr fontId="3" type="noConversion"/>
  </si>
  <si>
    <t>0450070773</t>
    <phoneticPr fontId="3" type="noConversion"/>
  </si>
  <si>
    <t>DJF90D</t>
    <phoneticPr fontId="3" type="noConversion"/>
  </si>
  <si>
    <t>0450802939</t>
    <phoneticPr fontId="3" type="noConversion"/>
  </si>
  <si>
    <t>CXC37U</t>
    <phoneticPr fontId="3" type="noConversion"/>
  </si>
  <si>
    <t>0409921951</t>
    <phoneticPr fontId="3" type="noConversion"/>
  </si>
  <si>
    <t>KMD283</t>
    <phoneticPr fontId="3" type="noConversion"/>
  </si>
  <si>
    <t>0427023885</t>
    <phoneticPr fontId="3" type="noConversion"/>
  </si>
  <si>
    <t>DVK60U</t>
    <phoneticPr fontId="3" type="noConversion"/>
  </si>
  <si>
    <t>0422809380</t>
    <phoneticPr fontId="3" type="noConversion"/>
  </si>
  <si>
    <t>BFE86C</t>
    <phoneticPr fontId="3" type="noConversion"/>
  </si>
  <si>
    <t>0435065659</t>
    <phoneticPr fontId="3" type="noConversion"/>
  </si>
  <si>
    <t>04MWS</t>
    <phoneticPr fontId="3" type="noConversion"/>
  </si>
  <si>
    <t>0412190462</t>
    <phoneticPr fontId="3" type="noConversion"/>
  </si>
  <si>
    <t>FD</t>
    <phoneticPr fontId="3" type="noConversion"/>
  </si>
  <si>
    <t>YDX79Q</t>
    <phoneticPr fontId="3" type="noConversion"/>
  </si>
  <si>
    <t>0412255345</t>
    <phoneticPr fontId="3" type="noConversion"/>
  </si>
  <si>
    <t>DTM54L</t>
    <phoneticPr fontId="3" type="noConversion"/>
  </si>
  <si>
    <t>0415775687</t>
    <phoneticPr fontId="3" type="noConversion"/>
  </si>
  <si>
    <t>22076(1/6)</t>
    <phoneticPr fontId="3" type="noConversion"/>
  </si>
  <si>
    <t>DWE16U</t>
    <phoneticPr fontId="3" type="noConversion"/>
  </si>
  <si>
    <t>0407203393</t>
    <phoneticPr fontId="3" type="noConversion"/>
  </si>
  <si>
    <t>D/ST</t>
    <phoneticPr fontId="3" type="noConversion"/>
  </si>
  <si>
    <t>OJEOO</t>
    <phoneticPr fontId="3" type="noConversion"/>
  </si>
  <si>
    <t>0424384598</t>
    <phoneticPr fontId="3" type="noConversion"/>
  </si>
  <si>
    <t>PCM</t>
    <phoneticPr fontId="3" type="noConversion"/>
  </si>
  <si>
    <t>22002(4/6)</t>
    <phoneticPr fontId="3" type="noConversion"/>
  </si>
  <si>
    <t>NO.13: XD50112-118</t>
    <phoneticPr fontId="3" type="noConversion"/>
  </si>
  <si>
    <t>YLA18S</t>
    <phoneticPr fontId="3" type="noConversion"/>
  </si>
  <si>
    <t>0492950788</t>
    <phoneticPr fontId="3" type="noConversion"/>
  </si>
  <si>
    <t>EW512</t>
    <phoneticPr fontId="3" type="noConversion"/>
  </si>
  <si>
    <t>0414188113</t>
    <phoneticPr fontId="3" type="noConversion"/>
  </si>
  <si>
    <t>DDH71P</t>
    <phoneticPr fontId="3" type="noConversion"/>
  </si>
  <si>
    <t>0408974954</t>
    <phoneticPr fontId="3" type="noConversion"/>
  </si>
  <si>
    <t>OMB11A</t>
    <phoneticPr fontId="3" type="noConversion"/>
  </si>
  <si>
    <t>0421084919</t>
    <phoneticPr fontId="3" type="noConversion"/>
  </si>
  <si>
    <t>BLKSWN</t>
    <phoneticPr fontId="3" type="noConversion"/>
  </si>
  <si>
    <t>0450497490</t>
    <phoneticPr fontId="3" type="noConversion"/>
  </si>
  <si>
    <t>ST BABY SEAT</t>
    <phoneticPr fontId="3" type="noConversion"/>
  </si>
  <si>
    <t>EGF83X</t>
    <phoneticPr fontId="3" type="noConversion"/>
  </si>
  <si>
    <t>0427558655</t>
    <phoneticPr fontId="3" type="noConversion"/>
  </si>
  <si>
    <t>HD093</t>
    <phoneticPr fontId="3" type="noConversion"/>
  </si>
  <si>
    <t>0413750778</t>
    <phoneticPr fontId="3" type="noConversion"/>
  </si>
  <si>
    <t>DPU75P</t>
    <phoneticPr fontId="3" type="noConversion"/>
  </si>
  <si>
    <t>0421088523</t>
    <phoneticPr fontId="3" type="noConversion"/>
  </si>
  <si>
    <t>KT267</t>
    <phoneticPr fontId="3" type="noConversion"/>
  </si>
  <si>
    <t>0412079851</t>
    <phoneticPr fontId="3" type="noConversion"/>
  </si>
  <si>
    <t>1 - 9 - 2022</t>
    <phoneticPr fontId="3" type="noConversion"/>
  </si>
  <si>
    <t>DARRYLEENNE</t>
    <phoneticPr fontId="3" type="noConversion"/>
  </si>
  <si>
    <t>OCTEC :LUNCH 1/2 HOURS UNPAID</t>
    <phoneticPr fontId="3" type="noConversion"/>
  </si>
  <si>
    <t>CGF75S</t>
    <phoneticPr fontId="3" type="noConversion"/>
  </si>
  <si>
    <t>0400216782</t>
    <phoneticPr fontId="3" type="noConversion"/>
  </si>
  <si>
    <t>CDL02D</t>
    <phoneticPr fontId="3" type="noConversion"/>
  </si>
  <si>
    <t>0416272041</t>
    <phoneticPr fontId="3" type="noConversion"/>
  </si>
  <si>
    <t>ELZ73S</t>
    <phoneticPr fontId="3" type="noConversion"/>
  </si>
  <si>
    <t>CRQ96X</t>
    <phoneticPr fontId="3" type="noConversion"/>
  </si>
  <si>
    <t>0408062082</t>
    <phoneticPr fontId="3" type="noConversion"/>
  </si>
  <si>
    <t>$5 Off CASH</t>
    <phoneticPr fontId="3" type="noConversion"/>
  </si>
  <si>
    <t>AZY83M</t>
    <phoneticPr fontId="3" type="noConversion"/>
  </si>
  <si>
    <t>JPT001</t>
    <phoneticPr fontId="3" type="noConversion"/>
  </si>
  <si>
    <t>0457525581</t>
    <phoneticPr fontId="3" type="noConversion"/>
  </si>
  <si>
    <t>EDW73T</t>
    <phoneticPr fontId="3" type="noConversion"/>
  </si>
  <si>
    <t>0412336701</t>
    <phoneticPr fontId="3" type="noConversion"/>
  </si>
  <si>
    <t>IL333</t>
    <phoneticPr fontId="3" type="noConversion"/>
  </si>
  <si>
    <t>0432333383</t>
    <phoneticPr fontId="3" type="noConversion"/>
  </si>
  <si>
    <t>DZM68A</t>
    <phoneticPr fontId="3" type="noConversion"/>
  </si>
  <si>
    <t>0430876662</t>
    <phoneticPr fontId="3" type="noConversion"/>
  </si>
  <si>
    <t>ERK71G</t>
    <phoneticPr fontId="3" type="noConversion"/>
  </si>
  <si>
    <t>0449922881</t>
    <phoneticPr fontId="3" type="noConversion"/>
  </si>
  <si>
    <t>DZR43G</t>
    <phoneticPr fontId="3" type="noConversion"/>
  </si>
  <si>
    <t>0414331922</t>
    <phoneticPr fontId="3" type="noConversion"/>
  </si>
  <si>
    <t>NXQ74D</t>
    <phoneticPr fontId="3" type="noConversion"/>
  </si>
  <si>
    <t>0408518552</t>
    <phoneticPr fontId="3" type="noConversion"/>
  </si>
  <si>
    <t>CLD21X</t>
    <phoneticPr fontId="3" type="noConversion"/>
  </si>
  <si>
    <t>0433797997</t>
    <phoneticPr fontId="3" type="noConversion"/>
  </si>
  <si>
    <t>DPM18V</t>
    <phoneticPr fontId="3" type="noConversion"/>
  </si>
  <si>
    <t>0414986752</t>
    <phoneticPr fontId="3" type="noConversion"/>
  </si>
  <si>
    <t>MK0238</t>
    <phoneticPr fontId="3" type="noConversion"/>
  </si>
  <si>
    <t>0414275233</t>
    <phoneticPr fontId="3" type="noConversion"/>
  </si>
  <si>
    <t>D/LTH</t>
    <phoneticPr fontId="3" type="noConversion"/>
  </si>
  <si>
    <t>ANDREW OCTEC</t>
    <phoneticPr fontId="3" type="noConversion"/>
  </si>
  <si>
    <t>XD50-001,119-123</t>
    <phoneticPr fontId="3" type="noConversion"/>
  </si>
  <si>
    <t>CEO44Q</t>
    <phoneticPr fontId="3" type="noConversion"/>
  </si>
  <si>
    <t>0416065501</t>
    <phoneticPr fontId="3" type="noConversion"/>
  </si>
  <si>
    <t>AZN92D</t>
    <phoneticPr fontId="3" type="noConversion"/>
  </si>
  <si>
    <t>0413690099</t>
    <phoneticPr fontId="3" type="noConversion"/>
  </si>
  <si>
    <t>BKA12H</t>
    <phoneticPr fontId="3" type="noConversion"/>
  </si>
  <si>
    <t>0491179555</t>
    <phoneticPr fontId="3" type="noConversion"/>
  </si>
  <si>
    <t>DYV95L</t>
    <phoneticPr fontId="3" type="noConversion"/>
  </si>
  <si>
    <t>0404518884</t>
    <phoneticPr fontId="3" type="noConversion"/>
  </si>
  <si>
    <t>2 - 9 - 2022</t>
    <phoneticPr fontId="3" type="noConversion"/>
  </si>
  <si>
    <t>VINNY</t>
    <phoneticPr fontId="3" type="noConversion"/>
  </si>
  <si>
    <t>ECM03U</t>
    <phoneticPr fontId="3" type="noConversion"/>
  </si>
  <si>
    <t>0499790016</t>
    <phoneticPr fontId="3" type="noConversion"/>
  </si>
  <si>
    <t>EIO39K</t>
    <phoneticPr fontId="3" type="noConversion"/>
  </si>
  <si>
    <t>0408095095</t>
    <phoneticPr fontId="3" type="noConversion"/>
  </si>
  <si>
    <t>NBR48D</t>
    <phoneticPr fontId="3" type="noConversion"/>
  </si>
  <si>
    <t>0407213067</t>
    <phoneticPr fontId="3" type="noConversion"/>
  </si>
  <si>
    <t>SIM81L</t>
    <phoneticPr fontId="3" type="noConversion"/>
  </si>
  <si>
    <t>0408963629</t>
    <phoneticPr fontId="3" type="noConversion"/>
  </si>
  <si>
    <t>DAC91V</t>
    <phoneticPr fontId="3" type="noConversion"/>
  </si>
  <si>
    <t>0402147756</t>
    <phoneticPr fontId="3" type="noConversion"/>
  </si>
  <si>
    <t>DFG74J</t>
    <phoneticPr fontId="3" type="noConversion"/>
  </si>
  <si>
    <t>0422666147</t>
    <phoneticPr fontId="3" type="noConversion"/>
  </si>
  <si>
    <t>ZIJ297</t>
    <phoneticPr fontId="3" type="noConversion"/>
  </si>
  <si>
    <t>0402028840</t>
    <phoneticPr fontId="3" type="noConversion"/>
  </si>
  <si>
    <t>CSE98Z</t>
    <phoneticPr fontId="3" type="noConversion"/>
  </si>
  <si>
    <t>0403999070</t>
    <phoneticPr fontId="3" type="noConversion"/>
  </si>
  <si>
    <t>CDD62Z</t>
    <phoneticPr fontId="3" type="noConversion"/>
  </si>
  <si>
    <t>0412688789</t>
    <phoneticPr fontId="3" type="noConversion"/>
  </si>
  <si>
    <t>GW8880</t>
    <phoneticPr fontId="3" type="noConversion"/>
  </si>
  <si>
    <t>0423393658</t>
    <phoneticPr fontId="3" type="noConversion"/>
  </si>
  <si>
    <t>BNO96P</t>
    <phoneticPr fontId="3" type="noConversion"/>
  </si>
  <si>
    <t>0432893812</t>
    <phoneticPr fontId="3" type="noConversion"/>
  </si>
  <si>
    <t>CYV67X</t>
    <phoneticPr fontId="3" type="noConversion"/>
  </si>
  <si>
    <t>0414668960</t>
    <phoneticPr fontId="3" type="noConversion"/>
  </si>
  <si>
    <t>03-09-2022</t>
    <phoneticPr fontId="3" type="noConversion"/>
  </si>
  <si>
    <t>F</t>
  </si>
  <si>
    <t>XD50-039</t>
    <phoneticPr fontId="3" type="noConversion"/>
  </si>
  <si>
    <t>CMT86H</t>
    <phoneticPr fontId="3" type="noConversion"/>
  </si>
  <si>
    <t>0403881779</t>
    <phoneticPr fontId="3" type="noConversion"/>
  </si>
  <si>
    <t>EKV15K</t>
    <phoneticPr fontId="3" type="noConversion"/>
  </si>
  <si>
    <t>0418215719</t>
    <phoneticPr fontId="3" type="noConversion"/>
  </si>
  <si>
    <t>EPW65B</t>
    <phoneticPr fontId="3" type="noConversion"/>
  </si>
  <si>
    <t>0432565750</t>
    <phoneticPr fontId="3" type="noConversion"/>
  </si>
  <si>
    <t>XX061</t>
    <phoneticPr fontId="3" type="noConversion"/>
  </si>
  <si>
    <t>0412372324</t>
    <phoneticPr fontId="3" type="noConversion"/>
  </si>
  <si>
    <t>202853(4/6)</t>
    <phoneticPr fontId="3" type="noConversion"/>
  </si>
  <si>
    <t>CP97KZ</t>
    <phoneticPr fontId="3" type="noConversion"/>
  </si>
  <si>
    <t>0410633690</t>
    <phoneticPr fontId="3" type="noConversion"/>
  </si>
  <si>
    <t>EEX77M</t>
    <phoneticPr fontId="3" type="noConversion"/>
  </si>
  <si>
    <t>0419117237</t>
    <phoneticPr fontId="3" type="noConversion"/>
  </si>
  <si>
    <t>JOHN</t>
    <phoneticPr fontId="3" type="noConversion"/>
  </si>
  <si>
    <t>RAIN</t>
    <phoneticPr fontId="3" type="noConversion"/>
  </si>
  <si>
    <t>DDW89C</t>
    <phoneticPr fontId="3" type="noConversion"/>
  </si>
  <si>
    <t>0448104464</t>
    <phoneticPr fontId="3" type="noConversion"/>
  </si>
  <si>
    <t>EHI71H</t>
    <phoneticPr fontId="3" type="noConversion"/>
  </si>
  <si>
    <t>0431499861</t>
    <phoneticPr fontId="3" type="noConversion"/>
  </si>
  <si>
    <t>AHG851</t>
    <phoneticPr fontId="3" type="noConversion"/>
  </si>
  <si>
    <t>0434589232</t>
    <phoneticPr fontId="3" type="noConversion"/>
  </si>
  <si>
    <t>DKA66S</t>
    <phoneticPr fontId="3" type="noConversion"/>
  </si>
  <si>
    <t>0447363580</t>
    <phoneticPr fontId="3" type="noConversion"/>
  </si>
  <si>
    <t>X/ST</t>
    <phoneticPr fontId="3" type="noConversion"/>
  </si>
  <si>
    <t>04-09-2022</t>
    <phoneticPr fontId="3" type="noConversion"/>
  </si>
  <si>
    <t>IU707</t>
    <phoneticPr fontId="3" type="noConversion"/>
  </si>
  <si>
    <t>0419581647</t>
    <phoneticPr fontId="3" type="noConversion"/>
  </si>
  <si>
    <t>M</t>
  </si>
  <si>
    <t>ERE60R</t>
    <phoneticPr fontId="3" type="noConversion"/>
  </si>
  <si>
    <t>0416149832</t>
    <phoneticPr fontId="3" type="noConversion"/>
  </si>
  <si>
    <t>EKW98L</t>
    <phoneticPr fontId="3" type="noConversion"/>
  </si>
  <si>
    <t>0404627225</t>
    <phoneticPr fontId="3" type="noConversion"/>
  </si>
  <si>
    <t>CYW85P</t>
    <phoneticPr fontId="3" type="noConversion"/>
  </si>
  <si>
    <t>0481788095</t>
    <phoneticPr fontId="3" type="noConversion"/>
  </si>
  <si>
    <t>22055(2/6)</t>
    <phoneticPr fontId="3" type="noConversion"/>
  </si>
  <si>
    <t>ENW21G</t>
    <phoneticPr fontId="3" type="noConversion"/>
  </si>
  <si>
    <t>0416633751</t>
    <phoneticPr fontId="3" type="noConversion"/>
  </si>
  <si>
    <t>EWA76V</t>
    <phoneticPr fontId="3" type="noConversion"/>
  </si>
  <si>
    <t>0425827700</t>
    <phoneticPr fontId="3" type="noConversion"/>
  </si>
  <si>
    <t>CLOUDY&amp;RAIN</t>
    <phoneticPr fontId="3" type="noConversion"/>
  </si>
  <si>
    <t>30-8-2022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</si>
</sst>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24" formatCode="\$#,##0_);[Red]\(\$#,##0\)"/>
    <numFmt numFmtId="26" formatCode="\$#,##0.00_);[Red]\(\$#,##0.00\)"/>
    <numFmt numFmtId="176" formatCode="_-&quot;₩&quot;* #,##0_-;\-&quot;₩&quot;* #,##0_-;_-&quot;₩&quot;* &quot;-&quot;_-;_-@_-"/>
    <numFmt numFmtId="177" formatCode="\$#,##0.00"/>
    <numFmt numFmtId="178" formatCode="h:mm;@"/>
    <numFmt numFmtId="179" formatCode="0.00_);[Red]\(0.00\)"/>
    <numFmt numFmtId="180" formatCode="0_);[Red]\(0\)"/>
    <numFmt numFmtId="181" formatCode="0.00_ "/>
    <numFmt numFmtId="182" formatCode="#,##0.0;[Red]#,##0.0"/>
    <numFmt numFmtId="183" formatCode="[$$-C09]#,##0.00"/>
    <numFmt numFmtId="184" formatCode="_-\$* #,##0.00_ ;_-\$* \-#,##0.00\ ;_-\$* &quot;-&quot;??_ ;_-@_ "/>
    <numFmt numFmtId="185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theme="5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29">
    <xf numFmtId="0" fontId="0" fillId="0" borderId="0" xfId="0"/>
    <xf numFmtId="0" fontId="0" fillId="0" borderId="10" xfId="0" applyBorder="1"/>
    <xf numFmtId="178" fontId="0" fillId="0" borderId="3" xfId="0" applyNumberFormat="1" applyBorder="1"/>
    <xf numFmtId="178" fontId="0" fillId="0" borderId="5" xfId="0" applyNumberFormat="1" applyBorder="1"/>
    <xf numFmtId="179" fontId="0" fillId="0" borderId="16" xfId="0" applyNumberFormat="1" applyBorder="1"/>
    <xf numFmtId="0" fontId="0" fillId="0" borderId="9" xfId="0" applyBorder="1"/>
    <xf numFmtId="178" fontId="0" fillId="0" borderId="1" xfId="0" applyNumberFormat="1" applyBorder="1"/>
    <xf numFmtId="178" fontId="0" fillId="0" borderId="2" xfId="0" applyNumberFormat="1" applyBorder="1"/>
    <xf numFmtId="179" fontId="0" fillId="0" borderId="15" xfId="0" applyNumberFormat="1" applyBorder="1"/>
    <xf numFmtId="0" fontId="0" fillId="0" borderId="25" xfId="0" applyBorder="1" applyAlignment="1">
      <alignment shrinkToFit="1"/>
    </xf>
    <xf numFmtId="178" fontId="0" fillId="0" borderId="25" xfId="0" applyNumberFormat="1" applyBorder="1" applyAlignment="1">
      <alignment shrinkToFit="1"/>
    </xf>
    <xf numFmtId="179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8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76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8" fontId="0" fillId="2" borderId="4" xfId="0" applyNumberFormat="1" applyFill="1" applyBorder="1" applyAlignment="1">
      <alignment horizontal="center" shrinkToFit="1"/>
    </xf>
    <xf numFmtId="17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3" fontId="0" fillId="0" borderId="0" xfId="0" applyNumberFormat="1" applyAlignment="1">
      <alignment shrinkToFit="1"/>
    </xf>
    <xf numFmtId="17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7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1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3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2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1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8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9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7" fontId="6" fillId="0" borderId="1" xfId="0" applyNumberFormat="1" applyFont="1" applyBorder="1" applyAlignment="1">
      <alignment vertical="center" shrinkToFit="1"/>
    </xf>
    <xf numFmtId="177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9" fontId="4" fillId="6" borderId="12" xfId="0" applyNumberFormat="1" applyFont="1" applyFill="1" applyBorder="1" applyAlignment="1">
      <alignment shrinkToFit="1"/>
    </xf>
    <xf numFmtId="179" fontId="4" fillId="6" borderId="12" xfId="0" applyNumberFormat="1" applyFont="1" applyFill="1" applyBorder="1" applyAlignment="1">
      <alignment horizontal="center" shrinkToFit="1"/>
    </xf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9" fontId="4" fillId="6" borderId="41" xfId="0" applyNumberFormat="1" applyFont="1" applyFill="1" applyBorder="1" applyAlignment="1">
      <alignment horizontal="center" shrinkToFit="1"/>
    </xf>
    <xf numFmtId="179" fontId="15" fillId="2" borderId="1" xfId="3" applyNumberFormat="1" applyFont="1" applyFill="1" applyBorder="1" applyAlignment="1">
      <alignment horizontal="center" shrinkToFit="1"/>
    </xf>
    <xf numFmtId="179" fontId="0" fillId="2" borderId="1" xfId="0" applyNumberFormat="1" applyFill="1" applyBorder="1" applyAlignment="1">
      <alignment horizontal="center" shrinkToFit="1"/>
    </xf>
    <xf numFmtId="179" fontId="13" fillId="0" borderId="4" xfId="0" applyNumberFormat="1" applyFont="1" applyBorder="1" applyAlignment="1">
      <alignment horizontal="center" shrinkToFit="1"/>
    </xf>
    <xf numFmtId="179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80" fontId="13" fillId="6" borderId="50" xfId="0" applyNumberFormat="1" applyFont="1" applyFill="1" applyBorder="1" applyAlignment="1">
      <alignment horizontal="center" vertical="center" shrinkToFit="1"/>
    </xf>
    <xf numFmtId="180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77" fontId="4" fillId="6" borderId="13" xfId="0" applyNumberFormat="1" applyFont="1" applyFill="1" applyBorder="1" applyAlignment="1">
      <alignment horizontal="center" vertical="center" shrinkToFit="1"/>
    </xf>
    <xf numFmtId="177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1" fontId="4" fillId="6" borderId="1" xfId="0" applyNumberFormat="1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81" fontId="4" fillId="6" borderId="14" xfId="0" applyNumberFormat="1" applyFont="1" applyFill="1" applyBorder="1" applyAlignment="1">
      <alignment horizontal="center" shrinkToFit="1"/>
    </xf>
    <xf numFmtId="179" fontId="4" fillId="6" borderId="14" xfId="0" applyNumberFormat="1" applyFont="1" applyFill="1" applyBorder="1" applyAlignment="1">
      <alignment horizontal="center" shrinkToFit="1"/>
    </xf>
    <xf numFmtId="177" fontId="4" fillId="6" borderId="3" xfId="0" applyNumberFormat="1" applyFont="1" applyFill="1" applyBorder="1" applyAlignment="1">
      <alignment horizontal="center" shrinkToFit="1"/>
    </xf>
    <xf numFmtId="181" fontId="4" fillId="6" borderId="3" xfId="0" applyNumberFormat="1" applyFont="1" applyFill="1" applyBorder="1" applyAlignment="1">
      <alignment horizontal="center" shrinkToFit="1"/>
    </xf>
    <xf numFmtId="180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9" fontId="16" fillId="6" borderId="28" xfId="0" applyNumberFormat="1" applyFont="1" applyFill="1" applyBorder="1" applyAlignment="1">
      <alignment horizontal="center" vertical="center" shrinkToFit="1"/>
    </xf>
    <xf numFmtId="181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8" fontId="0" fillId="0" borderId="11" xfId="0" applyNumberFormat="1" applyBorder="1" applyAlignment="1">
      <alignment shrinkToFit="1"/>
    </xf>
    <xf numFmtId="179" fontId="0" fillId="0" borderId="38" xfId="0" applyNumberFormat="1" applyBorder="1" applyAlignment="1">
      <alignment shrinkToFit="1"/>
    </xf>
    <xf numFmtId="185" fontId="13" fillId="6" borderId="50" xfId="0" applyNumberFormat="1" applyFont="1" applyFill="1" applyBorder="1" applyAlignment="1">
      <alignment shrinkToFit="1"/>
    </xf>
    <xf numFmtId="180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9" fontId="15" fillId="0" borderId="1" xfId="3" applyNumberFormat="1" applyFont="1" applyFill="1" applyBorder="1" applyAlignment="1">
      <alignment horizontal="center" shrinkToFit="1"/>
    </xf>
    <xf numFmtId="179" fontId="1" fillId="0" borderId="4" xfId="0" applyNumberFormat="1" applyFont="1" applyBorder="1" applyAlignment="1">
      <alignment horizontal="center" shrinkToFit="1"/>
    </xf>
    <xf numFmtId="179" fontId="1" fillId="0" borderId="1" xfId="0" applyNumberFormat="1" applyFont="1" applyBorder="1" applyAlignment="1">
      <alignment horizontal="center" shrinkToFit="1"/>
    </xf>
    <xf numFmtId="179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9" fontId="1" fillId="6" borderId="4" xfId="0" applyNumberFormat="1" applyFont="1" applyFill="1" applyBorder="1" applyAlignment="1">
      <alignment horizontal="center" shrinkToFit="1"/>
    </xf>
    <xf numFmtId="179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80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80" fontId="6" fillId="0" borderId="28" xfId="0" applyNumberFormat="1" applyFont="1" applyBorder="1" applyAlignment="1">
      <alignment vertical="center" shrinkToFit="1"/>
    </xf>
    <xf numFmtId="179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9" fontId="4" fillId="6" borderId="48" xfId="0" applyNumberFormat="1" applyFont="1" applyFill="1" applyBorder="1" applyAlignment="1">
      <alignment vertical="center" shrinkToFit="1"/>
    </xf>
    <xf numFmtId="179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9" fontId="0" fillId="2" borderId="11" xfId="0" applyNumberFormat="1" applyFill="1" applyBorder="1" applyAlignment="1">
      <alignment horizontal="center" shrinkToFit="1"/>
    </xf>
    <xf numFmtId="179" fontId="15" fillId="0" borderId="40" xfId="0" applyNumberFormat="1" applyFont="1" applyBorder="1" applyAlignment="1">
      <alignment horizontal="center" shrinkToFit="1"/>
    </xf>
    <xf numFmtId="179" fontId="13" fillId="0" borderId="17" xfId="0" applyNumberFormat="1" applyFont="1" applyBorder="1" applyAlignment="1">
      <alignment shrinkToFit="1"/>
    </xf>
    <xf numFmtId="179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8" fontId="16" fillId="13" borderId="8" xfId="0" applyNumberFormat="1" applyFont="1" applyFill="1" applyBorder="1" applyAlignment="1">
      <alignment horizontal="center" shrinkToFit="1"/>
    </xf>
    <xf numFmtId="179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3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8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9" fontId="1" fillId="0" borderId="26" xfId="0" applyNumberFormat="1" applyFont="1" applyBorder="1" applyAlignment="1">
      <alignment horizontal="center" shrinkToFit="1"/>
    </xf>
    <xf numFmtId="179" fontId="15" fillId="0" borderId="61" xfId="3" applyNumberFormat="1" applyFont="1" applyFill="1" applyBorder="1" applyAlignment="1">
      <alignment horizontal="center" shrinkToFit="1"/>
    </xf>
    <xf numFmtId="180" fontId="6" fillId="0" borderId="39" xfId="0" applyNumberFormat="1" applyFont="1" applyBorder="1" applyAlignment="1">
      <alignment horizontal="left"/>
    </xf>
    <xf numFmtId="180" fontId="6" fillId="0" borderId="26" xfId="0" applyNumberFormat="1" applyFont="1" applyBorder="1" applyAlignment="1">
      <alignment horizontal="left"/>
    </xf>
    <xf numFmtId="180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9" fontId="23" fillId="2" borderId="4" xfId="4" applyNumberFormat="1" applyFill="1" applyBorder="1" applyAlignment="1">
      <alignment horizontal="center" shrinkToFit="1"/>
    </xf>
    <xf numFmtId="179" fontId="23" fillId="2" borderId="6" xfId="4" applyNumberFormat="1" applyFill="1" applyBorder="1" applyAlignment="1">
      <alignment horizontal="center" shrinkToFit="1"/>
    </xf>
    <xf numFmtId="179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4" fontId="20" fillId="6" borderId="45" xfId="0" applyNumberFormat="1" applyFont="1" applyFill="1" applyBorder="1" applyAlignment="1">
      <alignment horizontal="center" vertical="center" shrinkToFit="1"/>
    </xf>
    <xf numFmtId="184" fontId="20" fillId="6" borderId="0" xfId="0" applyNumberFormat="1" applyFont="1" applyFill="1" applyAlignment="1">
      <alignment horizontal="center" vertical="center" shrinkToFit="1"/>
    </xf>
    <xf numFmtId="184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4" fontId="20" fillId="10" borderId="45" xfId="0" applyNumberFormat="1" applyFont="1" applyFill="1" applyBorder="1" applyAlignment="1">
      <alignment horizontal="center" vertical="center" shrinkToFit="1"/>
    </xf>
    <xf numFmtId="184" fontId="20" fillId="10" borderId="0" xfId="0" applyNumberFormat="1" applyFont="1" applyFill="1" applyAlignment="1">
      <alignment horizontal="center" vertical="center" shrinkToFit="1"/>
    </xf>
    <xf numFmtId="184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4" fontId="20" fillId="7" borderId="45" xfId="0" applyNumberFormat="1" applyFont="1" applyFill="1" applyBorder="1" applyAlignment="1">
      <alignment horizontal="center" vertical="center" shrinkToFit="1"/>
    </xf>
    <xf numFmtId="184" fontId="20" fillId="7" borderId="0" xfId="0" applyNumberFormat="1" applyFont="1" applyFill="1" applyAlignment="1">
      <alignment horizontal="center" vertical="center" shrinkToFit="1"/>
    </xf>
    <xf numFmtId="184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4" fontId="20" fillId="11" borderId="6" xfId="0" applyNumberFormat="1" applyFont="1" applyFill="1" applyBorder="1" applyAlignment="1">
      <alignment horizontal="center" vertical="center" shrinkToFit="1"/>
    </xf>
    <xf numFmtId="184" fontId="20" fillId="11" borderId="37" xfId="0" applyNumberFormat="1" applyFont="1" applyFill="1" applyBorder="1" applyAlignment="1">
      <alignment horizontal="center" vertical="center" shrinkToFit="1"/>
    </xf>
    <xf numFmtId="184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29" fillId="2" borderId="9" xfId="0" applyFont="1" applyFill="1" applyBorder="1" applyAlignment="1">
      <alignment shrinkToFit="1"/>
    </xf>
    <xf numFmtId="0" fontId="30" fillId="2" borderId="9" xfId="0" applyFont="1" applyFill="1" applyBorder="1" applyAlignment="1">
      <alignment shrinkToFit="1"/>
    </xf>
    <xf numFmtId="20" fontId="0" fillId="0" borderId="26" xfId="0" applyNumberFormat="1" applyBorder="1" applyAlignment="1">
      <alignment horizontal="left"/>
    </xf>
    <xf numFmtId="0" fontId="23" fillId="14" borderId="1" xfId="4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/>
    </xf>
    <xf numFmtId="179" fontId="23" fillId="14" borderId="1" xfId="4" applyNumberFormat="1" applyBorder="1" applyAlignment="1">
      <alignment horizontal="center" shrinkToFit="1"/>
    </xf>
    <xf numFmtId="179" fontId="23" fillId="14" borderId="4" xfId="4" applyNumberFormat="1" applyBorder="1" applyAlignment="1">
      <alignment horizontal="center" shrinkToFit="1"/>
    </xf>
    <xf numFmtId="179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1" xfId="4" applyBorder="1" applyAlignment="1">
      <alignment horizontal="center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23" fillId="14" borderId="4" xfId="4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80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7" fontId="13" fillId="0" borderId="0" xfId="0" applyNumberFormat="1" applyFont="1" applyAlignment="1">
      <alignment horizontal="center" shrinkToFit="1"/>
    </xf>
    <xf numFmtId="26" fontId="13" fillId="0" borderId="0" xfId="0" applyNumberFormat="1" applyFont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80" fontId="4" fillId="6" borderId="53" xfId="0" applyNumberFormat="1" applyFont="1" applyFill="1" applyBorder="1" applyAlignment="1">
      <alignment horizontal="center" vertical="center" shrinkToFit="1"/>
    </xf>
    <xf numFmtId="180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9" fontId="16" fillId="6" borderId="25" xfId="0" applyNumberFormat="1" applyFont="1" applyFill="1" applyBorder="1" applyAlignment="1">
      <alignment horizontal="center" vertical="center" shrinkToFit="1"/>
    </xf>
    <xf numFmtId="179" fontId="16" fillId="6" borderId="24" xfId="0" applyNumberFormat="1" applyFont="1" applyFill="1" applyBorder="1" applyAlignment="1">
      <alignment horizontal="center" vertical="center" shrinkToFit="1"/>
    </xf>
    <xf numFmtId="179" fontId="16" fillId="6" borderId="22" xfId="0" applyNumberFormat="1" applyFont="1" applyFill="1" applyBorder="1" applyAlignment="1">
      <alignment horizontal="center" vertical="center" shrinkToFit="1"/>
    </xf>
    <xf numFmtId="179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1" fontId="4" fillId="6" borderId="14" xfId="0" applyNumberFormat="1" applyFont="1" applyFill="1" applyBorder="1" applyAlignment="1">
      <alignment horizontal="center" vertical="center" shrinkToFit="1"/>
    </xf>
    <xf numFmtId="181" fontId="4" fillId="6" borderId="1" xfId="0" applyNumberFormat="1" applyFont="1" applyFill="1" applyBorder="1" applyAlignment="1">
      <alignment horizontal="center" vertical="center" shrinkToFit="1"/>
    </xf>
    <xf numFmtId="181" fontId="4" fillId="6" borderId="3" xfId="0" applyNumberFormat="1" applyFont="1" applyFill="1" applyBorder="1" applyAlignment="1">
      <alignment horizontal="center" vertical="center" shrinkToFit="1"/>
    </xf>
    <xf numFmtId="179" fontId="4" fillId="6" borderId="14" xfId="0" applyNumberFormat="1" applyFont="1" applyFill="1" applyBorder="1" applyAlignment="1">
      <alignment horizontal="center" vertical="center" shrinkToFit="1"/>
    </xf>
    <xf numFmtId="179" fontId="4" fillId="6" borderId="1" xfId="0" applyNumberFormat="1" applyFont="1" applyFill="1" applyBorder="1" applyAlignment="1">
      <alignment horizontal="center" vertical="center" shrinkToFit="1"/>
    </xf>
    <xf numFmtId="179" fontId="4" fillId="6" borderId="3" xfId="0" applyNumberFormat="1" applyFont="1" applyFill="1" applyBorder="1" applyAlignment="1">
      <alignment horizontal="center" vertical="center" shrinkToFit="1"/>
    </xf>
    <xf numFmtId="179" fontId="4" fillId="6" borderId="28" xfId="0" applyNumberFormat="1" applyFont="1" applyFill="1" applyBorder="1" applyAlignment="1">
      <alignment horizontal="center" vertical="center" shrinkToFit="1"/>
    </xf>
    <xf numFmtId="179" fontId="4" fillId="6" borderId="15" xfId="0" applyNumberFormat="1" applyFont="1" applyFill="1" applyBorder="1" applyAlignment="1">
      <alignment horizontal="center" vertical="center" shrinkToFit="1"/>
    </xf>
    <xf numFmtId="179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3" fontId="0" fillId="0" borderId="2" xfId="0" applyNumberFormat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4" fontId="20" fillId="6" borderId="30" xfId="0" applyNumberFormat="1" applyFont="1" applyFill="1" applyBorder="1" applyAlignment="1">
      <alignment horizontal="center" vertical="center" shrinkToFit="1"/>
    </xf>
    <xf numFmtId="184" fontId="20" fillId="6" borderId="43" xfId="0" applyNumberFormat="1" applyFont="1" applyFill="1" applyBorder="1" applyAlignment="1">
      <alignment horizontal="center" vertical="center" shrinkToFit="1"/>
    </xf>
    <xf numFmtId="184" fontId="20" fillId="6" borderId="44" xfId="0" applyNumberFormat="1" applyFont="1" applyFill="1" applyBorder="1" applyAlignment="1">
      <alignment horizontal="center" vertical="center" shrinkToFit="1"/>
    </xf>
    <xf numFmtId="184" fontId="20" fillId="6" borderId="45" xfId="0" applyNumberFormat="1" applyFont="1" applyFill="1" applyBorder="1" applyAlignment="1">
      <alignment horizontal="center" vertical="center" shrinkToFit="1"/>
    </xf>
    <xf numFmtId="184" fontId="20" fillId="6" borderId="0" xfId="0" applyNumberFormat="1" applyFont="1" applyFill="1" applyAlignment="1">
      <alignment horizontal="center" vertical="center" shrinkToFit="1"/>
    </xf>
    <xf numFmtId="184" fontId="20" fillId="6" borderId="46" xfId="0" applyNumberFormat="1" applyFont="1" applyFill="1" applyBorder="1" applyAlignment="1">
      <alignment horizontal="center" vertical="center" shrinkToFit="1"/>
    </xf>
    <xf numFmtId="184" fontId="20" fillId="6" borderId="6" xfId="0" applyNumberFormat="1" applyFont="1" applyFill="1" applyBorder="1" applyAlignment="1">
      <alignment horizontal="center" vertical="center" shrinkToFit="1"/>
    </xf>
    <xf numFmtId="184" fontId="20" fillId="6" borderId="37" xfId="0" applyNumberFormat="1" applyFont="1" applyFill="1" applyBorder="1" applyAlignment="1">
      <alignment horizontal="center" vertical="center" shrinkToFit="1"/>
    </xf>
    <xf numFmtId="184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7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7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7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7" fontId="4" fillId="11" borderId="2" xfId="0" applyNumberFormat="1" applyFont="1" applyFill="1" applyBorder="1" applyAlignment="1">
      <alignment horizontal="center" vertical="center" shrinkToFit="1"/>
    </xf>
    <xf numFmtId="177" fontId="4" fillId="11" borderId="29" xfId="0" applyNumberFormat="1" applyFont="1" applyFill="1" applyBorder="1" applyAlignment="1">
      <alignment horizontal="center" vertical="center" shrinkToFit="1"/>
    </xf>
    <xf numFmtId="177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4" fontId="20" fillId="9" borderId="2" xfId="0" applyNumberFormat="1" applyFont="1" applyFill="1" applyBorder="1" applyAlignment="1">
      <alignment horizontal="center" vertical="center" shrinkToFit="1"/>
    </xf>
    <xf numFmtId="184" fontId="20" fillId="9" borderId="29" xfId="0" applyNumberFormat="1" applyFont="1" applyFill="1" applyBorder="1" applyAlignment="1">
      <alignment horizontal="center" vertical="center" shrinkToFit="1"/>
    </xf>
    <xf numFmtId="184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7" fontId="4" fillId="5" borderId="2" xfId="0" applyNumberFormat="1" applyFont="1" applyFill="1" applyBorder="1" applyAlignment="1">
      <alignment horizontal="center" vertical="center" shrinkToFit="1"/>
    </xf>
    <xf numFmtId="177" fontId="4" fillId="5" borderId="29" xfId="0" applyNumberFormat="1" applyFont="1" applyFill="1" applyBorder="1" applyAlignment="1">
      <alignment horizontal="center" vertical="center" shrinkToFit="1"/>
    </xf>
    <xf numFmtId="177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4" fontId="20" fillId="5" borderId="2" xfId="0" applyNumberFormat="1" applyFont="1" applyFill="1" applyBorder="1" applyAlignment="1">
      <alignment horizontal="center" vertical="center" shrinkToFit="1"/>
    </xf>
    <xf numFmtId="184" fontId="20" fillId="5" borderId="29" xfId="0" applyNumberFormat="1" applyFont="1" applyFill="1" applyBorder="1" applyAlignment="1">
      <alignment horizontal="center" vertical="center" shrinkToFit="1"/>
    </xf>
    <xf numFmtId="184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7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1" fontId="20" fillId="0" borderId="58" xfId="0" applyNumberFormat="1" applyFont="1" applyBorder="1" applyAlignment="1">
      <alignment horizontal="center" vertical="center" shrinkToFit="1"/>
    </xf>
    <xf numFmtId="181" fontId="20" fillId="0" borderId="43" xfId="0" applyNumberFormat="1" applyFont="1" applyBorder="1" applyAlignment="1">
      <alignment horizontal="center" vertical="center" shrinkToFit="1"/>
    </xf>
    <xf numFmtId="181" fontId="20" fillId="0" borderId="59" xfId="0" applyNumberFormat="1" applyFont="1" applyBorder="1" applyAlignment="1">
      <alignment horizontal="center" vertical="center" shrinkToFit="1"/>
    </xf>
    <xf numFmtId="181" fontId="20" fillId="0" borderId="31" xfId="0" applyNumberFormat="1" applyFont="1" applyBorder="1" applyAlignment="1">
      <alignment horizontal="center" vertical="center" shrinkToFit="1"/>
    </xf>
    <xf numFmtId="181" fontId="20" fillId="0" borderId="0" xfId="0" applyNumberFormat="1" applyFont="1" applyAlignment="1">
      <alignment horizontal="center" vertical="center" shrinkToFit="1"/>
    </xf>
    <xf numFmtId="181" fontId="20" fillId="0" borderId="32" xfId="0" applyNumberFormat="1" applyFont="1" applyBorder="1" applyAlignment="1">
      <alignment horizontal="center" vertical="center" shrinkToFit="1"/>
    </xf>
    <xf numFmtId="181" fontId="20" fillId="0" borderId="21" xfId="0" applyNumberFormat="1" applyFont="1" applyBorder="1" applyAlignment="1">
      <alignment horizontal="center" vertical="center" shrinkToFit="1"/>
    </xf>
    <xf numFmtId="181" fontId="20" fillId="0" borderId="22" xfId="0" applyNumberFormat="1" applyFont="1" applyBorder="1" applyAlignment="1">
      <alignment horizontal="center" vertical="center" shrinkToFit="1"/>
    </xf>
    <xf numFmtId="181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7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7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4" fontId="20" fillId="5" borderId="30" xfId="0" applyNumberFormat="1" applyFont="1" applyFill="1" applyBorder="1" applyAlignment="1">
      <alignment horizontal="center" vertical="center" shrinkToFit="1"/>
    </xf>
    <xf numFmtId="184" fontId="20" fillId="5" borderId="43" xfId="0" applyNumberFormat="1" applyFont="1" applyFill="1" applyBorder="1" applyAlignment="1">
      <alignment horizontal="center" vertical="center" shrinkToFit="1"/>
    </xf>
    <xf numFmtId="184" fontId="20" fillId="5" borderId="44" xfId="0" applyNumberFormat="1" applyFont="1" applyFill="1" applyBorder="1" applyAlignment="1">
      <alignment horizontal="center" vertical="center" shrinkToFit="1"/>
    </xf>
    <xf numFmtId="184" fontId="20" fillId="5" borderId="45" xfId="0" applyNumberFormat="1" applyFont="1" applyFill="1" applyBorder="1" applyAlignment="1">
      <alignment horizontal="center" vertical="center" shrinkToFit="1"/>
    </xf>
    <xf numFmtId="184" fontId="20" fillId="5" borderId="0" xfId="0" applyNumberFormat="1" applyFont="1" applyFill="1" applyAlignment="1">
      <alignment horizontal="center" vertical="center" shrinkToFit="1"/>
    </xf>
    <xf numFmtId="184" fontId="20" fillId="5" borderId="46" xfId="0" applyNumberFormat="1" applyFont="1" applyFill="1" applyBorder="1" applyAlignment="1">
      <alignment horizontal="center" vertical="center" shrinkToFit="1"/>
    </xf>
    <xf numFmtId="184" fontId="20" fillId="5" borderId="6" xfId="0" applyNumberFormat="1" applyFont="1" applyFill="1" applyBorder="1" applyAlignment="1">
      <alignment horizontal="center" vertical="center" shrinkToFit="1"/>
    </xf>
    <xf numFmtId="184" fontId="20" fillId="5" borderId="37" xfId="0" applyNumberFormat="1" applyFont="1" applyFill="1" applyBorder="1" applyAlignment="1">
      <alignment horizontal="center" vertical="center" shrinkToFit="1"/>
    </xf>
    <xf numFmtId="184" fontId="20" fillId="5" borderId="39" xfId="0" applyNumberFormat="1" applyFont="1" applyFill="1" applyBorder="1" applyAlignment="1">
      <alignment horizontal="center" vertical="center" shrinkToFit="1"/>
    </xf>
    <xf numFmtId="184" fontId="20" fillId="9" borderId="30" xfId="0" applyNumberFormat="1" applyFont="1" applyFill="1" applyBorder="1" applyAlignment="1">
      <alignment horizontal="center" vertical="center" shrinkToFit="1"/>
    </xf>
    <xf numFmtId="184" fontId="20" fillId="9" borderId="43" xfId="0" applyNumberFormat="1" applyFont="1" applyFill="1" applyBorder="1" applyAlignment="1">
      <alignment horizontal="center" vertical="center" shrinkToFit="1"/>
    </xf>
    <xf numFmtId="184" fontId="20" fillId="9" borderId="44" xfId="0" applyNumberFormat="1" applyFont="1" applyFill="1" applyBorder="1" applyAlignment="1">
      <alignment horizontal="center" vertical="center" shrinkToFit="1"/>
    </xf>
    <xf numFmtId="184" fontId="20" fillId="9" borderId="45" xfId="0" applyNumberFormat="1" applyFont="1" applyFill="1" applyBorder="1" applyAlignment="1">
      <alignment horizontal="center" vertical="center" shrinkToFit="1"/>
    </xf>
    <xf numFmtId="184" fontId="20" fillId="9" borderId="0" xfId="0" applyNumberFormat="1" applyFont="1" applyFill="1" applyAlignment="1">
      <alignment horizontal="center" vertical="center" shrinkToFit="1"/>
    </xf>
    <xf numFmtId="184" fontId="20" fillId="9" borderId="46" xfId="0" applyNumberFormat="1" applyFont="1" applyFill="1" applyBorder="1" applyAlignment="1">
      <alignment horizontal="center" vertical="center" shrinkToFit="1"/>
    </xf>
    <xf numFmtId="184" fontId="20" fillId="9" borderId="6" xfId="0" applyNumberFormat="1" applyFont="1" applyFill="1" applyBorder="1" applyAlignment="1">
      <alignment horizontal="center" vertical="center" shrinkToFit="1"/>
    </xf>
    <xf numFmtId="184" fontId="20" fillId="9" borderId="37" xfId="0" applyNumberFormat="1" applyFont="1" applyFill="1" applyBorder="1" applyAlignment="1">
      <alignment horizontal="center" vertical="center" shrinkToFit="1"/>
    </xf>
    <xf numFmtId="184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7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4" fontId="20" fillId="10" borderId="30" xfId="0" applyNumberFormat="1" applyFont="1" applyFill="1" applyBorder="1" applyAlignment="1">
      <alignment horizontal="center" vertical="center" shrinkToFit="1"/>
    </xf>
    <xf numFmtId="184" fontId="20" fillId="10" borderId="43" xfId="0" applyNumberFormat="1" applyFont="1" applyFill="1" applyBorder="1" applyAlignment="1">
      <alignment horizontal="center" vertical="center" shrinkToFit="1"/>
    </xf>
    <xf numFmtId="184" fontId="20" fillId="10" borderId="44" xfId="0" applyNumberFormat="1" applyFont="1" applyFill="1" applyBorder="1" applyAlignment="1">
      <alignment horizontal="center" vertical="center" shrinkToFit="1"/>
    </xf>
    <xf numFmtId="184" fontId="20" fillId="10" borderId="45" xfId="0" applyNumberFormat="1" applyFont="1" applyFill="1" applyBorder="1" applyAlignment="1">
      <alignment horizontal="center" vertical="center" shrinkToFit="1"/>
    </xf>
    <xf numFmtId="184" fontId="20" fillId="10" borderId="0" xfId="0" applyNumberFormat="1" applyFont="1" applyFill="1" applyAlignment="1">
      <alignment horizontal="center" vertical="center" shrinkToFit="1"/>
    </xf>
    <xf numFmtId="184" fontId="20" fillId="10" borderId="46" xfId="0" applyNumberFormat="1" applyFont="1" applyFill="1" applyBorder="1" applyAlignment="1">
      <alignment horizontal="center" vertical="center" shrinkToFit="1"/>
    </xf>
    <xf numFmtId="184" fontId="20" fillId="10" borderId="6" xfId="0" applyNumberFormat="1" applyFont="1" applyFill="1" applyBorder="1" applyAlignment="1">
      <alignment horizontal="center" vertical="center" shrinkToFit="1"/>
    </xf>
    <xf numFmtId="184" fontId="20" fillId="10" borderId="37" xfId="0" applyNumberFormat="1" applyFont="1" applyFill="1" applyBorder="1" applyAlignment="1">
      <alignment horizontal="center" vertical="center" shrinkToFit="1"/>
    </xf>
    <xf numFmtId="184" fontId="20" fillId="10" borderId="39" xfId="0" applyNumberFormat="1" applyFont="1" applyFill="1" applyBorder="1" applyAlignment="1">
      <alignment horizontal="center" vertical="center" shrinkToFit="1"/>
    </xf>
    <xf numFmtId="177" fontId="4" fillId="9" borderId="2" xfId="0" applyNumberFormat="1" applyFont="1" applyFill="1" applyBorder="1" applyAlignment="1">
      <alignment horizontal="center" vertical="center" shrinkToFit="1"/>
    </xf>
    <xf numFmtId="177" fontId="4" fillId="9" borderId="29" xfId="0" applyNumberFormat="1" applyFont="1" applyFill="1" applyBorder="1" applyAlignment="1">
      <alignment horizontal="center" vertical="center" shrinkToFit="1"/>
    </xf>
    <xf numFmtId="177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7" fontId="4" fillId="6" borderId="2" xfId="0" applyNumberFormat="1" applyFont="1" applyFill="1" applyBorder="1" applyAlignment="1">
      <alignment horizontal="center" vertical="center" shrinkToFit="1"/>
    </xf>
    <xf numFmtId="177" fontId="4" fillId="6" borderId="29" xfId="0" applyNumberFormat="1" applyFont="1" applyFill="1" applyBorder="1" applyAlignment="1">
      <alignment horizontal="center" vertical="center" shrinkToFit="1"/>
    </xf>
    <xf numFmtId="177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7" fontId="4" fillId="10" borderId="2" xfId="0" applyNumberFormat="1" applyFont="1" applyFill="1" applyBorder="1" applyAlignment="1">
      <alignment horizontal="center" vertical="center" shrinkToFit="1"/>
    </xf>
    <xf numFmtId="177" fontId="4" fillId="10" borderId="29" xfId="0" applyNumberFormat="1" applyFont="1" applyFill="1" applyBorder="1" applyAlignment="1">
      <alignment horizontal="center" vertical="center" shrinkToFit="1"/>
    </xf>
    <xf numFmtId="177" fontId="4" fillId="10" borderId="26" xfId="0" applyNumberFormat="1" applyFont="1" applyFill="1" applyBorder="1" applyAlignment="1">
      <alignment horizontal="center" vertical="center" shrinkToFit="1"/>
    </xf>
    <xf numFmtId="184" fontId="20" fillId="7" borderId="30" xfId="0" applyNumberFormat="1" applyFont="1" applyFill="1" applyBorder="1" applyAlignment="1">
      <alignment horizontal="center" vertical="center" shrinkToFit="1"/>
    </xf>
    <xf numFmtId="184" fontId="20" fillId="7" borderId="43" xfId="0" applyNumberFormat="1" applyFont="1" applyFill="1" applyBorder="1" applyAlignment="1">
      <alignment horizontal="center" vertical="center" shrinkToFit="1"/>
    </xf>
    <xf numFmtId="184" fontId="20" fillId="7" borderId="44" xfId="0" applyNumberFormat="1" applyFont="1" applyFill="1" applyBorder="1" applyAlignment="1">
      <alignment horizontal="center" vertical="center" shrinkToFit="1"/>
    </xf>
    <xf numFmtId="184" fontId="20" fillId="7" borderId="45" xfId="0" applyNumberFormat="1" applyFont="1" applyFill="1" applyBorder="1" applyAlignment="1">
      <alignment horizontal="center" vertical="center" shrinkToFit="1"/>
    </xf>
    <xf numFmtId="184" fontId="20" fillId="7" borderId="0" xfId="0" applyNumberFormat="1" applyFont="1" applyFill="1" applyAlignment="1">
      <alignment horizontal="center" vertical="center" shrinkToFit="1"/>
    </xf>
    <xf numFmtId="184" fontId="20" fillId="7" borderId="46" xfId="0" applyNumberFormat="1" applyFont="1" applyFill="1" applyBorder="1" applyAlignment="1">
      <alignment horizontal="center" vertical="center" shrinkToFit="1"/>
    </xf>
    <xf numFmtId="184" fontId="20" fillId="7" borderId="6" xfId="0" applyNumberFormat="1" applyFont="1" applyFill="1" applyBorder="1" applyAlignment="1">
      <alignment horizontal="center" vertical="center" shrinkToFit="1"/>
    </xf>
    <xf numFmtId="184" fontId="20" fillId="7" borderId="37" xfId="0" applyNumberFormat="1" applyFont="1" applyFill="1" applyBorder="1" applyAlignment="1">
      <alignment horizontal="center" vertical="center" shrinkToFit="1"/>
    </xf>
    <xf numFmtId="184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4" fontId="20" fillId="11" borderId="30" xfId="0" applyNumberFormat="1" applyFont="1" applyFill="1" applyBorder="1" applyAlignment="1">
      <alignment horizontal="center" vertical="center" shrinkToFit="1"/>
    </xf>
    <xf numFmtId="184" fontId="20" fillId="11" borderId="43" xfId="0" applyNumberFormat="1" applyFont="1" applyFill="1" applyBorder="1" applyAlignment="1">
      <alignment horizontal="center" vertical="center" shrinkToFit="1"/>
    </xf>
    <xf numFmtId="184" fontId="20" fillId="11" borderId="44" xfId="0" applyNumberFormat="1" applyFont="1" applyFill="1" applyBorder="1" applyAlignment="1">
      <alignment horizontal="center" vertical="center" shrinkToFit="1"/>
    </xf>
    <xf numFmtId="184" fontId="20" fillId="11" borderId="45" xfId="0" applyNumberFormat="1" applyFont="1" applyFill="1" applyBorder="1" applyAlignment="1">
      <alignment horizontal="center" vertical="center" shrinkToFit="1"/>
    </xf>
    <xf numFmtId="184" fontId="20" fillId="11" borderId="0" xfId="0" applyNumberFormat="1" applyFont="1" applyFill="1" applyAlignment="1">
      <alignment horizontal="center" vertical="center" shrinkToFit="1"/>
    </xf>
    <xf numFmtId="184" fontId="20" fillId="11" borderId="46" xfId="0" applyNumberFormat="1" applyFont="1" applyFill="1" applyBorder="1" applyAlignment="1">
      <alignment horizontal="center" vertical="center" shrinkToFit="1"/>
    </xf>
    <xf numFmtId="184" fontId="20" fillId="11" borderId="6" xfId="0" applyNumberFormat="1" applyFont="1" applyFill="1" applyBorder="1" applyAlignment="1">
      <alignment horizontal="center" vertical="center" shrinkToFit="1"/>
    </xf>
    <xf numFmtId="184" fontId="20" fillId="11" borderId="37" xfId="0" applyNumberFormat="1" applyFont="1" applyFill="1" applyBorder="1" applyAlignment="1">
      <alignment horizontal="center" vertical="center" shrinkToFit="1"/>
    </xf>
    <xf numFmtId="184" fontId="20" fillId="11" borderId="39" xfId="0" applyNumberFormat="1" applyFont="1" applyFill="1" applyBorder="1" applyAlignment="1">
      <alignment horizontal="center" vertical="center" shrinkToFit="1"/>
    </xf>
    <xf numFmtId="177" fontId="4" fillId="7" borderId="2" xfId="0" applyNumberFormat="1" applyFont="1" applyFill="1" applyBorder="1" applyAlignment="1">
      <alignment horizontal="center" vertical="center" shrinkToFit="1"/>
    </xf>
    <xf numFmtId="177" fontId="4" fillId="7" borderId="29" xfId="0" applyNumberFormat="1" applyFont="1" applyFill="1" applyBorder="1" applyAlignment="1">
      <alignment horizontal="center" vertical="center" shrinkToFit="1"/>
    </xf>
    <xf numFmtId="177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4" fontId="20" fillId="0" borderId="1" xfId="0" applyNumberFormat="1" applyFont="1" applyBorder="1" applyAlignment="1">
      <alignment horizontal="center" vertical="center" shrinkToFit="1"/>
    </xf>
    <xf numFmtId="184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4" fontId="20" fillId="12" borderId="5" xfId="0" applyNumberFormat="1" applyFont="1" applyFill="1" applyBorder="1" applyAlignment="1">
      <alignment horizontal="center" vertical="center" shrinkToFit="1"/>
    </xf>
    <xf numFmtId="184" fontId="20" fillId="12" borderId="56" xfId="0" applyNumberFormat="1" applyFont="1" applyFill="1" applyBorder="1" applyAlignment="1">
      <alignment horizontal="center" vertical="center" shrinkToFit="1"/>
    </xf>
    <xf numFmtId="184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7" fontId="20" fillId="0" borderId="1" xfId="0" applyNumberFormat="1" applyFont="1" applyBorder="1" applyAlignment="1">
      <alignment horizontal="center" vertical="center" shrinkToFit="1"/>
    </xf>
    <xf numFmtId="177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7" fontId="20" fillId="0" borderId="15" xfId="0" applyNumberFormat="1" applyFont="1" applyBorder="1" applyAlignment="1">
      <alignment horizontal="center" vertical="center" shrinkToFit="1"/>
    </xf>
    <xf numFmtId="177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D23" sqref="D2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66" t="s">
        <v>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8"/>
    </row>
    <row r="2" spans="1:44" ht="17.25" thickBot="1" x14ac:dyDescent="0.35">
      <c r="A2" s="266" t="s">
        <v>97</v>
      </c>
      <c r="B2" s="267"/>
      <c r="C2" s="267"/>
      <c r="D2" s="267"/>
      <c r="E2" s="267"/>
      <c r="F2" s="267"/>
      <c r="G2" s="268"/>
      <c r="H2" s="269" t="s">
        <v>49</v>
      </c>
      <c r="I2" s="270"/>
      <c r="J2" s="266" t="s">
        <v>98</v>
      </c>
      <c r="K2" s="268"/>
      <c r="L2" s="270" t="s">
        <v>96</v>
      </c>
      <c r="M2" s="271"/>
      <c r="N2" s="269"/>
      <c r="O2" s="267" t="s">
        <v>99</v>
      </c>
      <c r="P2" s="267"/>
      <c r="Q2" s="268"/>
      <c r="R2" s="270" t="s">
        <v>51</v>
      </c>
      <c r="S2" s="269"/>
      <c r="T2" s="272">
        <v>6</v>
      </c>
      <c r="U2" s="272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76" t="s">
        <v>8</v>
      </c>
      <c r="P4" s="276"/>
      <c r="Q4" s="276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10881</v>
      </c>
      <c r="C5" s="59" t="s">
        <v>108</v>
      </c>
      <c r="D5" s="190" t="s">
        <v>109</v>
      </c>
      <c r="E5" s="171" t="s">
        <v>91</v>
      </c>
      <c r="F5" s="160">
        <v>825</v>
      </c>
      <c r="G5" s="109" t="s">
        <v>110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277"/>
      <c r="P5" s="278"/>
      <c r="Q5" s="279"/>
      <c r="R5" s="3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10882</v>
      </c>
      <c r="C6" s="58" t="s">
        <v>111</v>
      </c>
      <c r="D6" s="190" t="s">
        <v>112</v>
      </c>
      <c r="E6" s="171" t="s">
        <v>92</v>
      </c>
      <c r="F6" s="161">
        <v>830</v>
      </c>
      <c r="G6" s="109" t="s">
        <v>113</v>
      </c>
      <c r="H6" s="82"/>
      <c r="I6" s="115"/>
      <c r="J6" s="120" t="str">
        <f t="shared" ref="J6:J29" si="1">IF(G6="RSL","55","0")</f>
        <v>0</v>
      </c>
      <c r="K6" s="120">
        <v>125</v>
      </c>
      <c r="L6" s="121"/>
      <c r="M6" s="121"/>
      <c r="N6" s="124" t="s">
        <v>99</v>
      </c>
      <c r="O6" s="280" t="s">
        <v>114</v>
      </c>
      <c r="P6" s="281"/>
      <c r="Q6" s="282"/>
      <c r="R6" s="122" t="s">
        <v>100</v>
      </c>
      <c r="S6" s="30">
        <v>0.33333333333333331</v>
      </c>
      <c r="T6" s="31">
        <v>0.52083333333333337</v>
      </c>
      <c r="U6" s="83">
        <f t="shared" si="0"/>
        <v>4.5000000000000018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10883</v>
      </c>
      <c r="C7" s="58" t="s">
        <v>115</v>
      </c>
      <c r="D7" s="190" t="s">
        <v>116</v>
      </c>
      <c r="E7" s="171" t="s">
        <v>92</v>
      </c>
      <c r="F7" s="161">
        <v>835</v>
      </c>
      <c r="G7" s="109" t="s">
        <v>117</v>
      </c>
      <c r="H7" s="82">
        <v>95</v>
      </c>
      <c r="I7" s="115"/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99</v>
      </c>
      <c r="O7" s="283"/>
      <c r="P7" s="284"/>
      <c r="Q7" s="285"/>
      <c r="R7" s="124" t="s">
        <v>101</v>
      </c>
      <c r="S7" s="30">
        <v>0.38541666666666669</v>
      </c>
      <c r="T7" s="31">
        <v>0.67708333333333337</v>
      </c>
      <c r="U7" s="83">
        <f t="shared" si="0"/>
        <v>7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10884</v>
      </c>
      <c r="C8" s="26" t="s">
        <v>118</v>
      </c>
      <c r="D8" s="190" t="s">
        <v>119</v>
      </c>
      <c r="E8" s="171" t="s">
        <v>92</v>
      </c>
      <c r="F8" s="161">
        <v>1015</v>
      </c>
      <c r="G8" s="109" t="s">
        <v>117</v>
      </c>
      <c r="H8" s="82">
        <v>90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286" t="s">
        <v>120</v>
      </c>
      <c r="P8" s="287"/>
      <c r="Q8" s="288"/>
      <c r="R8" s="25" t="s">
        <v>102</v>
      </c>
      <c r="S8" s="30">
        <v>0.375</v>
      </c>
      <c r="T8" s="31">
        <v>0.70833333333333337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10885</v>
      </c>
      <c r="C9" s="54" t="s">
        <v>121</v>
      </c>
      <c r="D9" s="191" t="s">
        <v>122</v>
      </c>
      <c r="E9" s="171" t="s">
        <v>92</v>
      </c>
      <c r="F9" s="162">
        <v>1045</v>
      </c>
      <c r="G9" s="110" t="s">
        <v>117</v>
      </c>
      <c r="H9" s="82">
        <v>95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286"/>
      <c r="P9" s="287"/>
      <c r="Q9" s="288"/>
      <c r="R9" s="249" t="s">
        <v>103</v>
      </c>
      <c r="S9" s="30">
        <v>0.41666666666666669</v>
      </c>
      <c r="T9" s="31">
        <v>0.6875</v>
      </c>
      <c r="U9" s="83">
        <f t="shared" si="0"/>
        <v>6.5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10886</v>
      </c>
      <c r="C10" s="27" t="s">
        <v>123</v>
      </c>
      <c r="D10" s="192" t="s">
        <v>124</v>
      </c>
      <c r="E10" s="171" t="s">
        <v>91</v>
      </c>
      <c r="F10" s="163">
        <v>1100</v>
      </c>
      <c r="G10" s="111" t="s">
        <v>125</v>
      </c>
      <c r="H10" s="114">
        <v>250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73"/>
      <c r="P10" s="274"/>
      <c r="Q10" s="275"/>
      <c r="R10" s="250" t="s">
        <v>104</v>
      </c>
      <c r="S10" s="30">
        <v>0.38541666666666669</v>
      </c>
      <c r="T10" s="31">
        <v>0.61458333333333337</v>
      </c>
      <c r="U10" s="83">
        <f t="shared" si="0"/>
        <v>5.5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10887</v>
      </c>
      <c r="C11" s="17" t="s">
        <v>126</v>
      </c>
      <c r="D11" s="193" t="s">
        <v>127</v>
      </c>
      <c r="E11" s="171" t="s">
        <v>92</v>
      </c>
      <c r="F11" s="57">
        <v>1130</v>
      </c>
      <c r="G11" s="112" t="s">
        <v>128</v>
      </c>
      <c r="H11" s="114"/>
      <c r="I11" s="115">
        <v>75.75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83"/>
      <c r="P11" s="284"/>
      <c r="Q11" s="285"/>
      <c r="R11" s="25" t="s">
        <v>105</v>
      </c>
      <c r="S11" s="30">
        <v>0.40625</v>
      </c>
      <c r="T11" s="31">
        <v>0.6875</v>
      </c>
      <c r="U11" s="83">
        <f t="shared" si="0"/>
        <v>6.75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10888</v>
      </c>
      <c r="C12" s="55" t="s">
        <v>129</v>
      </c>
      <c r="D12" s="194" t="s">
        <v>130</v>
      </c>
      <c r="E12" s="171" t="s">
        <v>91</v>
      </c>
      <c r="F12" s="163">
        <v>1200</v>
      </c>
      <c r="G12" s="110" t="s">
        <v>44</v>
      </c>
      <c r="H12" s="114">
        <v>20</v>
      </c>
      <c r="I12" s="116"/>
      <c r="J12" s="120" t="str">
        <f t="shared" si="1"/>
        <v>55</v>
      </c>
      <c r="K12" s="120" t="str">
        <f t="shared" si="2"/>
        <v>0</v>
      </c>
      <c r="L12" s="121"/>
      <c r="M12" s="121"/>
      <c r="N12" s="124" t="s">
        <v>99</v>
      </c>
      <c r="O12" s="283">
        <v>202208046</v>
      </c>
      <c r="P12" s="284"/>
      <c r="Q12" s="285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10889</v>
      </c>
      <c r="C13" s="55" t="s">
        <v>140</v>
      </c>
      <c r="D13" s="194" t="s">
        <v>141</v>
      </c>
      <c r="E13" s="171" t="s">
        <v>91</v>
      </c>
      <c r="F13" s="163">
        <v>1200</v>
      </c>
      <c r="G13" s="110" t="s">
        <v>44</v>
      </c>
      <c r="H13" s="159">
        <v>20</v>
      </c>
      <c r="I13" s="158"/>
      <c r="J13" s="120" t="str">
        <f t="shared" si="1"/>
        <v>55</v>
      </c>
      <c r="K13" s="120" t="str">
        <f t="shared" si="2"/>
        <v>0</v>
      </c>
      <c r="L13" s="121"/>
      <c r="M13" s="121"/>
      <c r="N13" s="124" t="s">
        <v>99</v>
      </c>
      <c r="O13" s="283">
        <v>202205069</v>
      </c>
      <c r="P13" s="284"/>
      <c r="Q13" s="2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10890</v>
      </c>
      <c r="C14" s="56" t="s">
        <v>131</v>
      </c>
      <c r="D14" s="195" t="s">
        <v>132</v>
      </c>
      <c r="E14" s="171" t="s">
        <v>91</v>
      </c>
      <c r="F14" s="164">
        <v>1230</v>
      </c>
      <c r="G14" s="113" t="s">
        <v>117</v>
      </c>
      <c r="H14" s="114"/>
      <c r="I14" s="116">
        <v>75.75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83"/>
      <c r="P14" s="284"/>
      <c r="Q14" s="285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10891</v>
      </c>
      <c r="C15" s="56" t="s">
        <v>133</v>
      </c>
      <c r="D15" s="195" t="s">
        <v>134</v>
      </c>
      <c r="E15" s="171" t="s">
        <v>91</v>
      </c>
      <c r="F15" s="164">
        <v>1245</v>
      </c>
      <c r="G15" s="113" t="s">
        <v>117</v>
      </c>
      <c r="H15" s="114">
        <v>75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83"/>
      <c r="P15" s="284"/>
      <c r="Q15" s="28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10892</v>
      </c>
      <c r="C16" s="56" t="s">
        <v>135</v>
      </c>
      <c r="D16" s="195" t="s">
        <v>136</v>
      </c>
      <c r="E16" s="171" t="s">
        <v>92</v>
      </c>
      <c r="F16" s="164">
        <v>1245</v>
      </c>
      <c r="G16" s="113" t="s">
        <v>117</v>
      </c>
      <c r="H16" s="114"/>
      <c r="I16" s="115">
        <v>75.75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83"/>
      <c r="P16" s="284"/>
      <c r="Q16" s="285"/>
      <c r="R16" s="73">
        <f>H32/U16</f>
        <v>0.38095238095238093</v>
      </c>
      <c r="S16" s="74">
        <f>H32/(U16-U5)</f>
        <v>0.47058823529411764</v>
      </c>
      <c r="T16" s="74">
        <f>C32/U16</f>
        <v>37.523809523809526</v>
      </c>
      <c r="U16" s="74">
        <f>SUM(U5:U15)</f>
        <v>47.25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10893</v>
      </c>
      <c r="C17" s="17" t="s">
        <v>137</v>
      </c>
      <c r="D17" s="193" t="s">
        <v>138</v>
      </c>
      <c r="E17" s="171" t="s">
        <v>91</v>
      </c>
      <c r="F17" s="57">
        <v>1245</v>
      </c>
      <c r="G17" s="112" t="s">
        <v>139</v>
      </c>
      <c r="H17" s="114"/>
      <c r="I17" s="115">
        <v>150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283"/>
      <c r="P17" s="284"/>
      <c r="Q17" s="285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10894</v>
      </c>
      <c r="C18" s="17" t="s">
        <v>142</v>
      </c>
      <c r="D18" s="193" t="s">
        <v>143</v>
      </c>
      <c r="E18" s="171" t="s">
        <v>92</v>
      </c>
      <c r="F18" s="57">
        <v>1315</v>
      </c>
      <c r="G18" s="19" t="s">
        <v>144</v>
      </c>
      <c r="H18" s="114"/>
      <c r="I18" s="115"/>
      <c r="J18" s="120" t="str">
        <f t="shared" si="1"/>
        <v>0</v>
      </c>
      <c r="K18" s="120">
        <v>65</v>
      </c>
      <c r="L18" s="121"/>
      <c r="M18" s="121"/>
      <c r="N18" s="124" t="s">
        <v>99</v>
      </c>
      <c r="O18" s="283" t="s">
        <v>145</v>
      </c>
      <c r="P18" s="284"/>
      <c r="Q18" s="285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10895</v>
      </c>
      <c r="C19" s="17" t="s">
        <v>146</v>
      </c>
      <c r="D19" s="193" t="s">
        <v>147</v>
      </c>
      <c r="E19" s="171" t="s">
        <v>91</v>
      </c>
      <c r="F19" s="57">
        <v>1430</v>
      </c>
      <c r="G19" s="112" t="s">
        <v>44</v>
      </c>
      <c r="H19" s="114"/>
      <c r="I19" s="115"/>
      <c r="J19" s="120" t="str">
        <f t="shared" si="1"/>
        <v>55</v>
      </c>
      <c r="K19" s="120" t="str">
        <f t="shared" si="2"/>
        <v>0</v>
      </c>
      <c r="L19" s="121"/>
      <c r="M19" s="121"/>
      <c r="N19" s="124" t="s">
        <v>99</v>
      </c>
      <c r="O19" s="283">
        <v>202206076</v>
      </c>
      <c r="P19" s="284"/>
      <c r="Q19" s="284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10896</v>
      </c>
      <c r="C20" s="17" t="s">
        <v>148</v>
      </c>
      <c r="D20" s="193" t="s">
        <v>149</v>
      </c>
      <c r="E20" s="171" t="s">
        <v>91</v>
      </c>
      <c r="F20" s="57">
        <v>1500</v>
      </c>
      <c r="G20" s="112" t="s">
        <v>150</v>
      </c>
      <c r="H20" s="114"/>
      <c r="I20" s="209">
        <v>75.75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291"/>
      <c r="P20" s="292"/>
      <c r="Q20" s="292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10897</v>
      </c>
      <c r="C21" s="17" t="s">
        <v>151</v>
      </c>
      <c r="D21" s="193" t="s">
        <v>152</v>
      </c>
      <c r="E21" s="171" t="s">
        <v>92</v>
      </c>
      <c r="F21" s="57">
        <v>1540</v>
      </c>
      <c r="G21" s="19" t="s">
        <v>128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283"/>
      <c r="P21" s="284"/>
      <c r="Q21" s="284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10898</v>
      </c>
      <c r="C22" s="21" t="s">
        <v>153</v>
      </c>
      <c r="D22" s="196" t="s">
        <v>154</v>
      </c>
      <c r="E22" s="171" t="s">
        <v>91</v>
      </c>
      <c r="F22" s="165">
        <v>1600</v>
      </c>
      <c r="G22" s="204" t="s">
        <v>117</v>
      </c>
      <c r="H22" s="80">
        <v>95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283"/>
      <c r="P22" s="284"/>
      <c r="Q22" s="285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89"/>
      <c r="Y23" s="290"/>
      <c r="Z23" s="29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3"/>
      <c r="P24" s="284"/>
      <c r="Q24" s="285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3"/>
      <c r="P25" s="284"/>
      <c r="Q25" s="28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93">
        <f>((C32+(R26+S26+T26)*0.5))</f>
        <v>1773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3"/>
      <c r="P26" s="284"/>
      <c r="Q26" s="285"/>
      <c r="R26" s="103">
        <f>R25*37.5</f>
        <v>0</v>
      </c>
      <c r="S26" s="93">
        <f>S25*41.5</f>
        <v>0</v>
      </c>
      <c r="T26" s="93">
        <f>T25*50</f>
        <v>0</v>
      </c>
      <c r="U26" s="294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3"/>
      <c r="P27" s="284"/>
      <c r="Q27" s="285"/>
      <c r="R27" s="302" t="s">
        <v>56</v>
      </c>
      <c r="S27" s="303"/>
      <c r="T27" s="303"/>
      <c r="U27" s="304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3"/>
      <c r="P28" s="284"/>
      <c r="Q28" s="285"/>
      <c r="R28" s="295" t="s">
        <v>107</v>
      </c>
      <c r="S28" s="296"/>
      <c r="T28" s="297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11"/>
      <c r="P29" s="312"/>
      <c r="Q29" s="313"/>
      <c r="R29" s="314" t="s">
        <v>106</v>
      </c>
      <c r="S29" s="315"/>
      <c r="T29" s="316"/>
      <c r="U29" s="140"/>
      <c r="X29" s="14">
        <v>3</v>
      </c>
      <c r="Z29" s="45"/>
      <c r="AE29" s="39"/>
    </row>
    <row r="30" spans="1:44" ht="16.5" customHeight="1" thickBot="1" x14ac:dyDescent="0.35">
      <c r="A30" s="317" t="s">
        <v>48</v>
      </c>
      <c r="B30" s="318"/>
      <c r="C30" s="318"/>
      <c r="D30" s="318"/>
      <c r="E30" s="319"/>
      <c r="F30" s="318"/>
      <c r="G30" s="318"/>
      <c r="H30" s="201">
        <f t="shared" ref="H30:M30" si="3">SUM(H5:H29)</f>
        <v>740</v>
      </c>
      <c r="I30" s="96">
        <f>SUM(I5:I29)</f>
        <v>678</v>
      </c>
      <c r="J30" s="96">
        <f>J5+J6+J7+J8+J9+J10+J11+J12+J13+J14+J15+J16+J18+J19+J17+J20+J22+J23+J21+J24+J25+J26+J27+J28+J29</f>
        <v>165</v>
      </c>
      <c r="K30" s="96">
        <f>K5+K6+K7+K8+K9+K10+K11+K12+K13+K14+K15+K16+K18+K19+K17+K20+K22+K23+K21+K24+K25+K26+K27+K28+K29</f>
        <v>190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20"/>
      <c r="S30" s="320"/>
      <c r="T30" s="321"/>
      <c r="U30" s="141"/>
      <c r="X30" s="14">
        <v>4</v>
      </c>
      <c r="Z30" s="45"/>
      <c r="AD30" s="46"/>
    </row>
    <row r="31" spans="1:44" x14ac:dyDescent="0.3">
      <c r="A31" s="322" t="s">
        <v>16</v>
      </c>
      <c r="B31" s="323"/>
      <c r="C31" s="323"/>
      <c r="D31" s="323"/>
      <c r="E31" s="323"/>
      <c r="F31" s="323"/>
      <c r="G31" s="323"/>
      <c r="H31" s="202">
        <f t="shared" ref="H31:J31" si="4">H30+H62+H94</f>
        <v>740</v>
      </c>
      <c r="I31" s="94">
        <f t="shared" si="4"/>
        <v>678</v>
      </c>
      <c r="J31" s="94">
        <f t="shared" si="4"/>
        <v>165</v>
      </c>
      <c r="K31" s="94">
        <f>K30+K62+K94</f>
        <v>190</v>
      </c>
      <c r="L31" s="88">
        <f>L30+L62+L94</f>
        <v>0</v>
      </c>
      <c r="M31" s="88">
        <f>M30+M62+M94</f>
        <v>0</v>
      </c>
      <c r="N31" s="207">
        <f>COUNT(H5:H29,H37:H61,H69:H93)</f>
        <v>8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3</v>
      </c>
      <c r="R31" s="89" t="s">
        <v>83</v>
      </c>
      <c r="S31" s="102">
        <f>H31+L31-U28-U29-U30</f>
        <v>740</v>
      </c>
      <c r="T31" s="307">
        <f>H31+I31+L31+M31</f>
        <v>1418</v>
      </c>
      <c r="U31" s="308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298" t="s">
        <v>55</v>
      </c>
      <c r="B32" s="299"/>
      <c r="C32" s="98">
        <f>H31+I31+J31+K31</f>
        <v>1773</v>
      </c>
      <c r="D32" s="186"/>
      <c r="E32" s="98"/>
      <c r="F32" s="300" t="s">
        <v>53</v>
      </c>
      <c r="G32" s="300"/>
      <c r="H32" s="100">
        <f>COUNT(B5:B29,B37:B61,B69:B93)</f>
        <v>18</v>
      </c>
      <c r="I32" s="301" t="s">
        <v>54</v>
      </c>
      <c r="J32" s="301"/>
      <c r="K32" s="99">
        <f>C32/H32</f>
        <v>98.5</v>
      </c>
      <c r="L32" s="208"/>
      <c r="M32" s="208"/>
      <c r="N32" s="208">
        <f>H31/C32</f>
        <v>0.41737168640721939</v>
      </c>
      <c r="O32" s="208">
        <f>I31/C32</f>
        <v>0.38240270727580372</v>
      </c>
      <c r="P32" s="208">
        <f>K31/C32</f>
        <v>0.10716300056401579</v>
      </c>
      <c r="Q32" s="101">
        <f>J31/C32</f>
        <v>9.3062605752961089E-2</v>
      </c>
      <c r="R32" s="90" t="s">
        <v>82</v>
      </c>
      <c r="S32" s="203">
        <f>I31+M31</f>
        <v>678</v>
      </c>
      <c r="T32" s="309"/>
      <c r="U32" s="310"/>
      <c r="V32" s="39"/>
      <c r="W32" s="39"/>
      <c r="X32" s="48" t="s">
        <v>27</v>
      </c>
      <c r="Y32" s="48"/>
      <c r="Z32" s="47">
        <f>I31</f>
        <v>678</v>
      </c>
    </row>
    <row r="33" spans="1:33" ht="17.25" thickBot="1" x14ac:dyDescent="0.35">
      <c r="A33" s="305" t="s">
        <v>24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267"/>
      <c r="U33" s="268"/>
      <c r="X33" s="49" t="s">
        <v>29</v>
      </c>
      <c r="Y33" s="49"/>
      <c r="Z33" s="50">
        <f>SUM(Z31:Z32)</f>
        <v>-2067</v>
      </c>
      <c r="AG33" s="35"/>
    </row>
    <row r="34" spans="1:33" ht="17.25" thickBot="1" x14ac:dyDescent="0.35">
      <c r="A34" s="266" t="str">
        <f>A2</f>
        <v>29 - 8 - 2022</v>
      </c>
      <c r="B34" s="267"/>
      <c r="C34" s="267"/>
      <c r="D34" s="267"/>
      <c r="E34" s="267"/>
      <c r="F34" s="267"/>
      <c r="G34" s="268"/>
      <c r="H34" s="269" t="s">
        <v>49</v>
      </c>
      <c r="I34" s="270"/>
      <c r="J34" s="266" t="str">
        <f>J2</f>
        <v>CLOUDY</v>
      </c>
      <c r="K34" s="268"/>
      <c r="L34" s="270" t="s">
        <v>50</v>
      </c>
      <c r="M34" s="271"/>
      <c r="N34" s="269"/>
      <c r="O34" s="267" t="str">
        <f>O2</f>
        <v>HENDRA</v>
      </c>
      <c r="P34" s="267"/>
      <c r="Q34" s="268"/>
      <c r="R34" s="270" t="s">
        <v>51</v>
      </c>
      <c r="S34" s="269"/>
      <c r="T34" s="272">
        <f>T2</f>
        <v>6</v>
      </c>
      <c r="U34" s="272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76" t="s">
        <v>8</v>
      </c>
      <c r="P36" s="276"/>
      <c r="Q36" s="276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3"/>
      <c r="P37" s="284"/>
      <c r="Q37" s="285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0"/>
      <c r="P38" s="281"/>
      <c r="Q38" s="282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3"/>
      <c r="P39" s="284"/>
      <c r="Q39" s="285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86"/>
      <c r="P40" s="287"/>
      <c r="Q40" s="28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86"/>
      <c r="P41" s="287"/>
      <c r="Q41" s="28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73"/>
      <c r="P42" s="274"/>
      <c r="Q42" s="27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3"/>
      <c r="P43" s="284"/>
      <c r="Q43" s="285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3"/>
      <c r="P44" s="284"/>
      <c r="Q44" s="285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3"/>
      <c r="P45" s="284"/>
      <c r="Q45" s="285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3"/>
      <c r="P46" s="284"/>
      <c r="Q46" s="285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3"/>
      <c r="P47" s="284"/>
      <c r="Q47" s="285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3"/>
      <c r="P48" s="284"/>
      <c r="Q48" s="285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3"/>
      <c r="P49" s="284"/>
      <c r="Q49" s="285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3"/>
      <c r="P50" s="284"/>
      <c r="Q50" s="285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3"/>
      <c r="P51" s="284"/>
      <c r="Q51" s="284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3"/>
      <c r="P52" s="284"/>
      <c r="Q52" s="284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4"/>
      <c r="P53" s="283"/>
      <c r="Q53" s="283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4"/>
      <c r="P54" s="283"/>
      <c r="Q54" s="283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4"/>
      <c r="P55" s="283"/>
      <c r="Q55" s="283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4"/>
      <c r="P56" s="284"/>
      <c r="Q56" s="284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3"/>
      <c r="P57" s="284"/>
      <c r="Q57" s="284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4"/>
      <c r="P58" s="284"/>
      <c r="Q58" s="284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4"/>
      <c r="P59" s="284"/>
      <c r="Q59" s="284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3"/>
      <c r="P60" s="284"/>
      <c r="Q60" s="285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25"/>
      <c r="P61" s="326"/>
      <c r="Q61" s="327"/>
      <c r="R61" s="72"/>
      <c r="S61" s="59"/>
      <c r="T61" s="59"/>
      <c r="U61" s="68"/>
    </row>
    <row r="62" spans="1:21" x14ac:dyDescent="0.3">
      <c r="A62" s="328" t="s">
        <v>48</v>
      </c>
      <c r="B62" s="329"/>
      <c r="C62" s="329"/>
      <c r="D62" s="329"/>
      <c r="E62" s="329"/>
      <c r="F62" s="329"/>
      <c r="G62" s="329"/>
      <c r="H62" s="329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43"/>
      <c r="O62" s="344"/>
      <c r="P62" s="344"/>
      <c r="Q62" s="345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46"/>
      <c r="O63" s="347"/>
      <c r="P63" s="347"/>
      <c r="Q63" s="348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05"/>
      <c r="O64" s="306"/>
      <c r="P64" s="306"/>
      <c r="Q64" s="349"/>
      <c r="R64" s="350" t="s">
        <v>17</v>
      </c>
      <c r="S64" s="351"/>
      <c r="T64" s="351"/>
      <c r="U64" s="352"/>
    </row>
    <row r="65" spans="1:21" ht="17.25" thickBot="1" x14ac:dyDescent="0.35">
      <c r="A65" s="266" t="s">
        <v>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8"/>
    </row>
    <row r="66" spans="1:21" ht="17.25" thickBot="1" x14ac:dyDescent="0.35">
      <c r="A66" s="266" t="str">
        <f>A34</f>
        <v>29 - 8 - 2022</v>
      </c>
      <c r="B66" s="267"/>
      <c r="C66" s="267"/>
      <c r="D66" s="267"/>
      <c r="E66" s="267"/>
      <c r="F66" s="267"/>
      <c r="G66" s="268"/>
      <c r="H66" s="269" t="s">
        <v>49</v>
      </c>
      <c r="I66" s="270"/>
      <c r="J66" s="266" t="str">
        <f>J34</f>
        <v>CLOUDY</v>
      </c>
      <c r="K66" s="268"/>
      <c r="L66" s="270" t="s">
        <v>50</v>
      </c>
      <c r="M66" s="271"/>
      <c r="N66" s="269"/>
      <c r="O66" s="267" t="str">
        <f>O34</f>
        <v>HENDRA</v>
      </c>
      <c r="P66" s="267"/>
      <c r="Q66" s="268"/>
      <c r="R66" s="270" t="s">
        <v>51</v>
      </c>
      <c r="S66" s="269"/>
      <c r="T66" s="272">
        <f>T34</f>
        <v>6</v>
      </c>
      <c r="U66" s="272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76" t="s">
        <v>8</v>
      </c>
      <c r="P68" s="276"/>
      <c r="Q68" s="276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3"/>
      <c r="P69" s="284"/>
      <c r="Q69" s="285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0"/>
      <c r="P70" s="281"/>
      <c r="Q70" s="282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3"/>
      <c r="P71" s="284"/>
      <c r="Q71" s="285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86"/>
      <c r="P72" s="287"/>
      <c r="Q72" s="28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86"/>
      <c r="P73" s="287"/>
      <c r="Q73" s="28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73"/>
      <c r="P74" s="274"/>
      <c r="Q74" s="27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3"/>
      <c r="P75" s="284"/>
      <c r="Q75" s="285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3"/>
      <c r="P76" s="284"/>
      <c r="Q76" s="285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3"/>
      <c r="P77" s="284"/>
      <c r="Q77" s="285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3"/>
      <c r="P78" s="284"/>
      <c r="Q78" s="285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3"/>
      <c r="P79" s="284"/>
      <c r="Q79" s="285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3"/>
      <c r="P80" s="284"/>
      <c r="Q80" s="285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3"/>
      <c r="P81" s="284"/>
      <c r="Q81" s="285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3"/>
      <c r="P82" s="284"/>
      <c r="Q82" s="285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3"/>
      <c r="P83" s="284"/>
      <c r="Q83" s="284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3"/>
      <c r="P84" s="284"/>
      <c r="Q84" s="284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4"/>
      <c r="P85" s="283"/>
      <c r="Q85" s="283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4"/>
      <c r="P86" s="283"/>
      <c r="Q86" s="283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4"/>
      <c r="P87" s="283"/>
      <c r="Q87" s="283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4"/>
      <c r="P88" s="284"/>
      <c r="Q88" s="284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3"/>
      <c r="P89" s="284"/>
      <c r="Q89" s="284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4"/>
      <c r="P90" s="284"/>
      <c r="Q90" s="284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4"/>
      <c r="P91" s="284"/>
      <c r="Q91" s="284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3"/>
      <c r="P92" s="284"/>
      <c r="Q92" s="285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25"/>
      <c r="P93" s="326"/>
      <c r="Q93" s="327"/>
      <c r="R93" s="72"/>
      <c r="S93" s="59"/>
      <c r="T93" s="59"/>
      <c r="U93" s="68"/>
    </row>
    <row r="94" spans="1:21" x14ac:dyDescent="0.3">
      <c r="A94" s="328" t="s">
        <v>48</v>
      </c>
      <c r="B94" s="329"/>
      <c r="C94" s="329"/>
      <c r="D94" s="329"/>
      <c r="E94" s="353"/>
      <c r="F94" s="329"/>
      <c r="G94" s="329"/>
      <c r="H94" s="329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43"/>
      <c r="O94" s="344"/>
      <c r="P94" s="344"/>
      <c r="Q94" s="345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46"/>
      <c r="O95" s="347"/>
      <c r="P95" s="347"/>
      <c r="Q95" s="348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05"/>
      <c r="O96" s="306"/>
      <c r="P96" s="306"/>
      <c r="Q96" s="349"/>
      <c r="R96" s="350" t="s">
        <v>52</v>
      </c>
      <c r="S96" s="351"/>
      <c r="T96" s="351"/>
      <c r="U96" s="352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H2" sqref="H2:I2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66" t="s">
        <v>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8"/>
    </row>
    <row r="2" spans="1:44" ht="17.25" thickBot="1" x14ac:dyDescent="0.35">
      <c r="A2" s="266" t="s">
        <v>358</v>
      </c>
      <c r="B2" s="267"/>
      <c r="C2" s="267"/>
      <c r="D2" s="267"/>
      <c r="E2" s="267"/>
      <c r="F2" s="267"/>
      <c r="G2" s="268"/>
      <c r="H2" s="269" t="s">
        <v>49</v>
      </c>
      <c r="I2" s="270"/>
      <c r="J2" s="266" t="s">
        <v>98</v>
      </c>
      <c r="K2" s="268"/>
      <c r="L2" s="270" t="s">
        <v>96</v>
      </c>
      <c r="M2" s="271"/>
      <c r="N2" s="269"/>
      <c r="O2" s="267" t="s">
        <v>99</v>
      </c>
      <c r="P2" s="267"/>
      <c r="Q2" s="268"/>
      <c r="R2" s="270" t="s">
        <v>51</v>
      </c>
      <c r="S2" s="269"/>
      <c r="T2" s="272">
        <v>7</v>
      </c>
      <c r="U2" s="272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76" t="s">
        <v>8</v>
      </c>
      <c r="P4" s="276"/>
      <c r="Q4" s="276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10899</v>
      </c>
      <c r="C5" s="59" t="s">
        <v>108</v>
      </c>
      <c r="D5" s="190" t="s">
        <v>109</v>
      </c>
      <c r="E5" s="171" t="s">
        <v>91</v>
      </c>
      <c r="F5" s="160">
        <v>751</v>
      </c>
      <c r="G5" s="109" t="s">
        <v>110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277"/>
      <c r="P5" s="278"/>
      <c r="Q5" s="279"/>
      <c r="R5" s="32" t="s">
        <v>99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10900</v>
      </c>
      <c r="C6" s="58" t="s">
        <v>159</v>
      </c>
      <c r="D6" s="190" t="s">
        <v>160</v>
      </c>
      <c r="E6" s="171" t="s">
        <v>92</v>
      </c>
      <c r="F6" s="161">
        <v>915</v>
      </c>
      <c r="G6" s="109" t="s">
        <v>110</v>
      </c>
      <c r="H6" s="82"/>
      <c r="I6" s="115">
        <v>151.5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280"/>
      <c r="P6" s="281"/>
      <c r="Q6" s="282"/>
      <c r="R6" s="122" t="s">
        <v>100</v>
      </c>
      <c r="S6" s="30">
        <v>0.33333333333333331</v>
      </c>
      <c r="T6" s="31">
        <v>0.66666666666666663</v>
      </c>
      <c r="U6" s="83">
        <f t="shared" si="0"/>
        <v>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10901</v>
      </c>
      <c r="C7" s="58" t="s">
        <v>157</v>
      </c>
      <c r="D7" s="190" t="s">
        <v>158</v>
      </c>
      <c r="E7" s="171" t="s">
        <v>92</v>
      </c>
      <c r="F7" s="161">
        <v>930</v>
      </c>
      <c r="G7" s="109" t="s">
        <v>128</v>
      </c>
      <c r="H7" s="82">
        <v>20</v>
      </c>
      <c r="I7" s="115">
        <v>55.55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283"/>
      <c r="P7" s="284"/>
      <c r="Q7" s="285"/>
      <c r="R7" s="124" t="s">
        <v>101</v>
      </c>
      <c r="S7" s="30">
        <v>0.375</v>
      </c>
      <c r="T7" s="31">
        <v>0.66666666666666663</v>
      </c>
      <c r="U7" s="83">
        <f t="shared" si="0"/>
        <v>6.9999999999999991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10902</v>
      </c>
      <c r="C8" s="26" t="s">
        <v>161</v>
      </c>
      <c r="D8" s="190" t="s">
        <v>162</v>
      </c>
      <c r="E8" s="171" t="s">
        <v>92</v>
      </c>
      <c r="F8" s="161">
        <v>1000</v>
      </c>
      <c r="G8" s="109" t="s">
        <v>110</v>
      </c>
      <c r="H8" s="82"/>
      <c r="I8" s="115">
        <v>151.5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286"/>
      <c r="P8" s="287"/>
      <c r="Q8" s="288"/>
      <c r="R8" s="25" t="s">
        <v>102</v>
      </c>
      <c r="S8" s="30">
        <v>0.375</v>
      </c>
      <c r="T8" s="31">
        <v>0.71875</v>
      </c>
      <c r="U8" s="83">
        <f t="shared" si="0"/>
        <v>8.25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10903</v>
      </c>
      <c r="C9" s="54" t="s">
        <v>163</v>
      </c>
      <c r="D9" s="191" t="s">
        <v>164</v>
      </c>
      <c r="E9" s="171" t="s">
        <v>92</v>
      </c>
      <c r="F9" s="162">
        <v>1030</v>
      </c>
      <c r="G9" s="110" t="s">
        <v>117</v>
      </c>
      <c r="H9" s="82"/>
      <c r="I9" s="82">
        <v>75.75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286" t="s">
        <v>165</v>
      </c>
      <c r="P9" s="287"/>
      <c r="Q9" s="288"/>
      <c r="R9" s="249" t="s">
        <v>103</v>
      </c>
      <c r="S9" s="30">
        <v>0.41666666666666669</v>
      </c>
      <c r="T9" s="31">
        <v>0.66666666666666663</v>
      </c>
      <c r="U9" s="83">
        <f t="shared" si="0"/>
        <v>5.9999999999999982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10904</v>
      </c>
      <c r="C10" s="27" t="s">
        <v>166</v>
      </c>
      <c r="D10" s="192" t="s">
        <v>167</v>
      </c>
      <c r="E10" s="171" t="s">
        <v>92</v>
      </c>
      <c r="F10" s="163">
        <v>1100</v>
      </c>
      <c r="G10" s="111" t="s">
        <v>128</v>
      </c>
      <c r="H10" s="114">
        <v>75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73"/>
      <c r="P10" s="274"/>
      <c r="Q10" s="275"/>
      <c r="R10" s="250" t="s">
        <v>104</v>
      </c>
      <c r="S10" s="30">
        <v>0.39583333333333331</v>
      </c>
      <c r="T10" s="31">
        <v>0.625</v>
      </c>
      <c r="U10" s="83">
        <f t="shared" si="0"/>
        <v>5.5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10905</v>
      </c>
      <c r="C11" s="17" t="s">
        <v>168</v>
      </c>
      <c r="D11" s="193" t="s">
        <v>169</v>
      </c>
      <c r="E11" s="171" t="s">
        <v>92</v>
      </c>
      <c r="F11" s="57">
        <v>1115</v>
      </c>
      <c r="G11" s="112" t="s">
        <v>150</v>
      </c>
      <c r="H11" s="114"/>
      <c r="I11" s="115">
        <v>50.5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83"/>
      <c r="P11" s="284"/>
      <c r="Q11" s="285"/>
      <c r="R11" s="25" t="s">
        <v>155</v>
      </c>
      <c r="S11" s="30">
        <v>0.39583333333333331</v>
      </c>
      <c r="T11" s="31">
        <v>0.71875</v>
      </c>
      <c r="U11" s="83">
        <f t="shared" si="0"/>
        <v>7.75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10906</v>
      </c>
      <c r="C12" s="55" t="s">
        <v>170</v>
      </c>
      <c r="D12" s="194" t="s">
        <v>171</v>
      </c>
      <c r="E12" s="171" t="s">
        <v>92</v>
      </c>
      <c r="F12" s="163">
        <v>1140</v>
      </c>
      <c r="G12" s="110" t="s">
        <v>128</v>
      </c>
      <c r="H12" s="114"/>
      <c r="I12" s="116">
        <v>55.55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283"/>
      <c r="P12" s="284"/>
      <c r="Q12" s="285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10907</v>
      </c>
      <c r="C13" s="55" t="s">
        <v>172</v>
      </c>
      <c r="D13" s="194" t="s">
        <v>173</v>
      </c>
      <c r="E13" s="171" t="s">
        <v>92</v>
      </c>
      <c r="F13" s="163">
        <v>1200</v>
      </c>
      <c r="G13" s="110" t="s">
        <v>113</v>
      </c>
      <c r="H13" s="159"/>
      <c r="I13" s="158"/>
      <c r="J13" s="120" t="str">
        <f t="shared" si="1"/>
        <v>0</v>
      </c>
      <c r="K13" s="120">
        <v>79.16</v>
      </c>
      <c r="L13" s="121"/>
      <c r="M13" s="121"/>
      <c r="N13" s="124" t="s">
        <v>99</v>
      </c>
      <c r="O13" s="283" t="s">
        <v>174</v>
      </c>
      <c r="P13" s="284"/>
      <c r="Q13" s="2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10908</v>
      </c>
      <c r="C14" s="56" t="s">
        <v>185</v>
      </c>
      <c r="D14" s="195" t="s">
        <v>186</v>
      </c>
      <c r="E14" s="171" t="s">
        <v>92</v>
      </c>
      <c r="F14" s="164">
        <v>1215</v>
      </c>
      <c r="G14" s="113" t="s">
        <v>44</v>
      </c>
      <c r="H14" s="114"/>
      <c r="I14" s="116"/>
      <c r="J14" s="120">
        <v>165</v>
      </c>
      <c r="K14" s="120" t="str">
        <f t="shared" si="2"/>
        <v>0</v>
      </c>
      <c r="L14" s="121"/>
      <c r="M14" s="121"/>
      <c r="N14" s="124" t="s">
        <v>99</v>
      </c>
      <c r="O14" s="354">
        <v>2.0220402520220599E+26</v>
      </c>
      <c r="P14" s="284"/>
      <c r="Q14" s="285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10909</v>
      </c>
      <c r="C15" s="56" t="s">
        <v>177</v>
      </c>
      <c r="D15" s="195" t="s">
        <v>178</v>
      </c>
      <c r="E15" s="171" t="s">
        <v>92</v>
      </c>
      <c r="F15" s="164">
        <v>1315</v>
      </c>
      <c r="G15" s="113" t="s">
        <v>117</v>
      </c>
      <c r="H15" s="114"/>
      <c r="I15" s="115">
        <v>75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83"/>
      <c r="P15" s="284"/>
      <c r="Q15" s="28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10910</v>
      </c>
      <c r="C16" s="56" t="s">
        <v>175</v>
      </c>
      <c r="D16" s="195" t="s">
        <v>176</v>
      </c>
      <c r="E16" s="171" t="s">
        <v>92</v>
      </c>
      <c r="F16" s="164">
        <v>1315</v>
      </c>
      <c r="G16" s="113" t="s">
        <v>128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83"/>
      <c r="P16" s="284"/>
      <c r="Q16" s="285"/>
      <c r="R16" s="73">
        <f>H32/U16</f>
        <v>0.32850241545893721</v>
      </c>
      <c r="S16" s="74">
        <f>H32/(U16-U5)</f>
        <v>0.4</v>
      </c>
      <c r="T16" s="74">
        <f>C32/U16</f>
        <v>29.958067632850241</v>
      </c>
      <c r="U16" s="74">
        <f>SUM(U5:U15)</f>
        <v>51.75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10911</v>
      </c>
      <c r="C17" s="17" t="s">
        <v>179</v>
      </c>
      <c r="D17" s="193" t="s">
        <v>180</v>
      </c>
      <c r="E17" s="171" t="s">
        <v>92</v>
      </c>
      <c r="F17" s="57">
        <v>1320</v>
      </c>
      <c r="G17" s="112" t="s">
        <v>144</v>
      </c>
      <c r="H17" s="114"/>
      <c r="I17" s="115"/>
      <c r="J17" s="120" t="str">
        <f t="shared" si="1"/>
        <v>0</v>
      </c>
      <c r="K17" s="120">
        <v>62.5</v>
      </c>
      <c r="L17" s="121"/>
      <c r="M17" s="121"/>
      <c r="N17" s="124" t="s">
        <v>99</v>
      </c>
      <c r="O17" s="283" t="s">
        <v>181</v>
      </c>
      <c r="P17" s="284"/>
      <c r="Q17" s="285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252">
        <v>10912</v>
      </c>
      <c r="C18" s="253" t="s">
        <v>182</v>
      </c>
      <c r="D18" s="254" t="s">
        <v>183</v>
      </c>
      <c r="E18" s="255" t="s">
        <v>92</v>
      </c>
      <c r="F18" s="256">
        <v>1330</v>
      </c>
      <c r="G18" s="252" t="s">
        <v>113</v>
      </c>
      <c r="H18" s="257"/>
      <c r="I18" s="258"/>
      <c r="J18" s="258" t="str">
        <f t="shared" si="1"/>
        <v>0</v>
      </c>
      <c r="K18" s="258">
        <v>79.16</v>
      </c>
      <c r="L18" s="259"/>
      <c r="M18" s="259">
        <v>479.75</v>
      </c>
      <c r="N18" s="260" t="s">
        <v>99</v>
      </c>
      <c r="O18" s="355" t="s">
        <v>184</v>
      </c>
      <c r="P18" s="356"/>
      <c r="Q18" s="35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10913</v>
      </c>
      <c r="C19" s="17" t="s">
        <v>187</v>
      </c>
      <c r="D19" s="193" t="s">
        <v>188</v>
      </c>
      <c r="E19" s="171" t="s">
        <v>91</v>
      </c>
      <c r="F19" s="57">
        <v>1400</v>
      </c>
      <c r="G19" s="112" t="s">
        <v>44</v>
      </c>
      <c r="H19" s="114"/>
      <c r="I19" s="115"/>
      <c r="J19" s="120" t="str">
        <f t="shared" si="1"/>
        <v>55</v>
      </c>
      <c r="K19" s="120" t="str">
        <f t="shared" si="2"/>
        <v>0</v>
      </c>
      <c r="L19" s="121"/>
      <c r="M19" s="121"/>
      <c r="N19" s="124" t="s">
        <v>99</v>
      </c>
      <c r="O19" s="283">
        <v>202208040</v>
      </c>
      <c r="P19" s="284"/>
      <c r="Q19" s="284"/>
      <c r="R19" s="84" t="s">
        <v>45</v>
      </c>
      <c r="S19" s="85">
        <f>COUNT(L5:M29,L37:M61,L69:M93)</f>
        <v>2</v>
      </c>
      <c r="T19" s="107">
        <f>SUM(L5:M29,L37:M61,L69:M93)</f>
        <v>954.75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252">
        <v>10914</v>
      </c>
      <c r="C20" s="253" t="s">
        <v>189</v>
      </c>
      <c r="D20" s="254" t="s">
        <v>190</v>
      </c>
      <c r="E20" s="255" t="s">
        <v>91</v>
      </c>
      <c r="F20" s="256">
        <v>1500</v>
      </c>
      <c r="G20" s="261" t="s">
        <v>113</v>
      </c>
      <c r="H20" s="257"/>
      <c r="I20" s="258"/>
      <c r="J20" s="258" t="str">
        <f t="shared" si="1"/>
        <v>0</v>
      </c>
      <c r="K20" s="258">
        <v>79.16</v>
      </c>
      <c r="L20" s="259"/>
      <c r="M20" s="259">
        <v>475</v>
      </c>
      <c r="N20" s="260" t="s">
        <v>99</v>
      </c>
      <c r="O20" s="355" t="s">
        <v>191</v>
      </c>
      <c r="P20" s="356"/>
      <c r="Q20" s="356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10915</v>
      </c>
      <c r="C21" s="17" t="s">
        <v>192</v>
      </c>
      <c r="D21" s="193" t="s">
        <v>193</v>
      </c>
      <c r="E21" s="171" t="s">
        <v>92</v>
      </c>
      <c r="F21" s="251">
        <v>0.6875</v>
      </c>
      <c r="G21" s="19" t="s">
        <v>117</v>
      </c>
      <c r="H21" s="114">
        <v>95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283"/>
      <c r="P21" s="284"/>
      <c r="Q21" s="284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3"/>
      <c r="P22" s="284"/>
      <c r="Q22" s="285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89"/>
      <c r="Y23" s="290"/>
      <c r="Z23" s="29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3"/>
      <c r="P24" s="284"/>
      <c r="Q24" s="285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3"/>
      <c r="P25" s="284"/>
      <c r="Q25" s="28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93">
        <f>((C32+(R26+S26+T26)*0.5))</f>
        <v>1550.33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3"/>
      <c r="P26" s="284"/>
      <c r="Q26" s="285"/>
      <c r="R26" s="103">
        <f>R25*37.5</f>
        <v>0</v>
      </c>
      <c r="S26" s="93">
        <f>S25*41.5</f>
        <v>0</v>
      </c>
      <c r="T26" s="93">
        <f>T25*50</f>
        <v>0</v>
      </c>
      <c r="U26" s="294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3"/>
      <c r="P27" s="284"/>
      <c r="Q27" s="285"/>
      <c r="R27" s="302" t="s">
        <v>56</v>
      </c>
      <c r="S27" s="303"/>
      <c r="T27" s="303"/>
      <c r="U27" s="304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3"/>
      <c r="P28" s="284"/>
      <c r="Q28" s="285"/>
      <c r="R28" s="295" t="s">
        <v>156</v>
      </c>
      <c r="S28" s="296"/>
      <c r="T28" s="297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11"/>
      <c r="P29" s="312"/>
      <c r="Q29" s="313"/>
      <c r="R29" s="314"/>
      <c r="S29" s="315"/>
      <c r="T29" s="316"/>
      <c r="U29" s="140"/>
      <c r="X29" s="14">
        <v>3</v>
      </c>
      <c r="Z29" s="45"/>
      <c r="AE29" s="39"/>
    </row>
    <row r="30" spans="1:44" ht="16.5" customHeight="1" thickBot="1" x14ac:dyDescent="0.35">
      <c r="A30" s="317" t="s">
        <v>48</v>
      </c>
      <c r="B30" s="318"/>
      <c r="C30" s="318"/>
      <c r="D30" s="318"/>
      <c r="E30" s="319"/>
      <c r="F30" s="318"/>
      <c r="G30" s="318"/>
      <c r="H30" s="201">
        <f t="shared" ref="H30:M30" si="3">SUM(H5:H29)</f>
        <v>190</v>
      </c>
      <c r="I30" s="96">
        <f>SUM(I5:I29)</f>
        <v>840.34999999999991</v>
      </c>
      <c r="J30" s="96">
        <f>J5+J6+J7+J8+J9+J10+J11+J12+J13+J14+J15+J16+J18+J19+J17+J20+J22+J23+J21+J24+J25+J26+J27+J28+J29</f>
        <v>220</v>
      </c>
      <c r="K30" s="96">
        <f>K5+K6+K7+K8+K9+K10+K11+K12+K13+K14+K15+K16+K18+K19+K17+K20+K22+K23+K21+K24+K25+K26+K27+K28+K29</f>
        <v>299.98</v>
      </c>
      <c r="L30" s="97">
        <f t="shared" si="3"/>
        <v>0</v>
      </c>
      <c r="M30" s="97">
        <f t="shared" si="3"/>
        <v>954.75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20"/>
      <c r="S30" s="320"/>
      <c r="T30" s="321"/>
      <c r="U30" s="141"/>
      <c r="X30" s="14">
        <v>4</v>
      </c>
      <c r="Z30" s="45"/>
      <c r="AD30" s="46"/>
    </row>
    <row r="31" spans="1:44" x14ac:dyDescent="0.3">
      <c r="A31" s="322" t="s">
        <v>16</v>
      </c>
      <c r="B31" s="323"/>
      <c r="C31" s="323"/>
      <c r="D31" s="323"/>
      <c r="E31" s="323"/>
      <c r="F31" s="323"/>
      <c r="G31" s="323"/>
      <c r="H31" s="202">
        <f t="shared" ref="H31:J31" si="4">H30+H62+H94</f>
        <v>190</v>
      </c>
      <c r="I31" s="94">
        <f t="shared" si="4"/>
        <v>840.34999999999991</v>
      </c>
      <c r="J31" s="94">
        <f t="shared" si="4"/>
        <v>220</v>
      </c>
      <c r="K31" s="94">
        <f>K30+K62+K94</f>
        <v>299.98</v>
      </c>
      <c r="L31" s="88">
        <f>L30+L62+L94</f>
        <v>0</v>
      </c>
      <c r="M31" s="88">
        <f>M30+M62+M94</f>
        <v>954.75</v>
      </c>
      <c r="N31" s="207">
        <f>COUNT(H5:H29,H37:H61,H69:H93)</f>
        <v>3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2</v>
      </c>
      <c r="R31" s="89" t="s">
        <v>83</v>
      </c>
      <c r="S31" s="102">
        <f>H31+L31-U28-U29-U30</f>
        <v>190</v>
      </c>
      <c r="T31" s="307">
        <f>H31+I31+L31+M31</f>
        <v>1985.1</v>
      </c>
      <c r="U31" s="308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298" t="s">
        <v>55</v>
      </c>
      <c r="B32" s="299"/>
      <c r="C32" s="98">
        <f>H31+I31+J31+K31</f>
        <v>1550.33</v>
      </c>
      <c r="D32" s="186"/>
      <c r="E32" s="98"/>
      <c r="F32" s="300" t="s">
        <v>53</v>
      </c>
      <c r="G32" s="300"/>
      <c r="H32" s="100">
        <f>COUNT(B5:B29,B37:B61,B69:B93)</f>
        <v>17</v>
      </c>
      <c r="I32" s="301" t="s">
        <v>54</v>
      </c>
      <c r="J32" s="301"/>
      <c r="K32" s="99">
        <f>C32/H32</f>
        <v>91.195882352941169</v>
      </c>
      <c r="L32" s="208"/>
      <c r="M32" s="208"/>
      <c r="N32" s="208">
        <f>H31/C32</f>
        <v>0.1225545529016403</v>
      </c>
      <c r="O32" s="208">
        <f>I31/C32</f>
        <v>0.54204588700470224</v>
      </c>
      <c r="P32" s="208">
        <f>K31/C32</f>
        <v>0.19349428831281085</v>
      </c>
      <c r="Q32" s="101">
        <f>J31/C32</f>
        <v>0.14190527178084666</v>
      </c>
      <c r="R32" s="90" t="s">
        <v>82</v>
      </c>
      <c r="S32" s="203">
        <f>I31+M31</f>
        <v>1795.1</v>
      </c>
      <c r="T32" s="309"/>
      <c r="U32" s="310"/>
      <c r="V32" s="39"/>
      <c r="W32" s="39"/>
      <c r="X32" s="48" t="s">
        <v>27</v>
      </c>
      <c r="Y32" s="48"/>
      <c r="Z32" s="47">
        <f>I31</f>
        <v>840.34999999999991</v>
      </c>
    </row>
    <row r="33" spans="1:33" ht="17.25" thickBot="1" x14ac:dyDescent="0.35">
      <c r="A33" s="305" t="s">
        <v>24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267"/>
      <c r="U33" s="268"/>
      <c r="X33" s="49" t="s">
        <v>29</v>
      </c>
      <c r="Y33" s="49"/>
      <c r="Z33" s="50">
        <f>SUM(Z31:Z32)</f>
        <v>-1904.65</v>
      </c>
      <c r="AG33" s="35"/>
    </row>
    <row r="34" spans="1:33" ht="17.25" thickBot="1" x14ac:dyDescent="0.35">
      <c r="A34" s="266" t="str">
        <f>A2</f>
        <v>30-8-2022</v>
      </c>
      <c r="B34" s="267"/>
      <c r="C34" s="267"/>
      <c r="D34" s="267"/>
      <c r="E34" s="267"/>
      <c r="F34" s="267"/>
      <c r="G34" s="268"/>
      <c r="H34" s="269" t="s">
        <v>49</v>
      </c>
      <c r="I34" s="270"/>
      <c r="J34" s="266" t="str">
        <f>J2</f>
        <v>CLOUDY</v>
      </c>
      <c r="K34" s="268"/>
      <c r="L34" s="270" t="s">
        <v>50</v>
      </c>
      <c r="M34" s="271"/>
      <c r="N34" s="269"/>
      <c r="O34" s="267" t="str">
        <f>O2</f>
        <v>HENDRA</v>
      </c>
      <c r="P34" s="267"/>
      <c r="Q34" s="268"/>
      <c r="R34" s="270" t="s">
        <v>51</v>
      </c>
      <c r="S34" s="269"/>
      <c r="T34" s="272">
        <f>T2</f>
        <v>7</v>
      </c>
      <c r="U34" s="272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76" t="s">
        <v>8</v>
      </c>
      <c r="P36" s="276"/>
      <c r="Q36" s="276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3"/>
      <c r="P37" s="284"/>
      <c r="Q37" s="285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0"/>
      <c r="P38" s="281"/>
      <c r="Q38" s="282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3"/>
      <c r="P39" s="284"/>
      <c r="Q39" s="285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86"/>
      <c r="P40" s="287"/>
      <c r="Q40" s="28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86"/>
      <c r="P41" s="287"/>
      <c r="Q41" s="28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73"/>
      <c r="P42" s="274"/>
      <c r="Q42" s="27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3"/>
      <c r="P43" s="284"/>
      <c r="Q43" s="285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3"/>
      <c r="P44" s="284"/>
      <c r="Q44" s="285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3"/>
      <c r="P45" s="284"/>
      <c r="Q45" s="285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3"/>
      <c r="P46" s="284"/>
      <c r="Q46" s="285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3"/>
      <c r="P47" s="284"/>
      <c r="Q47" s="285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3"/>
      <c r="P48" s="284"/>
      <c r="Q48" s="285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3"/>
      <c r="P49" s="284"/>
      <c r="Q49" s="285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3"/>
      <c r="P50" s="284"/>
      <c r="Q50" s="285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3"/>
      <c r="P51" s="284"/>
      <c r="Q51" s="284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3"/>
      <c r="P52" s="284"/>
      <c r="Q52" s="284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4"/>
      <c r="P53" s="283"/>
      <c r="Q53" s="283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4"/>
      <c r="P54" s="283"/>
      <c r="Q54" s="283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4"/>
      <c r="P55" s="283"/>
      <c r="Q55" s="283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4"/>
      <c r="P56" s="284"/>
      <c r="Q56" s="284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3"/>
      <c r="P57" s="284"/>
      <c r="Q57" s="284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4"/>
      <c r="P58" s="284"/>
      <c r="Q58" s="284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4"/>
      <c r="P59" s="284"/>
      <c r="Q59" s="284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3"/>
      <c r="P60" s="284"/>
      <c r="Q60" s="285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25"/>
      <c r="P61" s="326"/>
      <c r="Q61" s="327"/>
      <c r="R61" s="72"/>
      <c r="S61" s="59"/>
      <c r="T61" s="59"/>
      <c r="U61" s="68"/>
    </row>
    <row r="62" spans="1:21" x14ac:dyDescent="0.3">
      <c r="A62" s="328" t="s">
        <v>48</v>
      </c>
      <c r="B62" s="329"/>
      <c r="C62" s="329"/>
      <c r="D62" s="329"/>
      <c r="E62" s="329"/>
      <c r="F62" s="329"/>
      <c r="G62" s="329"/>
      <c r="H62" s="329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43"/>
      <c r="O62" s="344"/>
      <c r="P62" s="344"/>
      <c r="Q62" s="345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46"/>
      <c r="O63" s="347"/>
      <c r="P63" s="347"/>
      <c r="Q63" s="348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05"/>
      <c r="O64" s="306"/>
      <c r="P64" s="306"/>
      <c r="Q64" s="349"/>
      <c r="R64" s="350" t="s">
        <v>17</v>
      </c>
      <c r="S64" s="351"/>
      <c r="T64" s="351"/>
      <c r="U64" s="352"/>
    </row>
    <row r="65" spans="1:21" ht="17.25" thickBot="1" x14ac:dyDescent="0.35">
      <c r="A65" s="266" t="s">
        <v>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8"/>
    </row>
    <row r="66" spans="1:21" ht="17.25" thickBot="1" x14ac:dyDescent="0.35">
      <c r="A66" s="266" t="str">
        <f>A34</f>
        <v>30-8-2022</v>
      </c>
      <c r="B66" s="267"/>
      <c r="C66" s="267"/>
      <c r="D66" s="267"/>
      <c r="E66" s="267"/>
      <c r="F66" s="267"/>
      <c r="G66" s="268"/>
      <c r="H66" s="269" t="s">
        <v>49</v>
      </c>
      <c r="I66" s="270"/>
      <c r="J66" s="266" t="str">
        <f>J34</f>
        <v>CLOUDY</v>
      </c>
      <c r="K66" s="268"/>
      <c r="L66" s="270" t="s">
        <v>50</v>
      </c>
      <c r="M66" s="271"/>
      <c r="N66" s="269"/>
      <c r="O66" s="267" t="str">
        <f>O34</f>
        <v>HENDRA</v>
      </c>
      <c r="P66" s="267"/>
      <c r="Q66" s="268"/>
      <c r="R66" s="270" t="s">
        <v>51</v>
      </c>
      <c r="S66" s="269"/>
      <c r="T66" s="272">
        <f>T34</f>
        <v>7</v>
      </c>
      <c r="U66" s="272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76" t="s">
        <v>8</v>
      </c>
      <c r="P68" s="276"/>
      <c r="Q68" s="276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3"/>
      <c r="P69" s="284"/>
      <c r="Q69" s="285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0"/>
      <c r="P70" s="281"/>
      <c r="Q70" s="282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3"/>
      <c r="P71" s="284"/>
      <c r="Q71" s="285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86"/>
      <c r="P72" s="287"/>
      <c r="Q72" s="28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86"/>
      <c r="P73" s="287"/>
      <c r="Q73" s="28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73"/>
      <c r="P74" s="274"/>
      <c r="Q74" s="27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3"/>
      <c r="P75" s="284"/>
      <c r="Q75" s="285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3"/>
      <c r="P76" s="284"/>
      <c r="Q76" s="285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3"/>
      <c r="P77" s="284"/>
      <c r="Q77" s="285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3"/>
      <c r="P78" s="284"/>
      <c r="Q78" s="285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3"/>
      <c r="P79" s="284"/>
      <c r="Q79" s="285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3"/>
      <c r="P80" s="284"/>
      <c r="Q80" s="285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3"/>
      <c r="P81" s="284"/>
      <c r="Q81" s="285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3"/>
      <c r="P82" s="284"/>
      <c r="Q82" s="285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3"/>
      <c r="P83" s="284"/>
      <c r="Q83" s="284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3"/>
      <c r="P84" s="284"/>
      <c r="Q84" s="284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4"/>
      <c r="P85" s="283"/>
      <c r="Q85" s="283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4"/>
      <c r="P86" s="283"/>
      <c r="Q86" s="283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4"/>
      <c r="P87" s="283"/>
      <c r="Q87" s="283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4"/>
      <c r="P88" s="284"/>
      <c r="Q88" s="284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3"/>
      <c r="P89" s="284"/>
      <c r="Q89" s="284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4"/>
      <c r="P90" s="284"/>
      <c r="Q90" s="284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4"/>
      <c r="P91" s="284"/>
      <c r="Q91" s="284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3"/>
      <c r="P92" s="284"/>
      <c r="Q92" s="285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25"/>
      <c r="P93" s="326"/>
      <c r="Q93" s="327"/>
      <c r="R93" s="72"/>
      <c r="S93" s="59"/>
      <c r="T93" s="59"/>
      <c r="U93" s="68"/>
    </row>
    <row r="94" spans="1:21" x14ac:dyDescent="0.3">
      <c r="A94" s="328" t="s">
        <v>48</v>
      </c>
      <c r="B94" s="329"/>
      <c r="C94" s="329"/>
      <c r="D94" s="329"/>
      <c r="E94" s="353"/>
      <c r="F94" s="329"/>
      <c r="G94" s="329"/>
      <c r="H94" s="329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43"/>
      <c r="O94" s="344"/>
      <c r="P94" s="344"/>
      <c r="Q94" s="345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46"/>
      <c r="O95" s="347"/>
      <c r="P95" s="347"/>
      <c r="Q95" s="348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05"/>
      <c r="O96" s="306"/>
      <c r="P96" s="306"/>
      <c r="Q96" s="349"/>
      <c r="R96" s="350" t="s">
        <v>52</v>
      </c>
      <c r="S96" s="351"/>
      <c r="T96" s="351"/>
      <c r="U96" s="352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B17" sqref="B17:Q17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66" t="s">
        <v>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8"/>
    </row>
    <row r="2" spans="1:44" ht="17.25" thickBot="1" x14ac:dyDescent="0.35">
      <c r="A2" s="266" t="s">
        <v>194</v>
      </c>
      <c r="B2" s="267"/>
      <c r="C2" s="267"/>
      <c r="D2" s="267"/>
      <c r="E2" s="267"/>
      <c r="F2" s="267"/>
      <c r="G2" s="268"/>
      <c r="H2" s="269" t="s">
        <v>49</v>
      </c>
      <c r="I2" s="270"/>
      <c r="J2" s="266" t="s">
        <v>195</v>
      </c>
      <c r="K2" s="268"/>
      <c r="L2" s="270" t="s">
        <v>96</v>
      </c>
      <c r="M2" s="271"/>
      <c r="N2" s="269"/>
      <c r="O2" s="267" t="s">
        <v>99</v>
      </c>
      <c r="P2" s="267"/>
      <c r="Q2" s="268"/>
      <c r="R2" s="270" t="s">
        <v>51</v>
      </c>
      <c r="S2" s="269"/>
      <c r="T2" s="272">
        <v>6</v>
      </c>
      <c r="U2" s="272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76" t="s">
        <v>8</v>
      </c>
      <c r="P4" s="276"/>
      <c r="Q4" s="276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10916</v>
      </c>
      <c r="C5" s="59" t="s">
        <v>197</v>
      </c>
      <c r="D5" s="190" t="s">
        <v>198</v>
      </c>
      <c r="E5" s="171" t="s">
        <v>91</v>
      </c>
      <c r="F5" s="160">
        <v>800</v>
      </c>
      <c r="G5" s="109" t="s">
        <v>44</v>
      </c>
      <c r="H5" s="82">
        <v>20</v>
      </c>
      <c r="I5" s="115"/>
      <c r="J5" s="120" t="str">
        <f>IF(G5="RSL","55","0")</f>
        <v>55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277">
        <v>202206093</v>
      </c>
      <c r="P5" s="278"/>
      <c r="Q5" s="279"/>
      <c r="R5" s="3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10917</v>
      </c>
      <c r="C6" s="58" t="s">
        <v>199</v>
      </c>
      <c r="D6" s="190" t="s">
        <v>200</v>
      </c>
      <c r="E6" s="171" t="s">
        <v>91</v>
      </c>
      <c r="F6" s="161">
        <v>850</v>
      </c>
      <c r="G6" s="109" t="s">
        <v>117</v>
      </c>
      <c r="H6" s="82">
        <v>75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280"/>
      <c r="P6" s="281"/>
      <c r="Q6" s="282"/>
      <c r="R6" s="122" t="s">
        <v>101</v>
      </c>
      <c r="S6" s="30">
        <v>0.33333333333333331</v>
      </c>
      <c r="T6" s="31">
        <v>0.66666666666666663</v>
      </c>
      <c r="U6" s="83">
        <f t="shared" si="0"/>
        <v>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10918</v>
      </c>
      <c r="C7" s="58" t="s">
        <v>201</v>
      </c>
      <c r="D7" s="190" t="s">
        <v>202</v>
      </c>
      <c r="E7" s="171" t="s">
        <v>92</v>
      </c>
      <c r="F7" s="161">
        <v>910</v>
      </c>
      <c r="G7" s="109" t="s">
        <v>117</v>
      </c>
      <c r="H7" s="82">
        <v>75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283"/>
      <c r="P7" s="284"/>
      <c r="Q7" s="285"/>
      <c r="R7" s="124" t="s">
        <v>102</v>
      </c>
      <c r="S7" s="30">
        <v>0.375</v>
      </c>
      <c r="T7" s="31">
        <v>0.70833333333333337</v>
      </c>
      <c r="U7" s="83">
        <f t="shared" si="0"/>
        <v>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10919</v>
      </c>
      <c r="C8" s="26" t="s">
        <v>203</v>
      </c>
      <c r="D8" s="190" t="s">
        <v>204</v>
      </c>
      <c r="E8" s="171" t="s">
        <v>91</v>
      </c>
      <c r="F8" s="161">
        <v>910</v>
      </c>
      <c r="G8" s="109" t="s">
        <v>117</v>
      </c>
      <c r="H8" s="82"/>
      <c r="I8" s="115">
        <v>95.95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286"/>
      <c r="P8" s="287"/>
      <c r="Q8" s="288"/>
      <c r="R8" s="25" t="s">
        <v>196</v>
      </c>
      <c r="S8" s="30">
        <v>0.39583333333333331</v>
      </c>
      <c r="T8" s="31">
        <v>0.67708333333333337</v>
      </c>
      <c r="U8" s="83">
        <f t="shared" si="0"/>
        <v>6.7500000000000018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10920</v>
      </c>
      <c r="C9" s="54" t="s">
        <v>205</v>
      </c>
      <c r="D9" s="191" t="s">
        <v>206</v>
      </c>
      <c r="E9" s="171" t="s">
        <v>92</v>
      </c>
      <c r="F9" s="162">
        <v>925</v>
      </c>
      <c r="G9" s="110" t="s">
        <v>110</v>
      </c>
      <c r="H9" s="82">
        <v>150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286"/>
      <c r="P9" s="287"/>
      <c r="Q9" s="288"/>
      <c r="R9" s="25" t="s">
        <v>105</v>
      </c>
      <c r="S9" s="30">
        <v>0.39583333333333331</v>
      </c>
      <c r="T9" s="31">
        <v>0.67708333333333337</v>
      </c>
      <c r="U9" s="83">
        <f t="shared" si="0"/>
        <v>6.7500000000000018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10921</v>
      </c>
      <c r="C10" s="27" t="s">
        <v>207</v>
      </c>
      <c r="D10" s="192" t="s">
        <v>208</v>
      </c>
      <c r="E10" s="171" t="s">
        <v>92</v>
      </c>
      <c r="F10" s="163">
        <v>945</v>
      </c>
      <c r="G10" s="111" t="s">
        <v>117</v>
      </c>
      <c r="H10" s="114"/>
      <c r="I10" s="116">
        <v>95.95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73"/>
      <c r="P10" s="274"/>
      <c r="Q10" s="275"/>
      <c r="R10" s="249" t="s">
        <v>103</v>
      </c>
      <c r="S10" s="30">
        <v>0.41666666666666669</v>
      </c>
      <c r="T10" s="31">
        <v>0.66666666666666663</v>
      </c>
      <c r="U10" s="83">
        <f t="shared" si="0"/>
        <v>5.9999999999999982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10922</v>
      </c>
      <c r="C11" s="17" t="s">
        <v>209</v>
      </c>
      <c r="D11" s="193" t="s">
        <v>210</v>
      </c>
      <c r="E11" s="171" t="s">
        <v>92</v>
      </c>
      <c r="F11" s="57">
        <v>1000</v>
      </c>
      <c r="G11" s="112" t="s">
        <v>44</v>
      </c>
      <c r="H11" s="114"/>
      <c r="I11" s="115"/>
      <c r="J11" s="120" t="str">
        <f t="shared" si="1"/>
        <v>55</v>
      </c>
      <c r="K11" s="120" t="str">
        <f t="shared" si="2"/>
        <v>0</v>
      </c>
      <c r="L11" s="121"/>
      <c r="M11" s="121"/>
      <c r="N11" s="124" t="s">
        <v>99</v>
      </c>
      <c r="O11" s="283">
        <v>202206032</v>
      </c>
      <c r="P11" s="284"/>
      <c r="Q11" s="285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10923</v>
      </c>
      <c r="C12" s="55" t="s">
        <v>211</v>
      </c>
      <c r="D12" s="194" t="s">
        <v>212</v>
      </c>
      <c r="E12" s="171" t="s">
        <v>91</v>
      </c>
      <c r="F12" s="163">
        <v>1000</v>
      </c>
      <c r="G12" s="110" t="s">
        <v>213</v>
      </c>
      <c r="H12" s="114"/>
      <c r="I12" s="116">
        <v>380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283"/>
      <c r="P12" s="284"/>
      <c r="Q12" s="285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10924</v>
      </c>
      <c r="C13" s="55" t="s">
        <v>214</v>
      </c>
      <c r="D13" s="194" t="s">
        <v>215</v>
      </c>
      <c r="E13" s="171" t="s">
        <v>91</v>
      </c>
      <c r="F13" s="163">
        <v>1015</v>
      </c>
      <c r="G13" s="110" t="s">
        <v>150</v>
      </c>
      <c r="H13" s="159"/>
      <c r="I13" s="158">
        <v>75.75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83"/>
      <c r="P13" s="284"/>
      <c r="Q13" s="2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252">
        <v>10925</v>
      </c>
      <c r="C14" s="262" t="s">
        <v>216</v>
      </c>
      <c r="D14" s="263" t="s">
        <v>217</v>
      </c>
      <c r="E14" s="255" t="s">
        <v>92</v>
      </c>
      <c r="F14" s="264">
        <v>1030</v>
      </c>
      <c r="G14" s="265" t="s">
        <v>113</v>
      </c>
      <c r="H14" s="257"/>
      <c r="I14" s="257"/>
      <c r="J14" s="258" t="str">
        <f t="shared" si="1"/>
        <v>0</v>
      </c>
      <c r="K14" s="258">
        <v>79.16</v>
      </c>
      <c r="L14" s="259"/>
      <c r="M14" s="259">
        <v>475</v>
      </c>
      <c r="N14" s="260" t="s">
        <v>99</v>
      </c>
      <c r="O14" s="355" t="s">
        <v>218</v>
      </c>
      <c r="P14" s="356"/>
      <c r="Q14" s="35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10926</v>
      </c>
      <c r="C15" s="56" t="s">
        <v>219</v>
      </c>
      <c r="D15" s="195" t="s">
        <v>220</v>
      </c>
      <c r="E15" s="171" t="s">
        <v>92</v>
      </c>
      <c r="F15" s="164">
        <v>1100</v>
      </c>
      <c r="G15" s="113" t="s">
        <v>221</v>
      </c>
      <c r="H15" s="114"/>
      <c r="I15" s="115">
        <v>303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83"/>
      <c r="P15" s="284"/>
      <c r="Q15" s="28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10927</v>
      </c>
      <c r="C16" s="56" t="s">
        <v>242</v>
      </c>
      <c r="D16" s="195" t="s">
        <v>243</v>
      </c>
      <c r="E16" s="171" t="s">
        <v>92</v>
      </c>
      <c r="F16" s="164">
        <v>1100</v>
      </c>
      <c r="G16" s="113" t="s">
        <v>117</v>
      </c>
      <c r="H16" s="114"/>
      <c r="I16" s="115">
        <v>75.75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83"/>
      <c r="P16" s="284"/>
      <c r="Q16" s="285"/>
      <c r="R16" s="73">
        <f>H32/U16</f>
        <v>0.47191011235955055</v>
      </c>
      <c r="S16" s="74">
        <f>H32/(U16-U5)</f>
        <v>0.59154929577464788</v>
      </c>
      <c r="T16" s="74">
        <f>C32/U16</f>
        <v>53.418876404494391</v>
      </c>
      <c r="U16" s="74">
        <f>SUM(U5:U15)</f>
        <v>44.5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265">
        <v>10928</v>
      </c>
      <c r="C17" s="253" t="s">
        <v>222</v>
      </c>
      <c r="D17" s="254" t="s">
        <v>223</v>
      </c>
      <c r="E17" s="255" t="s">
        <v>91</v>
      </c>
      <c r="F17" s="256">
        <v>1100</v>
      </c>
      <c r="G17" s="261" t="s">
        <v>224</v>
      </c>
      <c r="H17" s="257"/>
      <c r="I17" s="258"/>
      <c r="J17" s="258" t="str">
        <f t="shared" si="1"/>
        <v>0</v>
      </c>
      <c r="K17" s="258">
        <v>70.83</v>
      </c>
      <c r="L17" s="259"/>
      <c r="M17" s="258">
        <v>303</v>
      </c>
      <c r="N17" s="260" t="s">
        <v>99</v>
      </c>
      <c r="O17" s="355" t="s">
        <v>225</v>
      </c>
      <c r="P17" s="356"/>
      <c r="Q17" s="35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10929</v>
      </c>
      <c r="C18" s="17" t="s">
        <v>227</v>
      </c>
      <c r="D18" s="193" t="s">
        <v>228</v>
      </c>
      <c r="E18" s="171" t="s">
        <v>91</v>
      </c>
      <c r="F18" s="57">
        <v>1115</v>
      </c>
      <c r="G18" s="19" t="s">
        <v>117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283"/>
      <c r="P18" s="284"/>
      <c r="Q18" s="285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10930</v>
      </c>
      <c r="C19" s="17" t="s">
        <v>229</v>
      </c>
      <c r="D19" s="193" t="s">
        <v>230</v>
      </c>
      <c r="E19" s="171" t="s">
        <v>92</v>
      </c>
      <c r="F19" s="57">
        <v>1120</v>
      </c>
      <c r="G19" s="112" t="s">
        <v>110</v>
      </c>
      <c r="H19" s="114"/>
      <c r="I19" s="115">
        <v>120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283"/>
      <c r="P19" s="284"/>
      <c r="Q19" s="284"/>
      <c r="R19" s="84" t="s">
        <v>45</v>
      </c>
      <c r="S19" s="85">
        <f>COUNT(L5:M29,L37:M61,L69:M93)</f>
        <v>2</v>
      </c>
      <c r="T19" s="107">
        <f>SUM(L5:M29,L37:M61,L69:M93)</f>
        <v>778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10931</v>
      </c>
      <c r="C20" s="17" t="s">
        <v>231</v>
      </c>
      <c r="D20" s="193" t="s">
        <v>232</v>
      </c>
      <c r="E20" s="171" t="s">
        <v>92</v>
      </c>
      <c r="F20" s="57">
        <v>1200</v>
      </c>
      <c r="G20" s="112" t="s">
        <v>110</v>
      </c>
      <c r="H20" s="114">
        <v>150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291"/>
      <c r="P20" s="292"/>
      <c r="Q20" s="292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10932</v>
      </c>
      <c r="C21" s="17" t="s">
        <v>233</v>
      </c>
      <c r="D21" s="193" t="s">
        <v>234</v>
      </c>
      <c r="E21" s="171" t="s">
        <v>92</v>
      </c>
      <c r="F21" s="57">
        <v>1200</v>
      </c>
      <c r="G21" s="19" t="s">
        <v>128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283"/>
      <c r="P21" s="284"/>
      <c r="Q21" s="284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10933</v>
      </c>
      <c r="C22" s="21" t="s">
        <v>235</v>
      </c>
      <c r="D22" s="196" t="s">
        <v>236</v>
      </c>
      <c r="E22" s="171" t="s">
        <v>92</v>
      </c>
      <c r="F22" s="165">
        <v>1230</v>
      </c>
      <c r="G22" s="204" t="s">
        <v>128</v>
      </c>
      <c r="H22" s="80">
        <v>125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283" t="s">
        <v>237</v>
      </c>
      <c r="P22" s="284"/>
      <c r="Q22" s="285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10934</v>
      </c>
      <c r="C23" s="126" t="s">
        <v>238</v>
      </c>
      <c r="D23" s="197" t="s">
        <v>239</v>
      </c>
      <c r="E23" s="171" t="s">
        <v>92</v>
      </c>
      <c r="F23" s="166">
        <v>1250</v>
      </c>
      <c r="G23" s="155" t="s">
        <v>117</v>
      </c>
      <c r="H23" s="80"/>
      <c r="I23" s="131">
        <v>75</v>
      </c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99</v>
      </c>
      <c r="O23" s="153"/>
      <c r="P23" s="154"/>
      <c r="Q23" s="149"/>
      <c r="R23" s="104"/>
      <c r="S23" s="105"/>
      <c r="T23" s="105"/>
      <c r="U23" s="106"/>
      <c r="X23" s="289"/>
      <c r="Y23" s="290"/>
      <c r="Z23" s="290"/>
    </row>
    <row r="24" spans="1:44" ht="16.5" customHeight="1" thickBot="1" x14ac:dyDescent="0.35">
      <c r="A24" s="125">
        <v>20</v>
      </c>
      <c r="B24" s="123">
        <v>10935</v>
      </c>
      <c r="C24" s="21" t="s">
        <v>240</v>
      </c>
      <c r="D24" s="196" t="s">
        <v>241</v>
      </c>
      <c r="E24" s="171" t="s">
        <v>92</v>
      </c>
      <c r="F24" s="165">
        <v>1300</v>
      </c>
      <c r="G24" s="204" t="s">
        <v>128</v>
      </c>
      <c r="H24" s="80">
        <v>75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283"/>
      <c r="P24" s="284"/>
      <c r="Q24" s="285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10936</v>
      </c>
      <c r="C25" s="122" t="s">
        <v>244</v>
      </c>
      <c r="D25" s="198" t="s">
        <v>245</v>
      </c>
      <c r="E25" s="171" t="s">
        <v>92</v>
      </c>
      <c r="F25" s="165">
        <v>1500</v>
      </c>
      <c r="G25" s="204" t="s">
        <v>128</v>
      </c>
      <c r="H25" s="81"/>
      <c r="I25" s="81">
        <v>75.75</v>
      </c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3"/>
      <c r="P25" s="284"/>
      <c r="Q25" s="28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93">
        <f>((C32+(R26+S26+T26)*0.5))</f>
        <v>2377.1400000000003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3"/>
      <c r="P26" s="284"/>
      <c r="Q26" s="285"/>
      <c r="R26" s="103">
        <f>R25*37.5</f>
        <v>0</v>
      </c>
      <c r="S26" s="93">
        <f>S25*41.5</f>
        <v>0</v>
      </c>
      <c r="T26" s="93">
        <f>T25*50</f>
        <v>0</v>
      </c>
      <c r="U26" s="294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3"/>
      <c r="P27" s="284"/>
      <c r="Q27" s="285"/>
      <c r="R27" s="302" t="s">
        <v>56</v>
      </c>
      <c r="S27" s="303"/>
      <c r="T27" s="303"/>
      <c r="U27" s="304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3"/>
      <c r="P28" s="284"/>
      <c r="Q28" s="285"/>
      <c r="R28" s="295" t="s">
        <v>226</v>
      </c>
      <c r="S28" s="296"/>
      <c r="T28" s="297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11"/>
      <c r="P29" s="312"/>
      <c r="Q29" s="313"/>
      <c r="R29" s="314" t="s">
        <v>107</v>
      </c>
      <c r="S29" s="315"/>
      <c r="T29" s="316"/>
      <c r="U29" s="140"/>
      <c r="X29" s="14">
        <v>3</v>
      </c>
      <c r="Z29" s="45"/>
      <c r="AE29" s="39"/>
    </row>
    <row r="30" spans="1:44" ht="16.5" customHeight="1" thickBot="1" x14ac:dyDescent="0.35">
      <c r="A30" s="317" t="s">
        <v>48</v>
      </c>
      <c r="B30" s="318"/>
      <c r="C30" s="318"/>
      <c r="D30" s="318"/>
      <c r="E30" s="319"/>
      <c r="F30" s="318"/>
      <c r="G30" s="318"/>
      <c r="H30" s="201">
        <f t="shared" ref="H30:M30" si="3">SUM(H5:H29)</f>
        <v>670</v>
      </c>
      <c r="I30" s="96">
        <f>SUM(I5:I29)</f>
        <v>1447.15</v>
      </c>
      <c r="J30" s="96">
        <f>J5+J6+J7+J8+J9+J10+J11+J12+J13+J14+J15+J16+J18+J19+J17+J20+J22+J23+J21+J24+J25+J26+J27+J28+J29</f>
        <v>110</v>
      </c>
      <c r="K30" s="96">
        <f>K5+K6+K7+K8+K9+K10+K11+K12+K13+K14+K15+K16+K18+K19+K17+K20+K22+K23+K21+K24+K25+K26+K27+K28+K29</f>
        <v>149.99</v>
      </c>
      <c r="L30" s="97">
        <f t="shared" si="3"/>
        <v>0</v>
      </c>
      <c r="M30" s="97">
        <f t="shared" si="3"/>
        <v>778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20"/>
      <c r="S30" s="320"/>
      <c r="T30" s="321"/>
      <c r="U30" s="141"/>
      <c r="X30" s="14">
        <v>4</v>
      </c>
      <c r="Z30" s="45"/>
      <c r="AD30" s="46"/>
    </row>
    <row r="31" spans="1:44" x14ac:dyDescent="0.3">
      <c r="A31" s="322" t="s">
        <v>16</v>
      </c>
      <c r="B31" s="323"/>
      <c r="C31" s="323"/>
      <c r="D31" s="323"/>
      <c r="E31" s="323"/>
      <c r="F31" s="323"/>
      <c r="G31" s="323"/>
      <c r="H31" s="202">
        <f t="shared" ref="H31:J31" si="4">H30+H62+H94</f>
        <v>670</v>
      </c>
      <c r="I31" s="94">
        <f t="shared" si="4"/>
        <v>1447.15</v>
      </c>
      <c r="J31" s="94">
        <f t="shared" si="4"/>
        <v>110</v>
      </c>
      <c r="K31" s="94">
        <f>K30+K62+K94</f>
        <v>149.99</v>
      </c>
      <c r="L31" s="88">
        <f>L30+L62+L94</f>
        <v>0</v>
      </c>
      <c r="M31" s="88">
        <f>M30+M62+M94</f>
        <v>778</v>
      </c>
      <c r="N31" s="207">
        <f>COUNT(H5:H29,H37:H61,H69:H93)</f>
        <v>7</v>
      </c>
      <c r="O31" s="95">
        <f>COUNT(I5:I29,I37:I61,I69:I93)</f>
        <v>11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2</v>
      </c>
      <c r="R31" s="89" t="s">
        <v>83</v>
      </c>
      <c r="S31" s="102">
        <f>H31+L31-U28-U29-U30</f>
        <v>670</v>
      </c>
      <c r="T31" s="307">
        <f>H31+I31+L31+M31</f>
        <v>2895.15</v>
      </c>
      <c r="U31" s="308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298" t="s">
        <v>55</v>
      </c>
      <c r="B32" s="299"/>
      <c r="C32" s="98">
        <f>H31+I31+J31+K31</f>
        <v>2377.1400000000003</v>
      </c>
      <c r="D32" s="186"/>
      <c r="E32" s="98"/>
      <c r="F32" s="300" t="s">
        <v>53</v>
      </c>
      <c r="G32" s="300"/>
      <c r="H32" s="100">
        <f>COUNT(B5:B29,B37:B61,B69:B93)</f>
        <v>21</v>
      </c>
      <c r="I32" s="301" t="s">
        <v>54</v>
      </c>
      <c r="J32" s="301"/>
      <c r="K32" s="99">
        <f>C32/H32</f>
        <v>113.19714285714288</v>
      </c>
      <c r="L32" s="208"/>
      <c r="M32" s="208"/>
      <c r="N32" s="208">
        <f>H31/C32</f>
        <v>0.28185130030204358</v>
      </c>
      <c r="O32" s="208">
        <f>I31/C32</f>
        <v>0.60877777497328722</v>
      </c>
      <c r="P32" s="208">
        <f>K31/C32</f>
        <v>6.3096830645229141E-2</v>
      </c>
      <c r="Q32" s="101">
        <f>J31/C32</f>
        <v>4.6274094079439991E-2</v>
      </c>
      <c r="R32" s="90" t="s">
        <v>82</v>
      </c>
      <c r="S32" s="203">
        <f>I31+M31</f>
        <v>2225.15</v>
      </c>
      <c r="T32" s="309"/>
      <c r="U32" s="310"/>
      <c r="V32" s="39"/>
      <c r="W32" s="39"/>
      <c r="X32" s="48" t="s">
        <v>27</v>
      </c>
      <c r="Y32" s="48"/>
      <c r="Z32" s="47">
        <f>I31</f>
        <v>1447.15</v>
      </c>
    </row>
    <row r="33" spans="1:33" ht="17.25" thickBot="1" x14ac:dyDescent="0.35">
      <c r="A33" s="305" t="s">
        <v>24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267"/>
      <c r="U33" s="268"/>
      <c r="X33" s="49" t="s">
        <v>29</v>
      </c>
      <c r="Y33" s="49"/>
      <c r="Z33" s="50">
        <f>SUM(Z31:Z32)</f>
        <v>-1297.8499999999999</v>
      </c>
      <c r="AG33" s="35"/>
    </row>
    <row r="34" spans="1:33" ht="17.25" thickBot="1" x14ac:dyDescent="0.35">
      <c r="A34" s="266" t="str">
        <f>A2</f>
        <v>31 - 8 - 2022</v>
      </c>
      <c r="B34" s="267"/>
      <c r="C34" s="267"/>
      <c r="D34" s="267"/>
      <c r="E34" s="267"/>
      <c r="F34" s="267"/>
      <c r="G34" s="268"/>
      <c r="H34" s="269" t="s">
        <v>49</v>
      </c>
      <c r="I34" s="270"/>
      <c r="J34" s="266" t="str">
        <f>J2</f>
        <v>SUNNY</v>
      </c>
      <c r="K34" s="268"/>
      <c r="L34" s="270" t="s">
        <v>50</v>
      </c>
      <c r="M34" s="271"/>
      <c r="N34" s="269"/>
      <c r="O34" s="267" t="str">
        <f>O2</f>
        <v>HENDRA</v>
      </c>
      <c r="P34" s="267"/>
      <c r="Q34" s="268"/>
      <c r="R34" s="270" t="s">
        <v>51</v>
      </c>
      <c r="S34" s="269"/>
      <c r="T34" s="272">
        <f>T2</f>
        <v>6</v>
      </c>
      <c r="U34" s="272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76" t="s">
        <v>8</v>
      </c>
      <c r="P36" s="276"/>
      <c r="Q36" s="276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3"/>
      <c r="P37" s="284"/>
      <c r="Q37" s="285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0"/>
      <c r="P38" s="281"/>
      <c r="Q38" s="282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3"/>
      <c r="P39" s="284"/>
      <c r="Q39" s="285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86"/>
      <c r="P40" s="287"/>
      <c r="Q40" s="28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86"/>
      <c r="P41" s="287"/>
      <c r="Q41" s="28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73"/>
      <c r="P42" s="274"/>
      <c r="Q42" s="27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3"/>
      <c r="P43" s="284"/>
      <c r="Q43" s="285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3"/>
      <c r="P44" s="284"/>
      <c r="Q44" s="285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3"/>
      <c r="P45" s="284"/>
      <c r="Q45" s="285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3"/>
      <c r="P46" s="284"/>
      <c r="Q46" s="285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3"/>
      <c r="P47" s="284"/>
      <c r="Q47" s="285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3"/>
      <c r="P48" s="284"/>
      <c r="Q48" s="285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3"/>
      <c r="P49" s="284"/>
      <c r="Q49" s="285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3"/>
      <c r="P50" s="284"/>
      <c r="Q50" s="285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3"/>
      <c r="P51" s="284"/>
      <c r="Q51" s="284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3"/>
      <c r="P52" s="284"/>
      <c r="Q52" s="284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4"/>
      <c r="P53" s="283"/>
      <c r="Q53" s="283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4"/>
      <c r="P54" s="283"/>
      <c r="Q54" s="283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4"/>
      <c r="P55" s="283"/>
      <c r="Q55" s="283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4"/>
      <c r="P56" s="284"/>
      <c r="Q56" s="284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3"/>
      <c r="P57" s="284"/>
      <c r="Q57" s="284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4"/>
      <c r="P58" s="284"/>
      <c r="Q58" s="284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4"/>
      <c r="P59" s="284"/>
      <c r="Q59" s="284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3"/>
      <c r="P60" s="284"/>
      <c r="Q60" s="285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25"/>
      <c r="P61" s="326"/>
      <c r="Q61" s="327"/>
      <c r="R61" s="72"/>
      <c r="S61" s="59"/>
      <c r="T61" s="59"/>
      <c r="U61" s="68"/>
    </row>
    <row r="62" spans="1:21" x14ac:dyDescent="0.3">
      <c r="A62" s="328" t="s">
        <v>48</v>
      </c>
      <c r="B62" s="329"/>
      <c r="C62" s="329"/>
      <c r="D62" s="329"/>
      <c r="E62" s="329"/>
      <c r="F62" s="329"/>
      <c r="G62" s="329"/>
      <c r="H62" s="329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43"/>
      <c r="O62" s="344"/>
      <c r="P62" s="344"/>
      <c r="Q62" s="345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46"/>
      <c r="O63" s="347"/>
      <c r="P63" s="347"/>
      <c r="Q63" s="348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05"/>
      <c r="O64" s="306"/>
      <c r="P64" s="306"/>
      <c r="Q64" s="349"/>
      <c r="R64" s="350" t="s">
        <v>17</v>
      </c>
      <c r="S64" s="351"/>
      <c r="T64" s="351"/>
      <c r="U64" s="352"/>
    </row>
    <row r="65" spans="1:21" ht="17.25" thickBot="1" x14ac:dyDescent="0.35">
      <c r="A65" s="266" t="s">
        <v>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8"/>
    </row>
    <row r="66" spans="1:21" ht="17.25" thickBot="1" x14ac:dyDescent="0.35">
      <c r="A66" s="266" t="str">
        <f>A34</f>
        <v>31 - 8 - 2022</v>
      </c>
      <c r="B66" s="267"/>
      <c r="C66" s="267"/>
      <c r="D66" s="267"/>
      <c r="E66" s="267"/>
      <c r="F66" s="267"/>
      <c r="G66" s="268"/>
      <c r="H66" s="269" t="s">
        <v>49</v>
      </c>
      <c r="I66" s="270"/>
      <c r="J66" s="266" t="str">
        <f>J34</f>
        <v>SUNNY</v>
      </c>
      <c r="K66" s="268"/>
      <c r="L66" s="270" t="s">
        <v>50</v>
      </c>
      <c r="M66" s="271"/>
      <c r="N66" s="269"/>
      <c r="O66" s="267" t="str">
        <f>O34</f>
        <v>HENDRA</v>
      </c>
      <c r="P66" s="267"/>
      <c r="Q66" s="268"/>
      <c r="R66" s="270" t="s">
        <v>51</v>
      </c>
      <c r="S66" s="269"/>
      <c r="T66" s="272">
        <f>T34</f>
        <v>6</v>
      </c>
      <c r="U66" s="272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76" t="s">
        <v>8</v>
      </c>
      <c r="P68" s="276"/>
      <c r="Q68" s="276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3"/>
      <c r="P69" s="284"/>
      <c r="Q69" s="285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0"/>
      <c r="P70" s="281"/>
      <c r="Q70" s="282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3"/>
      <c r="P71" s="284"/>
      <c r="Q71" s="285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86"/>
      <c r="P72" s="287"/>
      <c r="Q72" s="28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86"/>
      <c r="P73" s="287"/>
      <c r="Q73" s="28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73"/>
      <c r="P74" s="274"/>
      <c r="Q74" s="27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3"/>
      <c r="P75" s="284"/>
      <c r="Q75" s="285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3"/>
      <c r="P76" s="284"/>
      <c r="Q76" s="285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3"/>
      <c r="P77" s="284"/>
      <c r="Q77" s="285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3"/>
      <c r="P78" s="284"/>
      <c r="Q78" s="285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3"/>
      <c r="P79" s="284"/>
      <c r="Q79" s="285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3"/>
      <c r="P80" s="284"/>
      <c r="Q80" s="285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3"/>
      <c r="P81" s="284"/>
      <c r="Q81" s="285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3"/>
      <c r="P82" s="284"/>
      <c r="Q82" s="285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3"/>
      <c r="P83" s="284"/>
      <c r="Q83" s="284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3"/>
      <c r="P84" s="284"/>
      <c r="Q84" s="284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4"/>
      <c r="P85" s="283"/>
      <c r="Q85" s="283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4"/>
      <c r="P86" s="283"/>
      <c r="Q86" s="283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4"/>
      <c r="P87" s="283"/>
      <c r="Q87" s="283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4"/>
      <c r="P88" s="284"/>
      <c r="Q88" s="284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3"/>
      <c r="P89" s="284"/>
      <c r="Q89" s="284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4"/>
      <c r="P90" s="284"/>
      <c r="Q90" s="284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4"/>
      <c r="P91" s="284"/>
      <c r="Q91" s="284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3"/>
      <c r="P92" s="284"/>
      <c r="Q92" s="285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25"/>
      <c r="P93" s="326"/>
      <c r="Q93" s="327"/>
      <c r="R93" s="72"/>
      <c r="S93" s="59"/>
      <c r="T93" s="59"/>
      <c r="U93" s="68"/>
    </row>
    <row r="94" spans="1:21" x14ac:dyDescent="0.3">
      <c r="A94" s="328" t="s">
        <v>48</v>
      </c>
      <c r="B94" s="329"/>
      <c r="C94" s="329"/>
      <c r="D94" s="329"/>
      <c r="E94" s="353"/>
      <c r="F94" s="329"/>
      <c r="G94" s="329"/>
      <c r="H94" s="329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43"/>
      <c r="O94" s="344"/>
      <c r="P94" s="344"/>
      <c r="Q94" s="345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46"/>
      <c r="O95" s="347"/>
      <c r="P95" s="347"/>
      <c r="Q95" s="348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05"/>
      <c r="O96" s="306"/>
      <c r="P96" s="306"/>
      <c r="Q96" s="349"/>
      <c r="R96" s="350" t="s">
        <v>52</v>
      </c>
      <c r="S96" s="351"/>
      <c r="T96" s="351"/>
      <c r="U96" s="35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tabSelected="1" topLeftCell="A7" zoomScale="160" zoomScaleNormal="160" zoomScaleSheetLayoutView="77" workbookViewId="0">
      <selection activeCell="A11" sqref="A11:XFD11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66" t="s">
        <v>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8"/>
    </row>
    <row r="2" spans="1:44" ht="17.25" thickBot="1" x14ac:dyDescent="0.35">
      <c r="A2" s="266" t="s">
        <v>246</v>
      </c>
      <c r="B2" s="267"/>
      <c r="C2" s="267"/>
      <c r="D2" s="267"/>
      <c r="E2" s="267"/>
      <c r="F2" s="267"/>
      <c r="G2" s="268"/>
      <c r="H2" s="269" t="s">
        <v>49</v>
      </c>
      <c r="I2" s="270"/>
      <c r="J2" s="266" t="s">
        <v>98</v>
      </c>
      <c r="K2" s="268"/>
      <c r="L2" s="270" t="s">
        <v>96</v>
      </c>
      <c r="M2" s="271"/>
      <c r="N2" s="269"/>
      <c r="O2" s="267" t="s">
        <v>99</v>
      </c>
      <c r="P2" s="267"/>
      <c r="Q2" s="268"/>
      <c r="R2" s="270" t="s">
        <v>51</v>
      </c>
      <c r="S2" s="269"/>
      <c r="T2" s="272">
        <v>6</v>
      </c>
      <c r="U2" s="272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76" t="s">
        <v>8</v>
      </c>
      <c r="P4" s="276"/>
      <c r="Q4" s="276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10937</v>
      </c>
      <c r="C5" s="59" t="s">
        <v>253</v>
      </c>
      <c r="D5" s="190" t="s">
        <v>109</v>
      </c>
      <c r="E5" s="171" t="s">
        <v>91</v>
      </c>
      <c r="F5" s="160">
        <v>800</v>
      </c>
      <c r="G5" s="109" t="s">
        <v>213</v>
      </c>
      <c r="H5" s="82"/>
      <c r="I5" s="115">
        <v>420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277"/>
      <c r="P5" s="278"/>
      <c r="Q5" s="279"/>
      <c r="R5" s="3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10938</v>
      </c>
      <c r="C6" s="58" t="s">
        <v>254</v>
      </c>
      <c r="D6" s="190" t="s">
        <v>255</v>
      </c>
      <c r="E6" s="171" t="s">
        <v>92</v>
      </c>
      <c r="F6" s="161">
        <v>910</v>
      </c>
      <c r="G6" s="109" t="s">
        <v>117</v>
      </c>
      <c r="H6" s="82">
        <v>70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280" t="s">
        <v>256</v>
      </c>
      <c r="P6" s="281"/>
      <c r="Q6" s="282"/>
      <c r="R6" s="122" t="s">
        <v>100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10939</v>
      </c>
      <c r="C7" s="58" t="s">
        <v>249</v>
      </c>
      <c r="D7" s="190" t="s">
        <v>250</v>
      </c>
      <c r="E7" s="171" t="s">
        <v>92</v>
      </c>
      <c r="F7" s="161">
        <v>920</v>
      </c>
      <c r="G7" s="109" t="s">
        <v>117</v>
      </c>
      <c r="H7" s="82"/>
      <c r="I7" s="115">
        <v>75.75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283"/>
      <c r="P7" s="284"/>
      <c r="Q7" s="285"/>
      <c r="R7" s="124" t="s">
        <v>101</v>
      </c>
      <c r="S7" s="30">
        <v>0.375</v>
      </c>
      <c r="T7" s="31">
        <v>0.70833333333333337</v>
      </c>
      <c r="U7" s="83">
        <f t="shared" si="0"/>
        <v>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10940</v>
      </c>
      <c r="C8" s="26" t="s">
        <v>257</v>
      </c>
      <c r="D8" s="190" t="s">
        <v>210</v>
      </c>
      <c r="E8" s="171" t="s">
        <v>92</v>
      </c>
      <c r="F8" s="161">
        <v>930</v>
      </c>
      <c r="G8" s="109" t="s">
        <v>44</v>
      </c>
      <c r="H8" s="82">
        <v>20</v>
      </c>
      <c r="I8" s="115"/>
      <c r="J8" s="120" t="str">
        <f t="shared" si="1"/>
        <v>55</v>
      </c>
      <c r="K8" s="120" t="str">
        <f t="shared" si="2"/>
        <v>0</v>
      </c>
      <c r="L8" s="121"/>
      <c r="M8" s="121"/>
      <c r="N8" s="124" t="s">
        <v>99</v>
      </c>
      <c r="O8" s="286">
        <v>202207011</v>
      </c>
      <c r="P8" s="287"/>
      <c r="Q8" s="288"/>
      <c r="R8" s="25" t="s">
        <v>102</v>
      </c>
      <c r="S8" s="30">
        <v>0.36458333333333331</v>
      </c>
      <c r="T8" s="31">
        <v>0.70833333333333337</v>
      </c>
      <c r="U8" s="83">
        <f t="shared" si="0"/>
        <v>8.2500000000000018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10941</v>
      </c>
      <c r="C9" s="54" t="s">
        <v>251</v>
      </c>
      <c r="D9" s="191" t="s">
        <v>252</v>
      </c>
      <c r="E9" s="171" t="s">
        <v>91</v>
      </c>
      <c r="F9" s="162">
        <v>945</v>
      </c>
      <c r="G9" s="110" t="s">
        <v>150</v>
      </c>
      <c r="H9" s="82"/>
      <c r="I9" s="82">
        <v>80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286"/>
      <c r="P9" s="287"/>
      <c r="Q9" s="288"/>
      <c r="R9" s="25" t="s">
        <v>196</v>
      </c>
      <c r="S9" s="30">
        <v>0.375</v>
      </c>
      <c r="T9" s="31">
        <v>0.66666666666666663</v>
      </c>
      <c r="U9" s="83">
        <f t="shared" si="0"/>
        <v>6.9999999999999991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10942</v>
      </c>
      <c r="C10" s="27" t="s">
        <v>258</v>
      </c>
      <c r="D10" s="192" t="s">
        <v>259</v>
      </c>
      <c r="E10" s="171" t="s">
        <v>92</v>
      </c>
      <c r="F10" s="163">
        <v>1000</v>
      </c>
      <c r="G10" s="111" t="s">
        <v>117</v>
      </c>
      <c r="H10" s="114">
        <v>75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73"/>
      <c r="P10" s="274"/>
      <c r="Q10" s="275"/>
      <c r="R10" s="249" t="s">
        <v>247</v>
      </c>
      <c r="S10" s="30">
        <v>0.39583333333333331</v>
      </c>
      <c r="T10" s="31">
        <v>0.625</v>
      </c>
      <c r="U10" s="83">
        <f t="shared" si="0"/>
        <v>5.5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10943</v>
      </c>
      <c r="C11" s="17" t="s">
        <v>276</v>
      </c>
      <c r="D11" s="193" t="s">
        <v>277</v>
      </c>
      <c r="E11" s="171" t="s">
        <v>91</v>
      </c>
      <c r="F11" s="57">
        <v>1035</v>
      </c>
      <c r="G11" s="112" t="s">
        <v>278</v>
      </c>
      <c r="H11" s="114"/>
      <c r="I11" s="115"/>
      <c r="J11" s="120" t="str">
        <f t="shared" si="1"/>
        <v>0</v>
      </c>
      <c r="K11" s="120">
        <v>300</v>
      </c>
      <c r="L11" s="121"/>
      <c r="M11" s="115">
        <v>303</v>
      </c>
      <c r="N11" s="124" t="s">
        <v>99</v>
      </c>
      <c r="O11" s="283" t="s">
        <v>280</v>
      </c>
      <c r="P11" s="284"/>
      <c r="Q11" s="285"/>
      <c r="R11" s="250" t="s">
        <v>279</v>
      </c>
      <c r="S11" s="30">
        <v>0.5</v>
      </c>
      <c r="T11" s="31">
        <v>0.66666666666666663</v>
      </c>
      <c r="U11" s="83">
        <f t="shared" si="0"/>
        <v>3.9999999999999991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10944</v>
      </c>
      <c r="C12" s="55" t="s">
        <v>260</v>
      </c>
      <c r="D12" s="194" t="s">
        <v>261</v>
      </c>
      <c r="E12" s="171" t="s">
        <v>91</v>
      </c>
      <c r="F12" s="163">
        <v>1145</v>
      </c>
      <c r="G12" s="110" t="s">
        <v>117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283"/>
      <c r="P12" s="284"/>
      <c r="Q12" s="285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10945</v>
      </c>
      <c r="C13" s="55" t="s">
        <v>262</v>
      </c>
      <c r="D13" s="194" t="s">
        <v>263</v>
      </c>
      <c r="E13" s="171" t="s">
        <v>92</v>
      </c>
      <c r="F13" s="163">
        <v>1220</v>
      </c>
      <c r="G13" s="110" t="s">
        <v>128</v>
      </c>
      <c r="H13" s="159"/>
      <c r="I13" s="158">
        <v>75.75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83"/>
      <c r="P13" s="284"/>
      <c r="Q13" s="2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10946</v>
      </c>
      <c r="C14" s="56" t="s">
        <v>264</v>
      </c>
      <c r="D14" s="195" t="s">
        <v>265</v>
      </c>
      <c r="E14" s="171" t="s">
        <v>92</v>
      </c>
      <c r="F14" s="164">
        <v>1230</v>
      </c>
      <c r="G14" s="113" t="s">
        <v>117</v>
      </c>
      <c r="H14" s="114">
        <v>95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83"/>
      <c r="P14" s="284"/>
      <c r="Q14" s="285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10947</v>
      </c>
      <c r="C15" s="56" t="s">
        <v>266</v>
      </c>
      <c r="D15" s="195" t="s">
        <v>267</v>
      </c>
      <c r="E15" s="171" t="s">
        <v>91</v>
      </c>
      <c r="F15" s="164">
        <v>1230</v>
      </c>
      <c r="G15" s="113" t="s">
        <v>44</v>
      </c>
      <c r="H15" s="114">
        <v>20</v>
      </c>
      <c r="I15" s="115"/>
      <c r="J15" s="120" t="str">
        <f t="shared" si="1"/>
        <v>55</v>
      </c>
      <c r="K15" s="120" t="str">
        <f t="shared" si="2"/>
        <v>0</v>
      </c>
      <c r="L15" s="121"/>
      <c r="M15" s="121"/>
      <c r="N15" s="124" t="s">
        <v>99</v>
      </c>
      <c r="O15" s="283">
        <v>202208004</v>
      </c>
      <c r="P15" s="284"/>
      <c r="Q15" s="28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10948</v>
      </c>
      <c r="C16" s="56" t="s">
        <v>268</v>
      </c>
      <c r="D16" s="195" t="s">
        <v>269</v>
      </c>
      <c r="E16" s="171" t="s">
        <v>91</v>
      </c>
      <c r="F16" s="164">
        <v>1245</v>
      </c>
      <c r="G16" s="113" t="s">
        <v>117</v>
      </c>
      <c r="H16" s="114">
        <v>75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83"/>
      <c r="P16" s="284"/>
      <c r="Q16" s="285"/>
      <c r="R16" s="73">
        <f>H32/U16</f>
        <v>0.3743842364532019</v>
      </c>
      <c r="S16" s="74">
        <f>H32/(U16-U5)</f>
        <v>0.45508982035928136</v>
      </c>
      <c r="T16" s="74">
        <f>C32/U16</f>
        <v>41.45123152709359</v>
      </c>
      <c r="U16" s="74">
        <f>SUM(U5:U15)</f>
        <v>50.750000000000007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10949</v>
      </c>
      <c r="C17" s="17" t="s">
        <v>270</v>
      </c>
      <c r="D17" s="193" t="s">
        <v>271</v>
      </c>
      <c r="E17" s="171" t="s">
        <v>92</v>
      </c>
      <c r="F17" s="57">
        <v>1300</v>
      </c>
      <c r="G17" s="112" t="s">
        <v>110</v>
      </c>
      <c r="H17" s="114"/>
      <c r="I17" s="115">
        <v>121.2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283"/>
      <c r="P17" s="284"/>
      <c r="Q17" s="285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10950</v>
      </c>
      <c r="C18" s="17" t="s">
        <v>272</v>
      </c>
      <c r="D18" s="193" t="s">
        <v>273</v>
      </c>
      <c r="E18" s="171" t="s">
        <v>91</v>
      </c>
      <c r="F18" s="57">
        <v>1300</v>
      </c>
      <c r="G18" s="19" t="s">
        <v>128</v>
      </c>
      <c r="H18" s="114">
        <v>55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283"/>
      <c r="P18" s="284"/>
      <c r="Q18" s="285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10951</v>
      </c>
      <c r="C19" s="17" t="s">
        <v>274</v>
      </c>
      <c r="D19" s="193" t="s">
        <v>275</v>
      </c>
      <c r="E19" s="171" t="s">
        <v>92</v>
      </c>
      <c r="F19" s="57">
        <v>1340</v>
      </c>
      <c r="G19" s="112" t="s">
        <v>128</v>
      </c>
      <c r="H19" s="114"/>
      <c r="I19" s="115">
        <v>55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283"/>
      <c r="P19" s="284"/>
      <c r="Q19" s="284"/>
      <c r="R19" s="84" t="s">
        <v>45</v>
      </c>
      <c r="S19" s="85">
        <f>COUNT(L5:M29,L37:M61,L69:M93)</f>
        <v>1</v>
      </c>
      <c r="T19" s="107">
        <f>SUM(L5:M29,L37:M61,L69:M93)</f>
        <v>303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10952</v>
      </c>
      <c r="C20" s="17" t="s">
        <v>281</v>
      </c>
      <c r="D20" s="193" t="s">
        <v>282</v>
      </c>
      <c r="E20" s="171" t="s">
        <v>92</v>
      </c>
      <c r="F20" s="57">
        <v>1415</v>
      </c>
      <c r="G20" s="112" t="s">
        <v>128</v>
      </c>
      <c r="H20" s="114"/>
      <c r="I20" s="209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291"/>
      <c r="P20" s="292"/>
      <c r="Q20" s="292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10953</v>
      </c>
      <c r="C21" s="17" t="s">
        <v>283</v>
      </c>
      <c r="D21" s="193" t="s">
        <v>284</v>
      </c>
      <c r="E21" s="171" t="s">
        <v>92</v>
      </c>
      <c r="F21" s="57">
        <v>1430</v>
      </c>
      <c r="G21" s="19" t="s">
        <v>117</v>
      </c>
      <c r="H21" s="114"/>
      <c r="I21" s="115">
        <v>95.95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283"/>
      <c r="P21" s="284"/>
      <c r="Q21" s="284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10954</v>
      </c>
      <c r="C22" s="21" t="s">
        <v>285</v>
      </c>
      <c r="D22" s="196" t="s">
        <v>286</v>
      </c>
      <c r="E22" s="171" t="s">
        <v>92</v>
      </c>
      <c r="F22" s="165">
        <v>1530</v>
      </c>
      <c r="G22" s="204" t="s">
        <v>117</v>
      </c>
      <c r="H22" s="80"/>
      <c r="I22" s="131">
        <v>95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283"/>
      <c r="P22" s="284"/>
      <c r="Q22" s="285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10955</v>
      </c>
      <c r="C23" s="126" t="s">
        <v>287</v>
      </c>
      <c r="D23" s="197" t="s">
        <v>288</v>
      </c>
      <c r="E23" s="171" t="s">
        <v>92</v>
      </c>
      <c r="F23" s="166">
        <v>1615</v>
      </c>
      <c r="G23" s="155" t="s">
        <v>117</v>
      </c>
      <c r="H23" s="80"/>
      <c r="I23" s="131">
        <v>95</v>
      </c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99</v>
      </c>
      <c r="O23" s="153"/>
      <c r="P23" s="154"/>
      <c r="Q23" s="149"/>
      <c r="R23" s="104"/>
      <c r="S23" s="105"/>
      <c r="T23" s="105"/>
      <c r="U23" s="106"/>
      <c r="X23" s="289"/>
      <c r="Y23" s="290"/>
      <c r="Z23" s="29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3"/>
      <c r="P24" s="284"/>
      <c r="Q24" s="285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3"/>
      <c r="P25" s="284"/>
      <c r="Q25" s="28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93">
        <f>((C32+(R26+S26+T26)*0.5))</f>
        <v>2103.65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3"/>
      <c r="P26" s="284"/>
      <c r="Q26" s="285"/>
      <c r="R26" s="103">
        <f>R25*37.5</f>
        <v>0</v>
      </c>
      <c r="S26" s="93">
        <f>S25*41.5</f>
        <v>0</v>
      </c>
      <c r="T26" s="93">
        <f>T25*50</f>
        <v>0</v>
      </c>
      <c r="U26" s="294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3"/>
      <c r="P27" s="284"/>
      <c r="Q27" s="285"/>
      <c r="R27" s="302" t="s">
        <v>56</v>
      </c>
      <c r="S27" s="303"/>
      <c r="T27" s="303"/>
      <c r="U27" s="304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3"/>
      <c r="P28" s="284"/>
      <c r="Q28" s="285"/>
      <c r="R28" s="295" t="s">
        <v>248</v>
      </c>
      <c r="S28" s="296"/>
      <c r="T28" s="297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11"/>
      <c r="P29" s="312"/>
      <c r="Q29" s="313"/>
      <c r="R29" s="314"/>
      <c r="S29" s="315"/>
      <c r="T29" s="316"/>
      <c r="U29" s="140"/>
      <c r="X29" s="14">
        <v>3</v>
      </c>
      <c r="Z29" s="45"/>
      <c r="AE29" s="39"/>
    </row>
    <row r="30" spans="1:44" ht="16.5" customHeight="1" thickBot="1" x14ac:dyDescent="0.35">
      <c r="A30" s="317" t="s">
        <v>48</v>
      </c>
      <c r="B30" s="318"/>
      <c r="C30" s="318"/>
      <c r="D30" s="318"/>
      <c r="E30" s="319"/>
      <c r="F30" s="318"/>
      <c r="G30" s="318"/>
      <c r="H30" s="201">
        <f t="shared" ref="H30:M30" si="3">SUM(H5:H29)</f>
        <v>410</v>
      </c>
      <c r="I30" s="96">
        <f>SUM(I5:I29)</f>
        <v>1283.6500000000001</v>
      </c>
      <c r="J30" s="96">
        <f>J5+J6+J7+J8+J9+J10+J11+J12+J13+J14+J15+J16+J18+J19+J17+J20+J22+J23+J21+J24+J25+J26+J27+J28+J29</f>
        <v>110</v>
      </c>
      <c r="K30" s="96">
        <f>K5+K6+K7+K8+K9+K10+K11+K12+K13+K14+K15+K16+K18+K19+K17+K20+K22+K23+K21+K24+K25+K26+K27+K28+K29</f>
        <v>300</v>
      </c>
      <c r="L30" s="97">
        <f t="shared" si="3"/>
        <v>0</v>
      </c>
      <c r="M30" s="97">
        <f t="shared" si="3"/>
        <v>303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20"/>
      <c r="S30" s="320"/>
      <c r="T30" s="321"/>
      <c r="U30" s="141"/>
      <c r="X30" s="14">
        <v>4</v>
      </c>
      <c r="Z30" s="45"/>
      <c r="AD30" s="46"/>
    </row>
    <row r="31" spans="1:44" x14ac:dyDescent="0.3">
      <c r="A31" s="322" t="s">
        <v>16</v>
      </c>
      <c r="B31" s="323"/>
      <c r="C31" s="323"/>
      <c r="D31" s="323"/>
      <c r="E31" s="323"/>
      <c r="F31" s="323"/>
      <c r="G31" s="323"/>
      <c r="H31" s="202">
        <f t="shared" ref="H31:J31" si="4">H30+H62+H94</f>
        <v>410</v>
      </c>
      <c r="I31" s="94">
        <f t="shared" si="4"/>
        <v>1283.6500000000001</v>
      </c>
      <c r="J31" s="94">
        <f t="shared" si="4"/>
        <v>110</v>
      </c>
      <c r="K31" s="94">
        <f>K30+K62+K94</f>
        <v>300</v>
      </c>
      <c r="L31" s="88">
        <f>L30+L62+L94</f>
        <v>0</v>
      </c>
      <c r="M31" s="88">
        <f>M30+M62+M94</f>
        <v>303</v>
      </c>
      <c r="N31" s="207">
        <f>COUNT(H5:H29,H37:H61,H69:H93)</f>
        <v>7</v>
      </c>
      <c r="O31" s="95">
        <f>COUNT(I5:I29,I37:I61,I69:I93)</f>
        <v>11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2</v>
      </c>
      <c r="R31" s="89" t="s">
        <v>83</v>
      </c>
      <c r="S31" s="102">
        <f>H31+L31-U28-U29-U30</f>
        <v>410</v>
      </c>
      <c r="T31" s="307">
        <f>H31+I31+L31+M31</f>
        <v>1996.65</v>
      </c>
      <c r="U31" s="308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298" t="s">
        <v>55</v>
      </c>
      <c r="B32" s="299"/>
      <c r="C32" s="98">
        <f>H31+I31+J31+K31</f>
        <v>2103.65</v>
      </c>
      <c r="D32" s="186"/>
      <c r="E32" s="98"/>
      <c r="F32" s="300" t="s">
        <v>53</v>
      </c>
      <c r="G32" s="300"/>
      <c r="H32" s="100">
        <f>COUNT(B5:B29,B37:B61,B69:B93)</f>
        <v>19</v>
      </c>
      <c r="I32" s="301" t="s">
        <v>54</v>
      </c>
      <c r="J32" s="301"/>
      <c r="K32" s="99">
        <f>C32/H32</f>
        <v>110.71842105263158</v>
      </c>
      <c r="L32" s="208"/>
      <c r="M32" s="208"/>
      <c r="N32" s="208">
        <f>H31/C32</f>
        <v>0.19489934162051673</v>
      </c>
      <c r="O32" s="208">
        <f>I31/C32</f>
        <v>0.61020131675896661</v>
      </c>
      <c r="P32" s="208">
        <f>K31/C32</f>
        <v>0.14260927435647563</v>
      </c>
      <c r="Q32" s="101">
        <f>J31/C32</f>
        <v>5.2290067264041069E-2</v>
      </c>
      <c r="R32" s="90" t="s">
        <v>82</v>
      </c>
      <c r="S32" s="203">
        <f>I31+M31</f>
        <v>1586.65</v>
      </c>
      <c r="T32" s="309"/>
      <c r="U32" s="310"/>
      <c r="V32" s="39"/>
      <c r="W32" s="39"/>
      <c r="X32" s="48" t="s">
        <v>27</v>
      </c>
      <c r="Y32" s="48"/>
      <c r="Z32" s="47">
        <f>I31</f>
        <v>1283.6500000000001</v>
      </c>
    </row>
    <row r="33" spans="1:33" ht="17.25" thickBot="1" x14ac:dyDescent="0.35">
      <c r="A33" s="305" t="s">
        <v>24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267"/>
      <c r="U33" s="268"/>
      <c r="X33" s="49" t="s">
        <v>29</v>
      </c>
      <c r="Y33" s="49"/>
      <c r="Z33" s="50">
        <f>SUM(Z31:Z32)</f>
        <v>-1461.35</v>
      </c>
      <c r="AG33" s="35"/>
    </row>
    <row r="34" spans="1:33" ht="17.25" thickBot="1" x14ac:dyDescent="0.35">
      <c r="A34" s="266" t="str">
        <f>A2</f>
        <v>1 - 9 - 2022</v>
      </c>
      <c r="B34" s="267"/>
      <c r="C34" s="267"/>
      <c r="D34" s="267"/>
      <c r="E34" s="267"/>
      <c r="F34" s="267"/>
      <c r="G34" s="268"/>
      <c r="H34" s="269" t="s">
        <v>49</v>
      </c>
      <c r="I34" s="270"/>
      <c r="J34" s="266" t="str">
        <f>J2</f>
        <v>CLOUDY</v>
      </c>
      <c r="K34" s="268"/>
      <c r="L34" s="270" t="s">
        <v>50</v>
      </c>
      <c r="M34" s="271"/>
      <c r="N34" s="269"/>
      <c r="O34" s="267" t="str">
        <f>O2</f>
        <v>HENDRA</v>
      </c>
      <c r="P34" s="267"/>
      <c r="Q34" s="268"/>
      <c r="R34" s="270" t="s">
        <v>51</v>
      </c>
      <c r="S34" s="269"/>
      <c r="T34" s="272">
        <f>T2</f>
        <v>6</v>
      </c>
      <c r="U34" s="272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76" t="s">
        <v>8</v>
      </c>
      <c r="P36" s="276"/>
      <c r="Q36" s="276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3"/>
      <c r="P37" s="284"/>
      <c r="Q37" s="285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0"/>
      <c r="P38" s="281"/>
      <c r="Q38" s="282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3"/>
      <c r="P39" s="284"/>
      <c r="Q39" s="285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86"/>
      <c r="P40" s="287"/>
      <c r="Q40" s="28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86"/>
      <c r="P41" s="287"/>
      <c r="Q41" s="28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73"/>
      <c r="P42" s="274"/>
      <c r="Q42" s="27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3"/>
      <c r="P43" s="284"/>
      <c r="Q43" s="285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3"/>
      <c r="P44" s="284"/>
      <c r="Q44" s="285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3"/>
      <c r="P45" s="284"/>
      <c r="Q45" s="285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3"/>
      <c r="P46" s="284"/>
      <c r="Q46" s="285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3"/>
      <c r="P47" s="284"/>
      <c r="Q47" s="285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3"/>
      <c r="P48" s="284"/>
      <c r="Q48" s="285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3"/>
      <c r="P49" s="284"/>
      <c r="Q49" s="285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3"/>
      <c r="P50" s="284"/>
      <c r="Q50" s="285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3"/>
      <c r="P51" s="284"/>
      <c r="Q51" s="284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3"/>
      <c r="P52" s="284"/>
      <c r="Q52" s="284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4"/>
      <c r="P53" s="283"/>
      <c r="Q53" s="283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4"/>
      <c r="P54" s="283"/>
      <c r="Q54" s="283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4"/>
      <c r="P55" s="283"/>
      <c r="Q55" s="283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4"/>
      <c r="P56" s="284"/>
      <c r="Q56" s="284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3"/>
      <c r="P57" s="284"/>
      <c r="Q57" s="284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4"/>
      <c r="P58" s="284"/>
      <c r="Q58" s="284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4"/>
      <c r="P59" s="284"/>
      <c r="Q59" s="284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3"/>
      <c r="P60" s="284"/>
      <c r="Q60" s="285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25"/>
      <c r="P61" s="326"/>
      <c r="Q61" s="327"/>
      <c r="R61" s="72"/>
      <c r="S61" s="59"/>
      <c r="T61" s="59"/>
      <c r="U61" s="68"/>
    </row>
    <row r="62" spans="1:21" x14ac:dyDescent="0.3">
      <c r="A62" s="328" t="s">
        <v>48</v>
      </c>
      <c r="B62" s="329"/>
      <c r="C62" s="329"/>
      <c r="D62" s="329"/>
      <c r="E62" s="329"/>
      <c r="F62" s="329"/>
      <c r="G62" s="329"/>
      <c r="H62" s="329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43"/>
      <c r="O62" s="344"/>
      <c r="P62" s="344"/>
      <c r="Q62" s="345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46"/>
      <c r="O63" s="347"/>
      <c r="P63" s="347"/>
      <c r="Q63" s="348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05"/>
      <c r="O64" s="306"/>
      <c r="P64" s="306"/>
      <c r="Q64" s="349"/>
      <c r="R64" s="350" t="s">
        <v>17</v>
      </c>
      <c r="S64" s="351"/>
      <c r="T64" s="351"/>
      <c r="U64" s="352"/>
    </row>
    <row r="65" spans="1:21" ht="17.25" thickBot="1" x14ac:dyDescent="0.35">
      <c r="A65" s="266" t="s">
        <v>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8"/>
    </row>
    <row r="66" spans="1:21" ht="17.25" thickBot="1" x14ac:dyDescent="0.35">
      <c r="A66" s="266" t="str">
        <f>A34</f>
        <v>1 - 9 - 2022</v>
      </c>
      <c r="B66" s="267"/>
      <c r="C66" s="267"/>
      <c r="D66" s="267"/>
      <c r="E66" s="267"/>
      <c r="F66" s="267"/>
      <c r="G66" s="268"/>
      <c r="H66" s="269" t="s">
        <v>49</v>
      </c>
      <c r="I66" s="270"/>
      <c r="J66" s="266" t="str">
        <f>J34</f>
        <v>CLOUDY</v>
      </c>
      <c r="K66" s="268"/>
      <c r="L66" s="270" t="s">
        <v>50</v>
      </c>
      <c r="M66" s="271"/>
      <c r="N66" s="269"/>
      <c r="O66" s="267" t="str">
        <f>O34</f>
        <v>HENDRA</v>
      </c>
      <c r="P66" s="267"/>
      <c r="Q66" s="268"/>
      <c r="R66" s="270" t="s">
        <v>51</v>
      </c>
      <c r="S66" s="269"/>
      <c r="T66" s="272">
        <f>T34</f>
        <v>6</v>
      </c>
      <c r="U66" s="272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76" t="s">
        <v>8</v>
      </c>
      <c r="P68" s="276"/>
      <c r="Q68" s="276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3"/>
      <c r="P69" s="284"/>
      <c r="Q69" s="285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0"/>
      <c r="P70" s="281"/>
      <c r="Q70" s="282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3"/>
      <c r="P71" s="284"/>
      <c r="Q71" s="285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86"/>
      <c r="P72" s="287"/>
      <c r="Q72" s="28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86"/>
      <c r="P73" s="287"/>
      <c r="Q73" s="28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73"/>
      <c r="P74" s="274"/>
      <c r="Q74" s="27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3"/>
      <c r="P75" s="284"/>
      <c r="Q75" s="285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3"/>
      <c r="P76" s="284"/>
      <c r="Q76" s="285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3"/>
      <c r="P77" s="284"/>
      <c r="Q77" s="285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3"/>
      <c r="P78" s="284"/>
      <c r="Q78" s="285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3"/>
      <c r="P79" s="284"/>
      <c r="Q79" s="285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3"/>
      <c r="P80" s="284"/>
      <c r="Q80" s="285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3"/>
      <c r="P81" s="284"/>
      <c r="Q81" s="285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3"/>
      <c r="P82" s="284"/>
      <c r="Q82" s="285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3"/>
      <c r="P83" s="284"/>
      <c r="Q83" s="284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3"/>
      <c r="P84" s="284"/>
      <c r="Q84" s="284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4"/>
      <c r="P85" s="283"/>
      <c r="Q85" s="283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4"/>
      <c r="P86" s="283"/>
      <c r="Q86" s="283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4"/>
      <c r="P87" s="283"/>
      <c r="Q87" s="283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4"/>
      <c r="P88" s="284"/>
      <c r="Q88" s="284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3"/>
      <c r="P89" s="284"/>
      <c r="Q89" s="284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4"/>
      <c r="P90" s="284"/>
      <c r="Q90" s="284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4"/>
      <c r="P91" s="284"/>
      <c r="Q91" s="284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3"/>
      <c r="P92" s="284"/>
      <c r="Q92" s="285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25"/>
      <c r="P93" s="326"/>
      <c r="Q93" s="327"/>
      <c r="R93" s="72"/>
      <c r="S93" s="59"/>
      <c r="T93" s="59"/>
      <c r="U93" s="68"/>
    </row>
    <row r="94" spans="1:21" x14ac:dyDescent="0.3">
      <c r="A94" s="328" t="s">
        <v>48</v>
      </c>
      <c r="B94" s="329"/>
      <c r="C94" s="329"/>
      <c r="D94" s="329"/>
      <c r="E94" s="353"/>
      <c r="F94" s="329"/>
      <c r="G94" s="329"/>
      <c r="H94" s="329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43"/>
      <c r="O94" s="344"/>
      <c r="P94" s="344"/>
      <c r="Q94" s="345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46"/>
      <c r="O95" s="347"/>
      <c r="P95" s="347"/>
      <c r="Q95" s="348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05"/>
      <c r="O96" s="306"/>
      <c r="P96" s="306"/>
      <c r="Q96" s="349"/>
      <c r="R96" s="350" t="s">
        <v>52</v>
      </c>
      <c r="S96" s="351"/>
      <c r="T96" s="351"/>
      <c r="U96" s="352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S32" sqref="S32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66" t="s">
        <v>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8"/>
    </row>
    <row r="2" spans="1:44" ht="17.25" thickBot="1" x14ac:dyDescent="0.35">
      <c r="A2" s="266" t="s">
        <v>289</v>
      </c>
      <c r="B2" s="267"/>
      <c r="C2" s="267"/>
      <c r="D2" s="267"/>
      <c r="E2" s="267"/>
      <c r="F2" s="267"/>
      <c r="G2" s="268"/>
      <c r="H2" s="269" t="s">
        <v>49</v>
      </c>
      <c r="I2" s="270"/>
      <c r="J2" s="266" t="s">
        <v>98</v>
      </c>
      <c r="K2" s="268"/>
      <c r="L2" s="270" t="s">
        <v>96</v>
      </c>
      <c r="M2" s="271"/>
      <c r="N2" s="269"/>
      <c r="O2" s="267" t="s">
        <v>99</v>
      </c>
      <c r="P2" s="267"/>
      <c r="Q2" s="268"/>
      <c r="R2" s="270" t="s">
        <v>51</v>
      </c>
      <c r="S2" s="269"/>
      <c r="T2" s="272">
        <v>5</v>
      </c>
      <c r="U2" s="272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76" t="s">
        <v>8</v>
      </c>
      <c r="P4" s="276"/>
      <c r="Q4" s="276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56">
        <v>10956</v>
      </c>
      <c r="C5" s="59" t="s">
        <v>291</v>
      </c>
      <c r="D5" s="190" t="s">
        <v>292</v>
      </c>
      <c r="E5" s="171" t="s">
        <v>92</v>
      </c>
      <c r="F5" s="160">
        <v>915</v>
      </c>
      <c r="G5" s="109" t="s">
        <v>117</v>
      </c>
      <c r="H5" s="82"/>
      <c r="I5" s="115">
        <v>75.75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277"/>
      <c r="P5" s="278"/>
      <c r="Q5" s="279"/>
      <c r="R5" s="32" t="s">
        <v>99</v>
      </c>
      <c r="S5" s="30">
        <v>0.33333333333333331</v>
      </c>
      <c r="T5" s="31">
        <v>0.69791666666666663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56">
        <v>10957</v>
      </c>
      <c r="C6" s="58" t="s">
        <v>293</v>
      </c>
      <c r="D6" s="190" t="s">
        <v>294</v>
      </c>
      <c r="E6" s="171" t="s">
        <v>91</v>
      </c>
      <c r="F6" s="161">
        <v>1000</v>
      </c>
      <c r="G6" s="109" t="s">
        <v>117</v>
      </c>
      <c r="H6" s="82">
        <v>95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280"/>
      <c r="P6" s="281"/>
      <c r="Q6" s="282"/>
      <c r="R6" s="122" t="s">
        <v>100</v>
      </c>
      <c r="S6" s="30">
        <v>0.33333333333333331</v>
      </c>
      <c r="T6" s="31">
        <v>0.69791666666666663</v>
      </c>
      <c r="U6" s="83">
        <f t="shared" si="0"/>
        <v>8.75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56">
        <v>10957</v>
      </c>
      <c r="C7" s="58" t="s">
        <v>295</v>
      </c>
      <c r="D7" s="190" t="s">
        <v>296</v>
      </c>
      <c r="E7" s="171" t="s">
        <v>92</v>
      </c>
      <c r="F7" s="161">
        <v>1030</v>
      </c>
      <c r="G7" s="109" t="s">
        <v>117</v>
      </c>
      <c r="H7" s="82">
        <v>95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283"/>
      <c r="P7" s="284"/>
      <c r="Q7" s="285"/>
      <c r="R7" s="124" t="s">
        <v>290</v>
      </c>
      <c r="S7" s="30">
        <v>0.375</v>
      </c>
      <c r="T7" s="31">
        <v>0.69791666666666663</v>
      </c>
      <c r="U7" s="83">
        <f t="shared" si="0"/>
        <v>7.7499999999999991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56">
        <v>10957</v>
      </c>
      <c r="C8" s="26" t="s">
        <v>307</v>
      </c>
      <c r="D8" s="190" t="s">
        <v>308</v>
      </c>
      <c r="E8" s="171" t="s">
        <v>92</v>
      </c>
      <c r="F8" s="161">
        <v>1100</v>
      </c>
      <c r="G8" s="109" t="s">
        <v>221</v>
      </c>
      <c r="H8" s="82"/>
      <c r="I8" s="115">
        <v>252.5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286"/>
      <c r="P8" s="287"/>
      <c r="Q8" s="288"/>
      <c r="R8" s="25" t="s">
        <v>102</v>
      </c>
      <c r="S8" s="30">
        <v>0.38541666666666669</v>
      </c>
      <c r="T8" s="31">
        <v>0.69791666666666663</v>
      </c>
      <c r="U8" s="83">
        <f t="shared" si="0"/>
        <v>7.4999999999999982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56">
        <v>10957</v>
      </c>
      <c r="C9" s="54" t="s">
        <v>297</v>
      </c>
      <c r="D9" s="191" t="s">
        <v>298</v>
      </c>
      <c r="E9" s="171" t="s">
        <v>92</v>
      </c>
      <c r="F9" s="162">
        <v>1115</v>
      </c>
      <c r="G9" s="110" t="s">
        <v>117</v>
      </c>
      <c r="H9" s="82"/>
      <c r="I9" s="82">
        <v>95.95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286"/>
      <c r="P9" s="287"/>
      <c r="Q9" s="288"/>
      <c r="R9" s="249" t="s">
        <v>103</v>
      </c>
      <c r="S9" s="30">
        <v>0.41666666666666669</v>
      </c>
      <c r="T9" s="31">
        <v>0.64583333333333337</v>
      </c>
      <c r="U9" s="83">
        <f t="shared" si="0"/>
        <v>5.5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56">
        <v>10957</v>
      </c>
      <c r="C10" s="27" t="s">
        <v>301</v>
      </c>
      <c r="D10" s="192" t="s">
        <v>302</v>
      </c>
      <c r="E10" s="171" t="s">
        <v>92</v>
      </c>
      <c r="F10" s="163">
        <v>1125</v>
      </c>
      <c r="G10" s="111" t="s">
        <v>221</v>
      </c>
      <c r="H10" s="114"/>
      <c r="I10" s="116">
        <v>282.8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73"/>
      <c r="P10" s="274"/>
      <c r="Q10" s="275"/>
      <c r="R10" s="249" t="s">
        <v>279</v>
      </c>
      <c r="S10" s="30">
        <v>0.55208333333333337</v>
      </c>
      <c r="T10" s="31">
        <v>0.64583333333333337</v>
      </c>
      <c r="U10" s="83">
        <f t="shared" si="0"/>
        <v>2.25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56">
        <v>10957</v>
      </c>
      <c r="C11" s="17" t="s">
        <v>299</v>
      </c>
      <c r="D11" s="193" t="s">
        <v>300</v>
      </c>
      <c r="E11" s="171" t="s">
        <v>92</v>
      </c>
      <c r="F11" s="57">
        <v>1215</v>
      </c>
      <c r="G11" s="112" t="s">
        <v>128</v>
      </c>
      <c r="H11" s="114"/>
      <c r="I11" s="115">
        <v>55.55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290</v>
      </c>
      <c r="O11" s="283"/>
      <c r="P11" s="284"/>
      <c r="Q11" s="285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56">
        <v>10957</v>
      </c>
      <c r="C12" s="55" t="s">
        <v>303</v>
      </c>
      <c r="D12" s="194" t="s">
        <v>304</v>
      </c>
      <c r="E12" s="171" t="s">
        <v>92</v>
      </c>
      <c r="F12" s="163">
        <v>1240</v>
      </c>
      <c r="G12" s="110" t="s">
        <v>110</v>
      </c>
      <c r="H12" s="114">
        <v>140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283"/>
      <c r="P12" s="284"/>
      <c r="Q12" s="285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56">
        <v>10957</v>
      </c>
      <c r="C13" s="55" t="s">
        <v>305</v>
      </c>
      <c r="D13" s="194" t="s">
        <v>306</v>
      </c>
      <c r="E13" s="171" t="s">
        <v>92</v>
      </c>
      <c r="F13" s="163">
        <v>1300</v>
      </c>
      <c r="G13" s="110" t="s">
        <v>117</v>
      </c>
      <c r="H13" s="159"/>
      <c r="I13" s="158">
        <v>75.75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83"/>
      <c r="P13" s="284"/>
      <c r="Q13" s="2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56">
        <v>10957</v>
      </c>
      <c r="C14" s="56" t="s">
        <v>309</v>
      </c>
      <c r="D14" s="195" t="s">
        <v>310</v>
      </c>
      <c r="E14" s="171" t="s">
        <v>92</v>
      </c>
      <c r="F14" s="164">
        <v>1415</v>
      </c>
      <c r="G14" s="113" t="s">
        <v>128</v>
      </c>
      <c r="H14" s="114"/>
      <c r="I14" s="116">
        <v>65.650000000000006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83"/>
      <c r="P14" s="284"/>
      <c r="Q14" s="285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56">
        <v>10957</v>
      </c>
      <c r="C15" s="56" t="s">
        <v>311</v>
      </c>
      <c r="D15" s="195" t="s">
        <v>312</v>
      </c>
      <c r="E15" s="171" t="s">
        <v>91</v>
      </c>
      <c r="F15" s="164">
        <v>1445</v>
      </c>
      <c r="G15" s="113" t="s">
        <v>117</v>
      </c>
      <c r="H15" s="114"/>
      <c r="I15" s="115">
        <v>95.95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83"/>
      <c r="P15" s="284"/>
      <c r="Q15" s="28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56">
        <v>10957</v>
      </c>
      <c r="C16" s="56" t="s">
        <v>313</v>
      </c>
      <c r="D16" s="195" t="s">
        <v>314</v>
      </c>
      <c r="E16" s="171" t="s">
        <v>92</v>
      </c>
      <c r="F16" s="164">
        <v>1600</v>
      </c>
      <c r="G16" s="113" t="s">
        <v>128</v>
      </c>
      <c r="H16" s="114"/>
      <c r="I16" s="115">
        <v>55.55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290</v>
      </c>
      <c r="O16" s="283"/>
      <c r="P16" s="284"/>
      <c r="Q16" s="285"/>
      <c r="R16" s="73">
        <f>H32/U16</f>
        <v>0.22222222222222221</v>
      </c>
      <c r="S16" s="74">
        <f>H32/(U16-U5)</f>
        <v>0.28346456692913385</v>
      </c>
      <c r="T16" s="74">
        <f>C32/U16</f>
        <v>34.208641975308645</v>
      </c>
      <c r="U16" s="74">
        <f>SUM(U5:U15)</f>
        <v>40.5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83"/>
      <c r="P17" s="284"/>
      <c r="Q17" s="285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83"/>
      <c r="P18" s="284"/>
      <c r="Q18" s="285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83"/>
      <c r="P19" s="284"/>
      <c r="Q19" s="284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91"/>
      <c r="P20" s="292"/>
      <c r="Q20" s="292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3"/>
      <c r="P21" s="284"/>
      <c r="Q21" s="284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3"/>
      <c r="P22" s="284"/>
      <c r="Q22" s="285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89"/>
      <c r="Y23" s="290"/>
      <c r="Z23" s="29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3"/>
      <c r="P24" s="284"/>
      <c r="Q24" s="285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3"/>
      <c r="P25" s="284"/>
      <c r="Q25" s="28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93">
        <f>((C32+(R26+S26+T26)*0.5))</f>
        <v>1385.45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3"/>
      <c r="P26" s="284"/>
      <c r="Q26" s="285"/>
      <c r="R26" s="103">
        <f>R25*37.5</f>
        <v>0</v>
      </c>
      <c r="S26" s="93">
        <f>S25*41.5</f>
        <v>0</v>
      </c>
      <c r="T26" s="93">
        <f>T25*50</f>
        <v>0</v>
      </c>
      <c r="U26" s="294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3"/>
      <c r="P27" s="284"/>
      <c r="Q27" s="285"/>
      <c r="R27" s="302" t="s">
        <v>56</v>
      </c>
      <c r="S27" s="303"/>
      <c r="T27" s="303"/>
      <c r="U27" s="304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3"/>
      <c r="P28" s="284"/>
      <c r="Q28" s="285"/>
      <c r="R28" s="295" t="s">
        <v>107</v>
      </c>
      <c r="S28" s="296"/>
      <c r="T28" s="297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11"/>
      <c r="P29" s="312"/>
      <c r="Q29" s="313"/>
      <c r="R29" s="314"/>
      <c r="S29" s="315"/>
      <c r="T29" s="316"/>
      <c r="U29" s="140"/>
      <c r="X29" s="14">
        <v>3</v>
      </c>
      <c r="Z29" s="45"/>
      <c r="AE29" s="39"/>
    </row>
    <row r="30" spans="1:44" ht="16.5" customHeight="1" thickBot="1" x14ac:dyDescent="0.35">
      <c r="A30" s="317" t="s">
        <v>48</v>
      </c>
      <c r="B30" s="318"/>
      <c r="C30" s="318"/>
      <c r="D30" s="318"/>
      <c r="E30" s="319"/>
      <c r="F30" s="318"/>
      <c r="G30" s="318"/>
      <c r="H30" s="201">
        <f t="shared" ref="H30:M30" si="3">SUM(H5:H29)</f>
        <v>330</v>
      </c>
      <c r="I30" s="96">
        <f>SUM(I5:I29)</f>
        <v>1055.45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20"/>
      <c r="S30" s="320"/>
      <c r="T30" s="321"/>
      <c r="U30" s="141"/>
      <c r="X30" s="14">
        <v>4</v>
      </c>
      <c r="Z30" s="45"/>
      <c r="AD30" s="46"/>
    </row>
    <row r="31" spans="1:44" x14ac:dyDescent="0.3">
      <c r="A31" s="322" t="s">
        <v>16</v>
      </c>
      <c r="B31" s="323"/>
      <c r="C31" s="323"/>
      <c r="D31" s="323"/>
      <c r="E31" s="323"/>
      <c r="F31" s="323"/>
      <c r="G31" s="323"/>
      <c r="H31" s="202">
        <f t="shared" ref="H31:J31" si="4">H30+H62+H94</f>
        <v>330</v>
      </c>
      <c r="I31" s="94">
        <f t="shared" si="4"/>
        <v>1055.45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330</v>
      </c>
      <c r="T31" s="307">
        <f>H31+I31+L31+M31</f>
        <v>1385.45</v>
      </c>
      <c r="U31" s="308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298" t="s">
        <v>55</v>
      </c>
      <c r="B32" s="299"/>
      <c r="C32" s="98">
        <f>H31+I31+J31+K31</f>
        <v>1385.45</v>
      </c>
      <c r="D32" s="186"/>
      <c r="E32" s="98"/>
      <c r="F32" s="300" t="s">
        <v>53</v>
      </c>
      <c r="G32" s="300"/>
      <c r="H32" s="100">
        <f>COUNT(B8:B29,B37:B61,B69:B93)</f>
        <v>9</v>
      </c>
      <c r="I32" s="301" t="s">
        <v>54</v>
      </c>
      <c r="J32" s="301"/>
      <c r="K32" s="99">
        <f>C32/H32</f>
        <v>153.9388888888889</v>
      </c>
      <c r="L32" s="208"/>
      <c r="M32" s="208"/>
      <c r="N32" s="208">
        <f>H31/C32</f>
        <v>0.23818975784041285</v>
      </c>
      <c r="O32" s="208">
        <f>I31/C32</f>
        <v>0.76181024215958715</v>
      </c>
      <c r="P32" s="208">
        <f>K31/C32</f>
        <v>0</v>
      </c>
      <c r="Q32" s="101">
        <f>J31/C32</f>
        <v>0</v>
      </c>
      <c r="R32" s="90" t="s">
        <v>82</v>
      </c>
      <c r="S32" s="203">
        <f>I31+M31</f>
        <v>1055.45</v>
      </c>
      <c r="T32" s="309"/>
      <c r="U32" s="310"/>
      <c r="V32" s="39"/>
      <c r="W32" s="39"/>
      <c r="X32" s="48" t="s">
        <v>27</v>
      </c>
      <c r="Y32" s="48"/>
      <c r="Z32" s="47">
        <f>I31</f>
        <v>1055.45</v>
      </c>
    </row>
    <row r="33" spans="1:33" ht="17.25" thickBot="1" x14ac:dyDescent="0.35">
      <c r="A33" s="305" t="s">
        <v>24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267"/>
      <c r="U33" s="268"/>
      <c r="X33" s="49" t="s">
        <v>29</v>
      </c>
      <c r="Y33" s="49"/>
      <c r="Z33" s="50">
        <f>SUM(Z31:Z32)</f>
        <v>-1689.55</v>
      </c>
      <c r="AG33" s="35"/>
    </row>
    <row r="34" spans="1:33" ht="17.25" thickBot="1" x14ac:dyDescent="0.35">
      <c r="A34" s="266" t="str">
        <f>A2</f>
        <v>2 - 9 - 2022</v>
      </c>
      <c r="B34" s="267"/>
      <c r="C34" s="267"/>
      <c r="D34" s="267"/>
      <c r="E34" s="267"/>
      <c r="F34" s="267"/>
      <c r="G34" s="268"/>
      <c r="H34" s="269" t="s">
        <v>49</v>
      </c>
      <c r="I34" s="270"/>
      <c r="J34" s="266" t="str">
        <f>J2</f>
        <v>CLOUDY</v>
      </c>
      <c r="K34" s="268"/>
      <c r="L34" s="270" t="s">
        <v>50</v>
      </c>
      <c r="M34" s="271"/>
      <c r="N34" s="269"/>
      <c r="O34" s="267" t="str">
        <f>O2</f>
        <v>HENDRA</v>
      </c>
      <c r="P34" s="267"/>
      <c r="Q34" s="268"/>
      <c r="R34" s="270" t="s">
        <v>51</v>
      </c>
      <c r="S34" s="269"/>
      <c r="T34" s="272">
        <f>T2</f>
        <v>5</v>
      </c>
      <c r="U34" s="272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76" t="s">
        <v>8</v>
      </c>
      <c r="P36" s="276"/>
      <c r="Q36" s="276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3"/>
      <c r="P37" s="284"/>
      <c r="Q37" s="285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0"/>
      <c r="P38" s="281"/>
      <c r="Q38" s="282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3"/>
      <c r="P39" s="284"/>
      <c r="Q39" s="285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86"/>
      <c r="P40" s="287"/>
      <c r="Q40" s="28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86"/>
      <c r="P41" s="287"/>
      <c r="Q41" s="28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73"/>
      <c r="P42" s="274"/>
      <c r="Q42" s="27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3"/>
      <c r="P43" s="284"/>
      <c r="Q43" s="285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3"/>
      <c r="P44" s="284"/>
      <c r="Q44" s="285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3"/>
      <c r="P45" s="284"/>
      <c r="Q45" s="285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3"/>
      <c r="P46" s="284"/>
      <c r="Q46" s="285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3"/>
      <c r="P47" s="284"/>
      <c r="Q47" s="285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3"/>
      <c r="P48" s="284"/>
      <c r="Q48" s="285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3"/>
      <c r="P49" s="284"/>
      <c r="Q49" s="285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3"/>
      <c r="P50" s="284"/>
      <c r="Q50" s="285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3"/>
      <c r="P51" s="284"/>
      <c r="Q51" s="284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3"/>
      <c r="P52" s="284"/>
      <c r="Q52" s="284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4"/>
      <c r="P53" s="283"/>
      <c r="Q53" s="283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4"/>
      <c r="P54" s="283"/>
      <c r="Q54" s="283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4"/>
      <c r="P55" s="283"/>
      <c r="Q55" s="283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4"/>
      <c r="P56" s="284"/>
      <c r="Q56" s="284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3"/>
      <c r="P57" s="284"/>
      <c r="Q57" s="284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4"/>
      <c r="P58" s="284"/>
      <c r="Q58" s="284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4"/>
      <c r="P59" s="284"/>
      <c r="Q59" s="284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3"/>
      <c r="P60" s="284"/>
      <c r="Q60" s="285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25"/>
      <c r="P61" s="326"/>
      <c r="Q61" s="327"/>
      <c r="R61" s="72"/>
      <c r="S61" s="59"/>
      <c r="T61" s="59"/>
      <c r="U61" s="68"/>
    </row>
    <row r="62" spans="1:21" x14ac:dyDescent="0.3">
      <c r="A62" s="328" t="s">
        <v>48</v>
      </c>
      <c r="B62" s="329"/>
      <c r="C62" s="329"/>
      <c r="D62" s="329"/>
      <c r="E62" s="329"/>
      <c r="F62" s="329"/>
      <c r="G62" s="329"/>
      <c r="H62" s="329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43"/>
      <c r="O62" s="344"/>
      <c r="P62" s="344"/>
      <c r="Q62" s="345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46"/>
      <c r="O63" s="347"/>
      <c r="P63" s="347"/>
      <c r="Q63" s="348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05"/>
      <c r="O64" s="306"/>
      <c r="P64" s="306"/>
      <c r="Q64" s="349"/>
      <c r="R64" s="350" t="s">
        <v>17</v>
      </c>
      <c r="S64" s="351"/>
      <c r="T64" s="351"/>
      <c r="U64" s="352"/>
    </row>
    <row r="65" spans="1:21" ht="17.25" thickBot="1" x14ac:dyDescent="0.35">
      <c r="A65" s="266" t="s">
        <v>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8"/>
    </row>
    <row r="66" spans="1:21" ht="17.25" thickBot="1" x14ac:dyDescent="0.35">
      <c r="A66" s="266" t="str">
        <f>A34</f>
        <v>2 - 9 - 2022</v>
      </c>
      <c r="B66" s="267"/>
      <c r="C66" s="267"/>
      <c r="D66" s="267"/>
      <c r="E66" s="267"/>
      <c r="F66" s="267"/>
      <c r="G66" s="268"/>
      <c r="H66" s="269" t="s">
        <v>49</v>
      </c>
      <c r="I66" s="270"/>
      <c r="J66" s="266" t="str">
        <f>J34</f>
        <v>CLOUDY</v>
      </c>
      <c r="K66" s="268"/>
      <c r="L66" s="270" t="s">
        <v>50</v>
      </c>
      <c r="M66" s="271"/>
      <c r="N66" s="269"/>
      <c r="O66" s="267" t="str">
        <f>O34</f>
        <v>HENDRA</v>
      </c>
      <c r="P66" s="267"/>
      <c r="Q66" s="268"/>
      <c r="R66" s="270" t="s">
        <v>51</v>
      </c>
      <c r="S66" s="269"/>
      <c r="T66" s="272">
        <f>T34</f>
        <v>5</v>
      </c>
      <c r="U66" s="272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76" t="s">
        <v>8</v>
      </c>
      <c r="P68" s="276"/>
      <c r="Q68" s="276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3"/>
      <c r="P69" s="284"/>
      <c r="Q69" s="285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0"/>
      <c r="P70" s="281"/>
      <c r="Q70" s="282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3"/>
      <c r="P71" s="284"/>
      <c r="Q71" s="285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86"/>
      <c r="P72" s="287"/>
      <c r="Q72" s="28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86"/>
      <c r="P73" s="287"/>
      <c r="Q73" s="28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73"/>
      <c r="P74" s="274"/>
      <c r="Q74" s="27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3"/>
      <c r="P75" s="284"/>
      <c r="Q75" s="285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3"/>
      <c r="P76" s="284"/>
      <c r="Q76" s="285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3"/>
      <c r="P77" s="284"/>
      <c r="Q77" s="285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3"/>
      <c r="P78" s="284"/>
      <c r="Q78" s="285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3"/>
      <c r="P79" s="284"/>
      <c r="Q79" s="285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3"/>
      <c r="P80" s="284"/>
      <c r="Q80" s="285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3"/>
      <c r="P81" s="284"/>
      <c r="Q81" s="285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3"/>
      <c r="P82" s="284"/>
      <c r="Q82" s="285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3"/>
      <c r="P83" s="284"/>
      <c r="Q83" s="284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3"/>
      <c r="P84" s="284"/>
      <c r="Q84" s="284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4"/>
      <c r="P85" s="283"/>
      <c r="Q85" s="283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4"/>
      <c r="P86" s="283"/>
      <c r="Q86" s="283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4"/>
      <c r="P87" s="283"/>
      <c r="Q87" s="283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4"/>
      <c r="P88" s="284"/>
      <c r="Q88" s="284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3"/>
      <c r="P89" s="284"/>
      <c r="Q89" s="284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4"/>
      <c r="P90" s="284"/>
      <c r="Q90" s="284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4"/>
      <c r="P91" s="284"/>
      <c r="Q91" s="284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3"/>
      <c r="P92" s="284"/>
      <c r="Q92" s="285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25"/>
      <c r="P93" s="326"/>
      <c r="Q93" s="327"/>
      <c r="R93" s="72"/>
      <c r="S93" s="59"/>
      <c r="T93" s="59"/>
      <c r="U93" s="68"/>
    </row>
    <row r="94" spans="1:21" x14ac:dyDescent="0.3">
      <c r="A94" s="328" t="s">
        <v>48</v>
      </c>
      <c r="B94" s="329"/>
      <c r="C94" s="329"/>
      <c r="D94" s="329"/>
      <c r="E94" s="353"/>
      <c r="F94" s="329"/>
      <c r="G94" s="329"/>
      <c r="H94" s="329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43"/>
      <c r="O94" s="344"/>
      <c r="P94" s="344"/>
      <c r="Q94" s="345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46"/>
      <c r="O95" s="347"/>
      <c r="P95" s="347"/>
      <c r="Q95" s="348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05"/>
      <c r="O96" s="306"/>
      <c r="P96" s="306"/>
      <c r="Q96" s="349"/>
      <c r="R96" s="350" t="s">
        <v>52</v>
      </c>
      <c r="S96" s="351"/>
      <c r="T96" s="351"/>
      <c r="U96" s="35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M23" sqref="M2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66" t="s">
        <v>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8"/>
    </row>
    <row r="2" spans="1:44" ht="17.25" thickBot="1" x14ac:dyDescent="0.35">
      <c r="A2" s="266" t="s">
        <v>315</v>
      </c>
      <c r="B2" s="267"/>
      <c r="C2" s="267"/>
      <c r="D2" s="267"/>
      <c r="E2" s="267"/>
      <c r="F2" s="267"/>
      <c r="G2" s="268"/>
      <c r="H2" s="269" t="s">
        <v>49</v>
      </c>
      <c r="I2" s="270"/>
      <c r="J2" s="266" t="s">
        <v>332</v>
      </c>
      <c r="K2" s="268"/>
      <c r="L2" s="270" t="s">
        <v>96</v>
      </c>
      <c r="M2" s="271"/>
      <c r="N2" s="269"/>
      <c r="O2" s="267" t="s">
        <v>331</v>
      </c>
      <c r="P2" s="267"/>
      <c r="Q2" s="268"/>
      <c r="R2" s="270" t="s">
        <v>51</v>
      </c>
      <c r="S2" s="269"/>
      <c r="T2" s="272">
        <v>3</v>
      </c>
      <c r="U2" s="272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76" t="s">
        <v>8</v>
      </c>
      <c r="P4" s="276"/>
      <c r="Q4" s="276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10968</v>
      </c>
      <c r="C5" s="59" t="s">
        <v>318</v>
      </c>
      <c r="D5" s="190" t="s">
        <v>319</v>
      </c>
      <c r="E5" s="171" t="s">
        <v>316</v>
      </c>
      <c r="F5" s="160">
        <v>955</v>
      </c>
      <c r="G5" s="109" t="s">
        <v>128</v>
      </c>
      <c r="H5" s="82"/>
      <c r="I5" s="115">
        <v>25</v>
      </c>
      <c r="J5" s="120" t="str">
        <f>IF(G5="RSL","55","0")</f>
        <v>0</v>
      </c>
      <c r="K5" s="120">
        <v>50</v>
      </c>
      <c r="L5" s="121"/>
      <c r="M5" s="121"/>
      <c r="N5" s="124" t="s">
        <v>331</v>
      </c>
      <c r="O5" s="277" t="s">
        <v>317</v>
      </c>
      <c r="P5" s="278"/>
      <c r="Q5" s="279"/>
      <c r="R5" s="32" t="s">
        <v>331</v>
      </c>
      <c r="S5" s="30">
        <v>0.35416666666666669</v>
      </c>
      <c r="T5" s="31">
        <v>0.70833333333333337</v>
      </c>
      <c r="U5" s="83">
        <f t="shared" ref="U5:U15" si="0">(T5-S5)*24</f>
        <v>8.5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10969</v>
      </c>
      <c r="C6" s="58" t="s">
        <v>320</v>
      </c>
      <c r="D6" s="190" t="s">
        <v>321</v>
      </c>
      <c r="E6" s="171" t="s">
        <v>92</v>
      </c>
      <c r="F6" s="161">
        <v>1000</v>
      </c>
      <c r="G6" s="109" t="s">
        <v>117</v>
      </c>
      <c r="H6" s="82">
        <v>200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331</v>
      </c>
      <c r="O6" s="280"/>
      <c r="P6" s="281"/>
      <c r="Q6" s="282"/>
      <c r="R6" s="32" t="s">
        <v>99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10970</v>
      </c>
      <c r="C7" s="58" t="s">
        <v>327</v>
      </c>
      <c r="D7" s="190" t="s">
        <v>328</v>
      </c>
      <c r="E7" s="171" t="s">
        <v>92</v>
      </c>
      <c r="F7" s="161">
        <v>1145</v>
      </c>
      <c r="G7" s="109" t="s">
        <v>117</v>
      </c>
      <c r="H7" s="82"/>
      <c r="I7" s="115">
        <v>95.95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331</v>
      </c>
      <c r="O7" s="283"/>
      <c r="P7" s="284"/>
      <c r="Q7" s="285"/>
      <c r="R7" s="25" t="s">
        <v>102</v>
      </c>
      <c r="S7" s="30">
        <v>0.375</v>
      </c>
      <c r="T7" s="31">
        <v>0.70833333333333337</v>
      </c>
      <c r="U7" s="83">
        <f t="shared" si="0"/>
        <v>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10971</v>
      </c>
      <c r="C8" s="26" t="s">
        <v>322</v>
      </c>
      <c r="D8" s="190" t="s">
        <v>323</v>
      </c>
      <c r="E8" s="171" t="s">
        <v>91</v>
      </c>
      <c r="F8" s="161">
        <v>1225</v>
      </c>
      <c r="G8" s="109" t="s">
        <v>117</v>
      </c>
      <c r="H8" s="82">
        <v>75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331</v>
      </c>
      <c r="O8" s="286"/>
      <c r="P8" s="287"/>
      <c r="Q8" s="288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10972</v>
      </c>
      <c r="C9" s="54" t="s">
        <v>329</v>
      </c>
      <c r="D9" s="191" t="s">
        <v>330</v>
      </c>
      <c r="E9" s="171" t="s">
        <v>91</v>
      </c>
      <c r="F9" s="162">
        <v>1230</v>
      </c>
      <c r="G9" s="110" t="s">
        <v>117</v>
      </c>
      <c r="H9" s="82">
        <v>95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331</v>
      </c>
      <c r="O9" s="286"/>
      <c r="P9" s="287"/>
      <c r="Q9" s="28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10973</v>
      </c>
      <c r="C10" s="27" t="s">
        <v>324</v>
      </c>
      <c r="D10" s="192" t="s">
        <v>325</v>
      </c>
      <c r="E10" s="171" t="s">
        <v>92</v>
      </c>
      <c r="F10" s="163">
        <v>1250</v>
      </c>
      <c r="G10" s="111" t="s">
        <v>144</v>
      </c>
      <c r="H10" s="114"/>
      <c r="I10" s="116"/>
      <c r="J10" s="120" t="str">
        <f t="shared" si="1"/>
        <v>0</v>
      </c>
      <c r="K10" s="120" t="str">
        <f t="shared" si="2"/>
        <v>45.8</v>
      </c>
      <c r="L10" s="121"/>
      <c r="M10" s="121"/>
      <c r="N10" s="124" t="s">
        <v>331</v>
      </c>
      <c r="O10" s="273" t="s">
        <v>326</v>
      </c>
      <c r="P10" s="274"/>
      <c r="Q10" s="27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10974</v>
      </c>
      <c r="C11" s="17" t="s">
        <v>333</v>
      </c>
      <c r="D11" s="193" t="s">
        <v>334</v>
      </c>
      <c r="E11" s="171" t="s">
        <v>92</v>
      </c>
      <c r="F11" s="57">
        <v>1325</v>
      </c>
      <c r="G11" s="112" t="s">
        <v>128</v>
      </c>
      <c r="H11" s="114"/>
      <c r="I11" s="115">
        <v>75.75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331</v>
      </c>
      <c r="O11" s="283"/>
      <c r="P11" s="284"/>
      <c r="Q11" s="285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10975</v>
      </c>
      <c r="C12" s="55" t="s">
        <v>335</v>
      </c>
      <c r="D12" s="194" t="s">
        <v>336</v>
      </c>
      <c r="E12" s="171" t="s">
        <v>91</v>
      </c>
      <c r="F12" s="163">
        <v>1440</v>
      </c>
      <c r="G12" s="110" t="s">
        <v>117</v>
      </c>
      <c r="H12" s="114">
        <v>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331</v>
      </c>
      <c r="O12" s="283"/>
      <c r="P12" s="284"/>
      <c r="Q12" s="285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10976</v>
      </c>
      <c r="C13" s="55" t="s">
        <v>337</v>
      </c>
      <c r="D13" s="194" t="s">
        <v>338</v>
      </c>
      <c r="E13" s="171" t="s">
        <v>91</v>
      </c>
      <c r="F13" s="163">
        <v>1450</v>
      </c>
      <c r="G13" s="110" t="s">
        <v>117</v>
      </c>
      <c r="H13" s="159">
        <v>75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331</v>
      </c>
      <c r="O13" s="283"/>
      <c r="P13" s="284"/>
      <c r="Q13" s="2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10977</v>
      </c>
      <c r="C14" s="56" t="s">
        <v>339</v>
      </c>
      <c r="D14" s="195" t="s">
        <v>340</v>
      </c>
      <c r="E14" s="171" t="s">
        <v>91</v>
      </c>
      <c r="F14" s="164">
        <v>1610</v>
      </c>
      <c r="G14" s="113" t="s">
        <v>341</v>
      </c>
      <c r="H14" s="114">
        <v>100</v>
      </c>
      <c r="I14" s="116">
        <v>191.9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331</v>
      </c>
      <c r="O14" s="283"/>
      <c r="P14" s="284"/>
      <c r="Q14" s="285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83"/>
      <c r="P15" s="284"/>
      <c r="Q15" s="28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83"/>
      <c r="P16" s="284"/>
      <c r="Q16" s="285"/>
      <c r="R16" s="73">
        <f>H32/U16</f>
        <v>0.39215686274509803</v>
      </c>
      <c r="S16" s="74">
        <f>H32/(U16-U5)</f>
        <v>0.58823529411764708</v>
      </c>
      <c r="T16" s="74">
        <f>C32/U16</f>
        <v>44.094117647058816</v>
      </c>
      <c r="U16" s="74">
        <f>SUM(U5:U15)</f>
        <v>25.5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83"/>
      <c r="P17" s="284"/>
      <c r="Q17" s="285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83"/>
      <c r="P18" s="284"/>
      <c r="Q18" s="285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83"/>
      <c r="P19" s="284"/>
      <c r="Q19" s="284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91"/>
      <c r="P20" s="292"/>
      <c r="Q20" s="292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3"/>
      <c r="P21" s="284"/>
      <c r="Q21" s="284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3"/>
      <c r="P22" s="284"/>
      <c r="Q22" s="285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89"/>
      <c r="Y23" s="290"/>
      <c r="Z23" s="29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3"/>
      <c r="P24" s="284"/>
      <c r="Q24" s="285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3"/>
      <c r="P25" s="284"/>
      <c r="Q25" s="28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93">
        <f>((C32+(R26+S26+T26)*0.5))</f>
        <v>1124.3999999999999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3"/>
      <c r="P26" s="284"/>
      <c r="Q26" s="285"/>
      <c r="R26" s="103">
        <f>R25*37.5</f>
        <v>0</v>
      </c>
      <c r="S26" s="93">
        <f>S25*41.5</f>
        <v>0</v>
      </c>
      <c r="T26" s="93">
        <f>T25*50</f>
        <v>0</v>
      </c>
      <c r="U26" s="294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3"/>
      <c r="P27" s="284"/>
      <c r="Q27" s="285"/>
      <c r="R27" s="302" t="s">
        <v>56</v>
      </c>
      <c r="S27" s="303"/>
      <c r="T27" s="303"/>
      <c r="U27" s="304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3"/>
      <c r="P28" s="284"/>
      <c r="Q28" s="285"/>
      <c r="R28" s="295"/>
      <c r="S28" s="296"/>
      <c r="T28" s="297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11"/>
      <c r="P29" s="312"/>
      <c r="Q29" s="313"/>
      <c r="R29" s="314"/>
      <c r="S29" s="315"/>
      <c r="T29" s="316"/>
      <c r="U29" s="140"/>
      <c r="X29" s="14">
        <v>3</v>
      </c>
      <c r="Z29" s="45"/>
      <c r="AE29" s="39"/>
    </row>
    <row r="30" spans="1:44" ht="16.5" customHeight="1" thickBot="1" x14ac:dyDescent="0.35">
      <c r="A30" s="317" t="s">
        <v>48</v>
      </c>
      <c r="B30" s="318"/>
      <c r="C30" s="318"/>
      <c r="D30" s="318"/>
      <c r="E30" s="319"/>
      <c r="F30" s="318"/>
      <c r="G30" s="318"/>
      <c r="H30" s="201">
        <f t="shared" ref="H30:M30" si="3">SUM(H5:H29)</f>
        <v>640</v>
      </c>
      <c r="I30" s="96">
        <f>SUM(I5:I29)</f>
        <v>388.6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95.8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20"/>
      <c r="S30" s="320"/>
      <c r="T30" s="321"/>
      <c r="U30" s="141"/>
      <c r="X30" s="14">
        <v>4</v>
      </c>
      <c r="Z30" s="45"/>
      <c r="AD30" s="46"/>
    </row>
    <row r="31" spans="1:44" x14ac:dyDescent="0.3">
      <c r="A31" s="322" t="s">
        <v>16</v>
      </c>
      <c r="B31" s="323"/>
      <c r="C31" s="323"/>
      <c r="D31" s="323"/>
      <c r="E31" s="323"/>
      <c r="F31" s="323"/>
      <c r="G31" s="323"/>
      <c r="H31" s="202">
        <f t="shared" ref="H31:J31" si="4">H30+H62+H94</f>
        <v>640</v>
      </c>
      <c r="I31" s="94">
        <f t="shared" si="4"/>
        <v>388.6</v>
      </c>
      <c r="J31" s="94">
        <f t="shared" si="4"/>
        <v>0</v>
      </c>
      <c r="K31" s="94">
        <f>K30+K62+K94</f>
        <v>95.8</v>
      </c>
      <c r="L31" s="88">
        <f>L30+L62+L94</f>
        <v>0</v>
      </c>
      <c r="M31" s="88">
        <f>M30+M62+M94</f>
        <v>0</v>
      </c>
      <c r="N31" s="207">
        <f>COUNT(H5:H29,H37:H61,H69:H93)</f>
        <v>6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640</v>
      </c>
      <c r="T31" s="307">
        <f>H31+I31+L31+M31</f>
        <v>1028.5999999999999</v>
      </c>
      <c r="U31" s="308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298" t="s">
        <v>55</v>
      </c>
      <c r="B32" s="299"/>
      <c r="C32" s="98">
        <f>H31+I31+J31+K31</f>
        <v>1124.3999999999999</v>
      </c>
      <c r="D32" s="186"/>
      <c r="E32" s="98"/>
      <c r="F32" s="300" t="s">
        <v>53</v>
      </c>
      <c r="G32" s="300"/>
      <c r="H32" s="100">
        <f>COUNT(B5:B29,B37:B61,B69:B93)</f>
        <v>10</v>
      </c>
      <c r="I32" s="301" t="s">
        <v>54</v>
      </c>
      <c r="J32" s="301"/>
      <c r="K32" s="99">
        <f>C32/H32</f>
        <v>112.43999999999998</v>
      </c>
      <c r="L32" s="208"/>
      <c r="M32" s="208"/>
      <c r="N32" s="208">
        <f>H31/C32</f>
        <v>0.56919245819992892</v>
      </c>
      <c r="O32" s="208">
        <f>I31/C32</f>
        <v>0.34560654571326938</v>
      </c>
      <c r="P32" s="208">
        <f>K31/C32</f>
        <v>8.5200996086801858E-2</v>
      </c>
      <c r="Q32" s="101">
        <f>J31/C32</f>
        <v>0</v>
      </c>
      <c r="R32" s="90" t="s">
        <v>82</v>
      </c>
      <c r="S32" s="203">
        <f>I31+M31</f>
        <v>388.6</v>
      </c>
      <c r="T32" s="309"/>
      <c r="U32" s="310"/>
      <c r="V32" s="39"/>
      <c r="W32" s="39"/>
      <c r="X32" s="48" t="s">
        <v>27</v>
      </c>
      <c r="Y32" s="48"/>
      <c r="Z32" s="47">
        <f>I31</f>
        <v>388.6</v>
      </c>
    </row>
    <row r="33" spans="1:33" ht="17.25" thickBot="1" x14ac:dyDescent="0.35">
      <c r="A33" s="305" t="s">
        <v>24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267"/>
      <c r="U33" s="268"/>
      <c r="X33" s="49" t="s">
        <v>29</v>
      </c>
      <c r="Y33" s="49"/>
      <c r="Z33" s="50">
        <f>SUM(Z31:Z32)</f>
        <v>-2356.4</v>
      </c>
      <c r="AG33" s="35"/>
    </row>
    <row r="34" spans="1:33" ht="17.25" thickBot="1" x14ac:dyDescent="0.35">
      <c r="A34" s="266" t="str">
        <f>A2</f>
        <v>03-09-2022</v>
      </c>
      <c r="B34" s="267"/>
      <c r="C34" s="267"/>
      <c r="D34" s="267"/>
      <c r="E34" s="267"/>
      <c r="F34" s="267"/>
      <c r="G34" s="268"/>
      <c r="H34" s="269" t="s">
        <v>49</v>
      </c>
      <c r="I34" s="270"/>
      <c r="J34" s="266" t="str">
        <f>J2</f>
        <v>RAIN</v>
      </c>
      <c r="K34" s="268"/>
      <c r="L34" s="270" t="s">
        <v>50</v>
      </c>
      <c r="M34" s="271"/>
      <c r="N34" s="269"/>
      <c r="O34" s="267" t="str">
        <f>O2</f>
        <v>JOHN</v>
      </c>
      <c r="P34" s="267"/>
      <c r="Q34" s="268"/>
      <c r="R34" s="270" t="s">
        <v>51</v>
      </c>
      <c r="S34" s="269"/>
      <c r="T34" s="272">
        <f>T2</f>
        <v>3</v>
      </c>
      <c r="U34" s="272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76" t="s">
        <v>8</v>
      </c>
      <c r="P36" s="276"/>
      <c r="Q36" s="276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3"/>
      <c r="P37" s="284"/>
      <c r="Q37" s="285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0"/>
      <c r="P38" s="281"/>
      <c r="Q38" s="282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3"/>
      <c r="P39" s="284"/>
      <c r="Q39" s="285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86"/>
      <c r="P40" s="287"/>
      <c r="Q40" s="28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86"/>
      <c r="P41" s="287"/>
      <c r="Q41" s="28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73"/>
      <c r="P42" s="274"/>
      <c r="Q42" s="27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3"/>
      <c r="P43" s="284"/>
      <c r="Q43" s="285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3"/>
      <c r="P44" s="284"/>
      <c r="Q44" s="285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3"/>
      <c r="P45" s="284"/>
      <c r="Q45" s="285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3"/>
      <c r="P46" s="284"/>
      <c r="Q46" s="285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3"/>
      <c r="P47" s="284"/>
      <c r="Q47" s="285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3"/>
      <c r="P48" s="284"/>
      <c r="Q48" s="285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3"/>
      <c r="P49" s="284"/>
      <c r="Q49" s="285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3"/>
      <c r="P50" s="284"/>
      <c r="Q50" s="285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3"/>
      <c r="P51" s="284"/>
      <c r="Q51" s="284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3"/>
      <c r="P52" s="284"/>
      <c r="Q52" s="284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4"/>
      <c r="P53" s="283"/>
      <c r="Q53" s="283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4"/>
      <c r="P54" s="283"/>
      <c r="Q54" s="283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4"/>
      <c r="P55" s="283"/>
      <c r="Q55" s="283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4"/>
      <c r="P56" s="284"/>
      <c r="Q56" s="284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3"/>
      <c r="P57" s="284"/>
      <c r="Q57" s="284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4"/>
      <c r="P58" s="284"/>
      <c r="Q58" s="284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4"/>
      <c r="P59" s="284"/>
      <c r="Q59" s="284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3"/>
      <c r="P60" s="284"/>
      <c r="Q60" s="285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25"/>
      <c r="P61" s="326"/>
      <c r="Q61" s="327"/>
      <c r="R61" s="72"/>
      <c r="S61" s="59"/>
      <c r="T61" s="59"/>
      <c r="U61" s="68"/>
    </row>
    <row r="62" spans="1:21" x14ac:dyDescent="0.3">
      <c r="A62" s="328" t="s">
        <v>48</v>
      </c>
      <c r="B62" s="329"/>
      <c r="C62" s="329"/>
      <c r="D62" s="329"/>
      <c r="E62" s="329"/>
      <c r="F62" s="329"/>
      <c r="G62" s="329"/>
      <c r="H62" s="329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43"/>
      <c r="O62" s="344"/>
      <c r="P62" s="344"/>
      <c r="Q62" s="345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46"/>
      <c r="O63" s="347"/>
      <c r="P63" s="347"/>
      <c r="Q63" s="348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05"/>
      <c r="O64" s="306"/>
      <c r="P64" s="306"/>
      <c r="Q64" s="349"/>
      <c r="R64" s="350" t="s">
        <v>17</v>
      </c>
      <c r="S64" s="351"/>
      <c r="T64" s="351"/>
      <c r="U64" s="352"/>
    </row>
    <row r="65" spans="1:21" ht="17.25" thickBot="1" x14ac:dyDescent="0.35">
      <c r="A65" s="266" t="s">
        <v>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8"/>
    </row>
    <row r="66" spans="1:21" ht="17.25" thickBot="1" x14ac:dyDescent="0.35">
      <c r="A66" s="266" t="str">
        <f>A34</f>
        <v>03-09-2022</v>
      </c>
      <c r="B66" s="267"/>
      <c r="C66" s="267"/>
      <c r="D66" s="267"/>
      <c r="E66" s="267"/>
      <c r="F66" s="267"/>
      <c r="G66" s="268"/>
      <c r="H66" s="269" t="s">
        <v>49</v>
      </c>
      <c r="I66" s="270"/>
      <c r="J66" s="266" t="str">
        <f>J34</f>
        <v>RAIN</v>
      </c>
      <c r="K66" s="268"/>
      <c r="L66" s="270" t="s">
        <v>50</v>
      </c>
      <c r="M66" s="271"/>
      <c r="N66" s="269"/>
      <c r="O66" s="267" t="str">
        <f>O34</f>
        <v>JOHN</v>
      </c>
      <c r="P66" s="267"/>
      <c r="Q66" s="268"/>
      <c r="R66" s="270" t="s">
        <v>51</v>
      </c>
      <c r="S66" s="269"/>
      <c r="T66" s="272">
        <f>T34</f>
        <v>3</v>
      </c>
      <c r="U66" s="272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76" t="s">
        <v>8</v>
      </c>
      <c r="P68" s="276"/>
      <c r="Q68" s="276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3"/>
      <c r="P69" s="284"/>
      <c r="Q69" s="285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0"/>
      <c r="P70" s="281"/>
      <c r="Q70" s="282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3"/>
      <c r="P71" s="284"/>
      <c r="Q71" s="285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86"/>
      <c r="P72" s="287"/>
      <c r="Q72" s="28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86"/>
      <c r="P73" s="287"/>
      <c r="Q73" s="28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73"/>
      <c r="P74" s="274"/>
      <c r="Q74" s="27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3"/>
      <c r="P75" s="284"/>
      <c r="Q75" s="285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3"/>
      <c r="P76" s="284"/>
      <c r="Q76" s="285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3"/>
      <c r="P77" s="284"/>
      <c r="Q77" s="285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3"/>
      <c r="P78" s="284"/>
      <c r="Q78" s="285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3"/>
      <c r="P79" s="284"/>
      <c r="Q79" s="285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3"/>
      <c r="P80" s="284"/>
      <c r="Q80" s="285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3"/>
      <c r="P81" s="284"/>
      <c r="Q81" s="285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3"/>
      <c r="P82" s="284"/>
      <c r="Q82" s="285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3"/>
      <c r="P83" s="284"/>
      <c r="Q83" s="284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3"/>
      <c r="P84" s="284"/>
      <c r="Q84" s="284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4"/>
      <c r="P85" s="283"/>
      <c r="Q85" s="283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4"/>
      <c r="P86" s="283"/>
      <c r="Q86" s="283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4"/>
      <c r="P87" s="283"/>
      <c r="Q87" s="283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4"/>
      <c r="P88" s="284"/>
      <c r="Q88" s="284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3"/>
      <c r="P89" s="284"/>
      <c r="Q89" s="284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4"/>
      <c r="P90" s="284"/>
      <c r="Q90" s="284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4"/>
      <c r="P91" s="284"/>
      <c r="Q91" s="284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3"/>
      <c r="P92" s="284"/>
      <c r="Q92" s="285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25"/>
      <c r="P93" s="326"/>
      <c r="Q93" s="327"/>
      <c r="R93" s="72"/>
      <c r="S93" s="59"/>
      <c r="T93" s="59"/>
      <c r="U93" s="68"/>
    </row>
    <row r="94" spans="1:21" x14ac:dyDescent="0.3">
      <c r="A94" s="328" t="s">
        <v>48</v>
      </c>
      <c r="B94" s="329"/>
      <c r="C94" s="329"/>
      <c r="D94" s="329"/>
      <c r="E94" s="353"/>
      <c r="F94" s="329"/>
      <c r="G94" s="329"/>
      <c r="H94" s="329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43"/>
      <c r="O94" s="344"/>
      <c r="P94" s="344"/>
      <c r="Q94" s="345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46"/>
      <c r="O95" s="347"/>
      <c r="P95" s="347"/>
      <c r="Q95" s="348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05"/>
      <c r="O96" s="306"/>
      <c r="P96" s="306"/>
      <c r="Q96" s="349"/>
      <c r="R96" s="350" t="s">
        <v>52</v>
      </c>
      <c r="S96" s="351"/>
      <c r="T96" s="351"/>
      <c r="U96" s="352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M23" sqref="M2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66" t="s">
        <v>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8"/>
    </row>
    <row r="2" spans="1:44" ht="17.25" thickBot="1" x14ac:dyDescent="0.35">
      <c r="A2" s="266" t="s">
        <v>342</v>
      </c>
      <c r="B2" s="267"/>
      <c r="C2" s="267"/>
      <c r="D2" s="267"/>
      <c r="E2" s="267"/>
      <c r="F2" s="267"/>
      <c r="G2" s="268"/>
      <c r="H2" s="269" t="s">
        <v>49</v>
      </c>
      <c r="I2" s="270"/>
      <c r="J2" s="266" t="s">
        <v>357</v>
      </c>
      <c r="K2" s="268"/>
      <c r="L2" s="270" t="s">
        <v>96</v>
      </c>
      <c r="M2" s="271"/>
      <c r="N2" s="269"/>
      <c r="O2" s="267" t="s">
        <v>331</v>
      </c>
      <c r="P2" s="267"/>
      <c r="Q2" s="268"/>
      <c r="R2" s="270" t="s">
        <v>51</v>
      </c>
      <c r="S2" s="269"/>
      <c r="T2" s="272">
        <v>3</v>
      </c>
      <c r="U2" s="272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76" t="s">
        <v>8</v>
      </c>
      <c r="P4" s="276"/>
      <c r="Q4" s="276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10978</v>
      </c>
      <c r="C5" s="59" t="s">
        <v>343</v>
      </c>
      <c r="D5" s="190" t="s">
        <v>344</v>
      </c>
      <c r="E5" s="171" t="s">
        <v>345</v>
      </c>
      <c r="F5" s="160">
        <v>830</v>
      </c>
      <c r="G5" s="109" t="s">
        <v>128</v>
      </c>
      <c r="H5" s="82"/>
      <c r="I5" s="115">
        <v>55.55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32" t="s">
        <v>99</v>
      </c>
      <c r="O5" s="277"/>
      <c r="P5" s="278"/>
      <c r="Q5" s="279"/>
      <c r="R5" s="32" t="s">
        <v>331</v>
      </c>
      <c r="S5" s="30">
        <v>0.34375</v>
      </c>
      <c r="T5" s="31">
        <v>0.70833333333333337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10979</v>
      </c>
      <c r="C6" s="58" t="s">
        <v>346</v>
      </c>
      <c r="D6" s="190" t="s">
        <v>347</v>
      </c>
      <c r="E6" s="171" t="s">
        <v>316</v>
      </c>
      <c r="F6" s="161">
        <v>1020</v>
      </c>
      <c r="G6" s="109" t="s">
        <v>128</v>
      </c>
      <c r="H6" s="82">
        <v>75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331</v>
      </c>
      <c r="O6" s="280"/>
      <c r="P6" s="281"/>
      <c r="Q6" s="282"/>
      <c r="R6" s="32" t="s">
        <v>99</v>
      </c>
      <c r="S6" s="30">
        <v>0.33333333333333331</v>
      </c>
      <c r="T6" s="31">
        <v>0.66666666666666663</v>
      </c>
      <c r="U6" s="83">
        <f t="shared" si="0"/>
        <v>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10980</v>
      </c>
      <c r="C7" s="58" t="s">
        <v>348</v>
      </c>
      <c r="D7" s="190" t="s">
        <v>349</v>
      </c>
      <c r="E7" s="171" t="s">
        <v>91</v>
      </c>
      <c r="F7" s="161">
        <v>1030</v>
      </c>
      <c r="G7" s="109" t="s">
        <v>117</v>
      </c>
      <c r="H7" s="82">
        <v>95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331</v>
      </c>
      <c r="O7" s="283"/>
      <c r="P7" s="284"/>
      <c r="Q7" s="285"/>
      <c r="R7" s="124" t="s">
        <v>290</v>
      </c>
      <c r="S7" s="30">
        <v>0.41666666666666669</v>
      </c>
      <c r="T7" s="31">
        <v>0.66666666666666663</v>
      </c>
      <c r="U7" s="83">
        <f t="shared" si="0"/>
        <v>5.9999999999999982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10981</v>
      </c>
      <c r="C8" s="26" t="s">
        <v>350</v>
      </c>
      <c r="D8" s="190" t="s">
        <v>351</v>
      </c>
      <c r="E8" s="171" t="s">
        <v>92</v>
      </c>
      <c r="F8" s="161">
        <v>1122</v>
      </c>
      <c r="G8" s="109" t="s">
        <v>113</v>
      </c>
      <c r="H8" s="82"/>
      <c r="I8" s="115"/>
      <c r="J8" s="120" t="str">
        <f t="shared" si="1"/>
        <v>0</v>
      </c>
      <c r="K8" s="120">
        <v>79.099999999999994</v>
      </c>
      <c r="L8" s="121"/>
      <c r="M8" s="121"/>
      <c r="N8" s="124" t="s">
        <v>331</v>
      </c>
      <c r="O8" s="286" t="s">
        <v>352</v>
      </c>
      <c r="P8" s="287"/>
      <c r="Q8" s="288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10982</v>
      </c>
      <c r="C9" s="54" t="s">
        <v>353</v>
      </c>
      <c r="D9" s="191" t="s">
        <v>354</v>
      </c>
      <c r="E9" s="171" t="s">
        <v>91</v>
      </c>
      <c r="F9" s="162">
        <v>1315</v>
      </c>
      <c r="G9" s="110" t="s">
        <v>117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331</v>
      </c>
      <c r="O9" s="286"/>
      <c r="P9" s="287"/>
      <c r="Q9" s="28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10983</v>
      </c>
      <c r="C10" s="27" t="s">
        <v>355</v>
      </c>
      <c r="D10" s="192" t="s">
        <v>356</v>
      </c>
      <c r="E10" s="171" t="s">
        <v>92</v>
      </c>
      <c r="F10" s="163">
        <v>1400</v>
      </c>
      <c r="G10" s="111" t="s">
        <v>117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290</v>
      </c>
      <c r="O10" s="273"/>
      <c r="P10" s="274"/>
      <c r="Q10" s="27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83"/>
      <c r="P11" s="284"/>
      <c r="Q11" s="285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83"/>
      <c r="P12" s="284"/>
      <c r="Q12" s="285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83"/>
      <c r="P13" s="284"/>
      <c r="Q13" s="28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83"/>
      <c r="P14" s="284"/>
      <c r="Q14" s="285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83"/>
      <c r="P15" s="284"/>
      <c r="Q15" s="28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83"/>
      <c r="P16" s="284"/>
      <c r="Q16" s="285"/>
      <c r="R16" s="73">
        <f>H32/U16</f>
        <v>0.26373626373626374</v>
      </c>
      <c r="S16" s="74">
        <f>H32/(U16-U5)</f>
        <v>0.42857142857142855</v>
      </c>
      <c r="T16" s="74">
        <f>C32/U16</f>
        <v>20.863736263736264</v>
      </c>
      <c r="U16" s="74">
        <f>SUM(U5:U15)</f>
        <v>22.75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83"/>
      <c r="P17" s="284"/>
      <c r="Q17" s="285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83"/>
      <c r="P18" s="284"/>
      <c r="Q18" s="285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83"/>
      <c r="P19" s="284"/>
      <c r="Q19" s="284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291"/>
      <c r="P20" s="292"/>
      <c r="Q20" s="292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83"/>
      <c r="P21" s="284"/>
      <c r="Q21" s="284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83"/>
      <c r="P22" s="284"/>
      <c r="Q22" s="285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289"/>
      <c r="Y23" s="290"/>
      <c r="Z23" s="290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83"/>
      <c r="P24" s="284"/>
      <c r="Q24" s="285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83"/>
      <c r="P25" s="284"/>
      <c r="Q25" s="28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293">
        <f>((C32+(R26+S26+T26)*0.5))</f>
        <v>474.65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83"/>
      <c r="P26" s="284"/>
      <c r="Q26" s="285"/>
      <c r="R26" s="103">
        <f>R25*37.5</f>
        <v>0</v>
      </c>
      <c r="S26" s="93">
        <f>S25*41.5</f>
        <v>0</v>
      </c>
      <c r="T26" s="93">
        <f>T25*50</f>
        <v>0</v>
      </c>
      <c r="U26" s="294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83"/>
      <c r="P27" s="284"/>
      <c r="Q27" s="285"/>
      <c r="R27" s="302" t="s">
        <v>56</v>
      </c>
      <c r="S27" s="303"/>
      <c r="T27" s="303"/>
      <c r="U27" s="304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83"/>
      <c r="P28" s="284"/>
      <c r="Q28" s="285"/>
      <c r="R28" s="295"/>
      <c r="S28" s="296"/>
      <c r="T28" s="297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11"/>
      <c r="P29" s="312"/>
      <c r="Q29" s="313"/>
      <c r="R29" s="314"/>
      <c r="S29" s="315"/>
      <c r="T29" s="316"/>
      <c r="U29" s="140"/>
      <c r="X29" s="14">
        <v>3</v>
      </c>
      <c r="Z29" s="45"/>
      <c r="AE29" s="39"/>
    </row>
    <row r="30" spans="1:44" ht="16.5" customHeight="1" thickBot="1" x14ac:dyDescent="0.35">
      <c r="A30" s="317" t="s">
        <v>48</v>
      </c>
      <c r="B30" s="318"/>
      <c r="C30" s="318"/>
      <c r="D30" s="318"/>
      <c r="E30" s="319"/>
      <c r="F30" s="318"/>
      <c r="G30" s="318"/>
      <c r="H30" s="201">
        <f t="shared" ref="H30:M30" si="3">SUM(H5:H29)</f>
        <v>245</v>
      </c>
      <c r="I30" s="96">
        <f>SUM(I5:I29)</f>
        <v>150.55000000000001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79.099999999999994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20"/>
      <c r="S30" s="320"/>
      <c r="T30" s="321"/>
      <c r="U30" s="141"/>
      <c r="X30" s="14">
        <v>4</v>
      </c>
      <c r="Z30" s="45"/>
      <c r="AD30" s="46"/>
    </row>
    <row r="31" spans="1:44" x14ac:dyDescent="0.3">
      <c r="A31" s="322" t="s">
        <v>16</v>
      </c>
      <c r="B31" s="323"/>
      <c r="C31" s="323"/>
      <c r="D31" s="323"/>
      <c r="E31" s="323"/>
      <c r="F31" s="323"/>
      <c r="G31" s="323"/>
      <c r="H31" s="202">
        <f t="shared" ref="H31:J31" si="4">H30+H62+H94</f>
        <v>245</v>
      </c>
      <c r="I31" s="94">
        <f t="shared" si="4"/>
        <v>150.55000000000001</v>
      </c>
      <c r="J31" s="94">
        <f t="shared" si="4"/>
        <v>0</v>
      </c>
      <c r="K31" s="94">
        <f>K30+K62+K94</f>
        <v>79.099999999999994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2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245</v>
      </c>
      <c r="T31" s="307">
        <f>H31+I31+L31+M31</f>
        <v>395.55</v>
      </c>
      <c r="U31" s="308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298" t="s">
        <v>55</v>
      </c>
      <c r="B32" s="299"/>
      <c r="C32" s="98">
        <f>H31+I31+J31+K31</f>
        <v>474.65</v>
      </c>
      <c r="D32" s="186"/>
      <c r="E32" s="98"/>
      <c r="F32" s="300" t="s">
        <v>53</v>
      </c>
      <c r="G32" s="300"/>
      <c r="H32" s="100">
        <f>COUNT(B5:B29,B37:B61,B69:B93)</f>
        <v>6</v>
      </c>
      <c r="I32" s="301" t="s">
        <v>54</v>
      </c>
      <c r="J32" s="301"/>
      <c r="K32" s="99">
        <f>C32/H32</f>
        <v>79.108333333333334</v>
      </c>
      <c r="L32" s="208"/>
      <c r="M32" s="208"/>
      <c r="N32" s="208">
        <f>H31/C32</f>
        <v>0.5161698093331929</v>
      </c>
      <c r="O32" s="208">
        <f>I31/C32</f>
        <v>0.3171810807963763</v>
      </c>
      <c r="P32" s="208">
        <f>K31/C32</f>
        <v>0.16664910987043083</v>
      </c>
      <c r="Q32" s="101">
        <f>J31/C32</f>
        <v>0</v>
      </c>
      <c r="R32" s="90" t="s">
        <v>82</v>
      </c>
      <c r="S32" s="203">
        <f>I31+M31</f>
        <v>150.55000000000001</v>
      </c>
      <c r="T32" s="309"/>
      <c r="U32" s="310"/>
      <c r="V32" s="39"/>
      <c r="W32" s="39"/>
      <c r="X32" s="48" t="s">
        <v>27</v>
      </c>
      <c r="Y32" s="48"/>
      <c r="Z32" s="47">
        <f>I31</f>
        <v>150.55000000000001</v>
      </c>
    </row>
    <row r="33" spans="1:33" ht="17.25" thickBot="1" x14ac:dyDescent="0.35">
      <c r="A33" s="305" t="s">
        <v>24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267"/>
      <c r="U33" s="268"/>
      <c r="X33" s="49" t="s">
        <v>29</v>
      </c>
      <c r="Y33" s="49"/>
      <c r="Z33" s="50">
        <f>SUM(Z31:Z32)</f>
        <v>-2594.4499999999998</v>
      </c>
      <c r="AG33" s="35"/>
    </row>
    <row r="34" spans="1:33" ht="17.25" thickBot="1" x14ac:dyDescent="0.35">
      <c r="A34" s="266" t="str">
        <f>A2</f>
        <v>04-09-2022</v>
      </c>
      <c r="B34" s="267"/>
      <c r="C34" s="267"/>
      <c r="D34" s="267"/>
      <c r="E34" s="267"/>
      <c r="F34" s="267"/>
      <c r="G34" s="268"/>
      <c r="H34" s="269" t="s">
        <v>49</v>
      </c>
      <c r="I34" s="270"/>
      <c r="J34" s="266" t="str">
        <f>J2</f>
        <v>CLOUDY&amp;RAIN</v>
      </c>
      <c r="K34" s="268"/>
      <c r="L34" s="270" t="s">
        <v>50</v>
      </c>
      <c r="M34" s="271"/>
      <c r="N34" s="269"/>
      <c r="O34" s="267" t="str">
        <f>O2</f>
        <v>JOHN</v>
      </c>
      <c r="P34" s="267"/>
      <c r="Q34" s="268"/>
      <c r="R34" s="270" t="s">
        <v>51</v>
      </c>
      <c r="S34" s="269"/>
      <c r="T34" s="272">
        <f>T2</f>
        <v>3</v>
      </c>
      <c r="U34" s="272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76" t="s">
        <v>8</v>
      </c>
      <c r="P36" s="276"/>
      <c r="Q36" s="276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83"/>
      <c r="P37" s="284"/>
      <c r="Q37" s="285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0"/>
      <c r="P38" s="281"/>
      <c r="Q38" s="282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83"/>
      <c r="P39" s="284"/>
      <c r="Q39" s="285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86"/>
      <c r="P40" s="287"/>
      <c r="Q40" s="288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86"/>
      <c r="P41" s="287"/>
      <c r="Q41" s="288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73"/>
      <c r="P42" s="274"/>
      <c r="Q42" s="27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83"/>
      <c r="P43" s="284"/>
      <c r="Q43" s="285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83"/>
      <c r="P44" s="284"/>
      <c r="Q44" s="285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83"/>
      <c r="P45" s="284"/>
      <c r="Q45" s="285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83"/>
      <c r="P46" s="284"/>
      <c r="Q46" s="285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83"/>
      <c r="P47" s="284"/>
      <c r="Q47" s="285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83"/>
      <c r="P48" s="284"/>
      <c r="Q48" s="285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83"/>
      <c r="P49" s="284"/>
      <c r="Q49" s="285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83"/>
      <c r="P50" s="284"/>
      <c r="Q50" s="285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83"/>
      <c r="P51" s="284"/>
      <c r="Q51" s="284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83"/>
      <c r="P52" s="284"/>
      <c r="Q52" s="284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24"/>
      <c r="P53" s="283"/>
      <c r="Q53" s="283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24"/>
      <c r="P54" s="283"/>
      <c r="Q54" s="283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24"/>
      <c r="P55" s="283"/>
      <c r="Q55" s="283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84"/>
      <c r="P56" s="284"/>
      <c r="Q56" s="284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83"/>
      <c r="P57" s="284"/>
      <c r="Q57" s="284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84"/>
      <c r="P58" s="284"/>
      <c r="Q58" s="284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84"/>
      <c r="P59" s="284"/>
      <c r="Q59" s="284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83"/>
      <c r="P60" s="284"/>
      <c r="Q60" s="285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25"/>
      <c r="P61" s="326"/>
      <c r="Q61" s="327"/>
      <c r="R61" s="72"/>
      <c r="S61" s="59"/>
      <c r="T61" s="59"/>
      <c r="U61" s="68"/>
    </row>
    <row r="62" spans="1:21" x14ac:dyDescent="0.3">
      <c r="A62" s="328" t="s">
        <v>48</v>
      </c>
      <c r="B62" s="329"/>
      <c r="C62" s="329"/>
      <c r="D62" s="329"/>
      <c r="E62" s="329"/>
      <c r="F62" s="329"/>
      <c r="G62" s="329"/>
      <c r="H62" s="329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43"/>
      <c r="O62" s="344"/>
      <c r="P62" s="344"/>
      <c r="Q62" s="345"/>
      <c r="R62" s="5"/>
      <c r="S62" s="6"/>
      <c r="T62" s="7"/>
      <c r="U62" s="8"/>
    </row>
    <row r="63" spans="1:21" ht="17.25" thickBot="1" x14ac:dyDescent="0.35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46"/>
      <c r="O63" s="347"/>
      <c r="P63" s="347"/>
      <c r="Q63" s="348"/>
      <c r="R63" s="1"/>
      <c r="S63" s="2"/>
      <c r="T63" s="3"/>
      <c r="U63" s="4"/>
    </row>
    <row r="64" spans="1:21" ht="17.25" thickBot="1" x14ac:dyDescent="0.35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05"/>
      <c r="O64" s="306"/>
      <c r="P64" s="306"/>
      <c r="Q64" s="349"/>
      <c r="R64" s="350" t="s">
        <v>17</v>
      </c>
      <c r="S64" s="351"/>
      <c r="T64" s="351"/>
      <c r="U64" s="352"/>
    </row>
    <row r="65" spans="1:21" ht="17.25" thickBot="1" x14ac:dyDescent="0.35">
      <c r="A65" s="266" t="s">
        <v>24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8"/>
    </row>
    <row r="66" spans="1:21" ht="17.25" thickBot="1" x14ac:dyDescent="0.35">
      <c r="A66" s="266" t="str">
        <f>A34</f>
        <v>04-09-2022</v>
      </c>
      <c r="B66" s="267"/>
      <c r="C66" s="267"/>
      <c r="D66" s="267"/>
      <c r="E66" s="267"/>
      <c r="F66" s="267"/>
      <c r="G66" s="268"/>
      <c r="H66" s="269" t="s">
        <v>49</v>
      </c>
      <c r="I66" s="270"/>
      <c r="J66" s="266" t="str">
        <f>J34</f>
        <v>CLOUDY&amp;RAIN</v>
      </c>
      <c r="K66" s="268"/>
      <c r="L66" s="270" t="s">
        <v>50</v>
      </c>
      <c r="M66" s="271"/>
      <c r="N66" s="269"/>
      <c r="O66" s="267" t="str">
        <f>O34</f>
        <v>JOHN</v>
      </c>
      <c r="P66" s="267"/>
      <c r="Q66" s="268"/>
      <c r="R66" s="270" t="s">
        <v>51</v>
      </c>
      <c r="S66" s="269"/>
      <c r="T66" s="272">
        <f>T34</f>
        <v>3</v>
      </c>
      <c r="U66" s="272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76" t="s">
        <v>8</v>
      </c>
      <c r="P68" s="276"/>
      <c r="Q68" s="276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83"/>
      <c r="P69" s="284"/>
      <c r="Q69" s="285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0"/>
      <c r="P70" s="281"/>
      <c r="Q70" s="282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83"/>
      <c r="P71" s="284"/>
      <c r="Q71" s="285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86"/>
      <c r="P72" s="287"/>
      <c r="Q72" s="288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86"/>
      <c r="P73" s="287"/>
      <c r="Q73" s="288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73"/>
      <c r="P74" s="274"/>
      <c r="Q74" s="27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83"/>
      <c r="P75" s="284"/>
      <c r="Q75" s="285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83"/>
      <c r="P76" s="284"/>
      <c r="Q76" s="285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83"/>
      <c r="P77" s="284"/>
      <c r="Q77" s="285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83"/>
      <c r="P78" s="284"/>
      <c r="Q78" s="285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83"/>
      <c r="P79" s="284"/>
      <c r="Q79" s="285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83"/>
      <c r="P80" s="284"/>
      <c r="Q80" s="285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83"/>
      <c r="P81" s="284"/>
      <c r="Q81" s="285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83"/>
      <c r="P82" s="284"/>
      <c r="Q82" s="285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83"/>
      <c r="P83" s="284"/>
      <c r="Q83" s="284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83"/>
      <c r="P84" s="284"/>
      <c r="Q84" s="284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24"/>
      <c r="P85" s="283"/>
      <c r="Q85" s="283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24"/>
      <c r="P86" s="283"/>
      <c r="Q86" s="283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24"/>
      <c r="P87" s="283"/>
      <c r="Q87" s="283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84"/>
      <c r="P88" s="284"/>
      <c r="Q88" s="284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83"/>
      <c r="P89" s="284"/>
      <c r="Q89" s="284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84"/>
      <c r="P90" s="284"/>
      <c r="Q90" s="284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84"/>
      <c r="P91" s="284"/>
      <c r="Q91" s="284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83"/>
      <c r="P92" s="284"/>
      <c r="Q92" s="285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25"/>
      <c r="P93" s="326"/>
      <c r="Q93" s="327"/>
      <c r="R93" s="72"/>
      <c r="S93" s="59"/>
      <c r="T93" s="59"/>
      <c r="U93" s="68"/>
    </row>
    <row r="94" spans="1:21" x14ac:dyDescent="0.3">
      <c r="A94" s="328" t="s">
        <v>48</v>
      </c>
      <c r="B94" s="329"/>
      <c r="C94" s="329"/>
      <c r="D94" s="329"/>
      <c r="E94" s="353"/>
      <c r="F94" s="329"/>
      <c r="G94" s="329"/>
      <c r="H94" s="329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43"/>
      <c r="O94" s="344"/>
      <c r="P94" s="344"/>
      <c r="Q94" s="345"/>
      <c r="R94" s="5"/>
      <c r="S94" s="6"/>
      <c r="T94" s="7"/>
      <c r="U94" s="8"/>
    </row>
    <row r="95" spans="1:21" ht="17.25" thickBot="1" x14ac:dyDescent="0.35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46"/>
      <c r="O95" s="347"/>
      <c r="P95" s="347"/>
      <c r="Q95" s="348"/>
      <c r="R95" s="1"/>
      <c r="S95" s="2"/>
      <c r="T95" s="3"/>
      <c r="U95" s="4"/>
    </row>
    <row r="96" spans="1:21" ht="17.25" thickBot="1" x14ac:dyDescent="0.35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05"/>
      <c r="O96" s="306"/>
      <c r="P96" s="306"/>
      <c r="Q96" s="349"/>
      <c r="R96" s="350" t="s">
        <v>52</v>
      </c>
      <c r="S96" s="351"/>
      <c r="T96" s="351"/>
      <c r="U96" s="352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1" workbookViewId="0">
      <selection activeCell="H24" sqref="H24:K24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07"/>
      <c r="B1" s="507"/>
      <c r="C1" s="507"/>
      <c r="D1" s="507"/>
      <c r="E1" s="505" t="s">
        <v>59</v>
      </c>
      <c r="F1" s="505"/>
      <c r="G1" s="505"/>
      <c r="H1" s="505" t="s">
        <v>60</v>
      </c>
      <c r="I1" s="505"/>
      <c r="J1" s="505"/>
      <c r="K1" s="505"/>
      <c r="L1" s="505" t="s">
        <v>61</v>
      </c>
      <c r="M1" s="505"/>
      <c r="N1" s="505"/>
      <c r="O1" s="505"/>
      <c r="P1" s="505"/>
      <c r="Q1" s="505" t="s">
        <v>62</v>
      </c>
      <c r="R1" s="505"/>
      <c r="S1" s="505"/>
      <c r="T1" s="505"/>
      <c r="U1" s="505"/>
      <c r="V1" s="505" t="s">
        <v>63</v>
      </c>
      <c r="W1" s="505"/>
      <c r="X1" s="505"/>
      <c r="Y1" s="505"/>
      <c r="Z1" s="505"/>
      <c r="AA1" s="505" t="s">
        <v>64</v>
      </c>
      <c r="AB1" s="505"/>
      <c r="AC1" s="505"/>
      <c r="AD1" s="505"/>
    </row>
    <row r="2" spans="1:30" ht="20.100000000000001" customHeight="1" x14ac:dyDescent="0.3">
      <c r="A2" s="424" t="s">
        <v>66</v>
      </c>
      <c r="B2" s="447" t="s">
        <v>57</v>
      </c>
      <c r="C2" s="447"/>
      <c r="D2" s="506"/>
      <c r="E2" s="506">
        <f>MON!N31</f>
        <v>8</v>
      </c>
      <c r="F2" s="506"/>
      <c r="G2" s="506"/>
      <c r="H2" s="508">
        <f>MON!S31</f>
        <v>740</v>
      </c>
      <c r="I2" s="508"/>
      <c r="J2" s="508"/>
      <c r="K2" s="508"/>
      <c r="L2" s="509">
        <f>MON!N32</f>
        <v>0.41737168640721939</v>
      </c>
      <c r="M2" s="509"/>
      <c r="N2" s="509"/>
      <c r="O2" s="509"/>
      <c r="P2" s="509"/>
      <c r="Q2" s="577">
        <f>SUM(E2:G5)</f>
        <v>20</v>
      </c>
      <c r="R2" s="578"/>
      <c r="S2" s="578"/>
      <c r="T2" s="578"/>
      <c r="U2" s="579"/>
      <c r="V2" s="519">
        <f>SUM(H2,H3,H5)</f>
        <v>1583</v>
      </c>
      <c r="W2" s="520"/>
      <c r="X2" s="520"/>
      <c r="Y2" s="520"/>
      <c r="Z2" s="521"/>
      <c r="AA2" s="528">
        <f>V2/Q2</f>
        <v>79.150000000000006</v>
      </c>
      <c r="AB2" s="529"/>
      <c r="AC2" s="529"/>
      <c r="AD2" s="530"/>
    </row>
    <row r="3" spans="1:30" ht="20.100000000000001" customHeight="1" x14ac:dyDescent="0.3">
      <c r="A3" s="425"/>
      <c r="B3" s="447" t="s">
        <v>58</v>
      </c>
      <c r="C3" s="447"/>
      <c r="D3" s="506"/>
      <c r="E3" s="506">
        <f>MON!O31</f>
        <v>7</v>
      </c>
      <c r="F3" s="506"/>
      <c r="G3" s="506"/>
      <c r="H3" s="508">
        <f>MON!S32</f>
        <v>678</v>
      </c>
      <c r="I3" s="508"/>
      <c r="J3" s="508"/>
      <c r="K3" s="508"/>
      <c r="L3" s="509">
        <f>MON!O32</f>
        <v>0.38240270727580372</v>
      </c>
      <c r="M3" s="509"/>
      <c r="N3" s="509"/>
      <c r="O3" s="509"/>
      <c r="P3" s="509"/>
      <c r="Q3" s="580"/>
      <c r="R3" s="581"/>
      <c r="S3" s="581"/>
      <c r="T3" s="581"/>
      <c r="U3" s="582"/>
      <c r="V3" s="522"/>
      <c r="W3" s="523"/>
      <c r="X3" s="523"/>
      <c r="Y3" s="523"/>
      <c r="Z3" s="524"/>
      <c r="AA3" s="531"/>
      <c r="AB3" s="532"/>
      <c r="AC3" s="532"/>
      <c r="AD3" s="533"/>
    </row>
    <row r="4" spans="1:30" ht="20.100000000000001" customHeight="1" x14ac:dyDescent="0.3">
      <c r="A4" s="425"/>
      <c r="B4" s="447" t="s">
        <v>45</v>
      </c>
      <c r="C4" s="447"/>
      <c r="D4" s="506"/>
      <c r="E4" s="506">
        <f>MON!P31</f>
        <v>2</v>
      </c>
      <c r="F4" s="506"/>
      <c r="G4" s="506"/>
      <c r="H4" s="508">
        <f>MON!K31</f>
        <v>190</v>
      </c>
      <c r="I4" s="508"/>
      <c r="J4" s="508"/>
      <c r="K4" s="508"/>
      <c r="L4" s="509">
        <f>MON!P32</f>
        <v>0.10716300056401579</v>
      </c>
      <c r="M4" s="509"/>
      <c r="N4" s="509"/>
      <c r="O4" s="509"/>
      <c r="P4" s="509"/>
      <c r="Q4" s="580"/>
      <c r="R4" s="581"/>
      <c r="S4" s="581"/>
      <c r="T4" s="581"/>
      <c r="U4" s="582"/>
      <c r="V4" s="522"/>
      <c r="W4" s="523"/>
      <c r="X4" s="523"/>
      <c r="Y4" s="523"/>
      <c r="Z4" s="524"/>
      <c r="AA4" s="531"/>
      <c r="AB4" s="532"/>
      <c r="AC4" s="532"/>
      <c r="AD4" s="533"/>
    </row>
    <row r="5" spans="1:30" ht="20.100000000000001" customHeight="1" x14ac:dyDescent="0.3">
      <c r="A5" s="425"/>
      <c r="B5" s="445" t="s">
        <v>65</v>
      </c>
      <c r="C5" s="446"/>
      <c r="D5" s="447"/>
      <c r="E5" s="445">
        <f>MON!Q31</f>
        <v>3</v>
      </c>
      <c r="F5" s="446"/>
      <c r="G5" s="447"/>
      <c r="H5" s="565">
        <f>MON!J31</f>
        <v>165</v>
      </c>
      <c r="I5" s="566"/>
      <c r="J5" s="566"/>
      <c r="K5" s="567"/>
      <c r="L5" s="568">
        <f>MON!Q32</f>
        <v>9.3062605752961089E-2</v>
      </c>
      <c r="M5" s="569"/>
      <c r="N5" s="569"/>
      <c r="O5" s="569"/>
      <c r="P5" s="570"/>
      <c r="Q5" s="583"/>
      <c r="R5" s="584"/>
      <c r="S5" s="584"/>
      <c r="T5" s="584"/>
      <c r="U5" s="585"/>
      <c r="V5" s="525"/>
      <c r="W5" s="526"/>
      <c r="X5" s="526"/>
      <c r="Y5" s="526"/>
      <c r="Z5" s="527"/>
      <c r="AA5" s="534"/>
      <c r="AB5" s="535"/>
      <c r="AC5" s="535"/>
      <c r="AD5" s="536"/>
    </row>
    <row r="6" spans="1:30" ht="20.100000000000001" customHeight="1" x14ac:dyDescent="0.3">
      <c r="A6" s="426"/>
      <c r="B6" s="445" t="s">
        <v>94</v>
      </c>
      <c r="C6" s="446"/>
      <c r="D6" s="447"/>
      <c r="E6" s="445">
        <f>MON!U16</f>
        <v>47.25</v>
      </c>
      <c r="F6" s="446"/>
      <c r="G6" s="447"/>
      <c r="H6" s="565" t="s">
        <v>95</v>
      </c>
      <c r="I6" s="566"/>
      <c r="J6" s="566"/>
      <c r="K6" s="567"/>
      <c r="L6" s="625">
        <f>MON!T2</f>
        <v>6</v>
      </c>
      <c r="M6" s="626"/>
      <c r="N6" s="626"/>
      <c r="O6" s="626"/>
      <c r="P6" s="627"/>
      <c r="Q6" s="628"/>
      <c r="R6" s="629"/>
      <c r="S6" s="629"/>
      <c r="T6" s="629"/>
      <c r="U6" s="630"/>
      <c r="V6" s="395"/>
      <c r="W6" s="396"/>
      <c r="X6" s="396"/>
      <c r="Y6" s="396"/>
      <c r="Z6" s="397"/>
      <c r="AA6" s="398"/>
      <c r="AB6" s="399"/>
      <c r="AC6" s="399"/>
      <c r="AD6" s="400"/>
    </row>
    <row r="7" spans="1:30" ht="20.100000000000001" customHeight="1" x14ac:dyDescent="0.3">
      <c r="A7" s="427" t="s">
        <v>67</v>
      </c>
      <c r="B7" s="403" t="s">
        <v>57</v>
      </c>
      <c r="C7" s="403"/>
      <c r="D7" s="419"/>
      <c r="E7" s="419">
        <f>TUE!N31</f>
        <v>3</v>
      </c>
      <c r="F7" s="419"/>
      <c r="G7" s="419"/>
      <c r="H7" s="420">
        <f>TUE!S31</f>
        <v>190</v>
      </c>
      <c r="I7" s="420"/>
      <c r="J7" s="420"/>
      <c r="K7" s="420"/>
      <c r="L7" s="421">
        <f>TUE!N32</f>
        <v>0.1225545529016403</v>
      </c>
      <c r="M7" s="422"/>
      <c r="N7" s="422"/>
      <c r="O7" s="422"/>
      <c r="P7" s="423"/>
      <c r="Q7" s="607">
        <f>SUM(E7:G10)</f>
        <v>18</v>
      </c>
      <c r="R7" s="608"/>
      <c r="S7" s="608"/>
      <c r="T7" s="608"/>
      <c r="U7" s="609"/>
      <c r="V7" s="510">
        <f>SUM(H7,H8,H10)</f>
        <v>2205.1</v>
      </c>
      <c r="W7" s="511"/>
      <c r="X7" s="511"/>
      <c r="Y7" s="511"/>
      <c r="Z7" s="512"/>
      <c r="AA7" s="537">
        <f>V7/Q7</f>
        <v>122.50555555555555</v>
      </c>
      <c r="AB7" s="538"/>
      <c r="AC7" s="538"/>
      <c r="AD7" s="539"/>
    </row>
    <row r="8" spans="1:30" ht="20.100000000000001" customHeight="1" x14ac:dyDescent="0.3">
      <c r="A8" s="428"/>
      <c r="B8" s="403" t="s">
        <v>58</v>
      </c>
      <c r="C8" s="403"/>
      <c r="D8" s="419"/>
      <c r="E8" s="419">
        <f>TUE!O31</f>
        <v>9</v>
      </c>
      <c r="F8" s="419"/>
      <c r="G8" s="419"/>
      <c r="H8" s="420">
        <f>TUE!S32</f>
        <v>1795.1</v>
      </c>
      <c r="I8" s="420"/>
      <c r="J8" s="420"/>
      <c r="K8" s="420"/>
      <c r="L8" s="421">
        <f>TUE!O32</f>
        <v>0.54204588700470224</v>
      </c>
      <c r="M8" s="422"/>
      <c r="N8" s="422"/>
      <c r="O8" s="422"/>
      <c r="P8" s="423"/>
      <c r="Q8" s="610"/>
      <c r="R8" s="611"/>
      <c r="S8" s="611"/>
      <c r="T8" s="611"/>
      <c r="U8" s="612"/>
      <c r="V8" s="513"/>
      <c r="W8" s="514"/>
      <c r="X8" s="514"/>
      <c r="Y8" s="514"/>
      <c r="Z8" s="515"/>
      <c r="AA8" s="540"/>
      <c r="AB8" s="541"/>
      <c r="AC8" s="541"/>
      <c r="AD8" s="542"/>
    </row>
    <row r="9" spans="1:30" ht="20.100000000000001" customHeight="1" x14ac:dyDescent="0.3">
      <c r="A9" s="428"/>
      <c r="B9" s="403" t="s">
        <v>45</v>
      </c>
      <c r="C9" s="403"/>
      <c r="D9" s="419"/>
      <c r="E9" s="419">
        <f>TUE!P31</f>
        <v>4</v>
      </c>
      <c r="F9" s="419"/>
      <c r="G9" s="419"/>
      <c r="H9" s="420">
        <f>TUE!K31</f>
        <v>299.98</v>
      </c>
      <c r="I9" s="420"/>
      <c r="J9" s="420"/>
      <c r="K9" s="420"/>
      <c r="L9" s="421">
        <f>TUE!P32</f>
        <v>0.19349428831281085</v>
      </c>
      <c r="M9" s="422"/>
      <c r="N9" s="422"/>
      <c r="O9" s="422"/>
      <c r="P9" s="423"/>
      <c r="Q9" s="610"/>
      <c r="R9" s="611"/>
      <c r="S9" s="611"/>
      <c r="T9" s="611"/>
      <c r="U9" s="612"/>
      <c r="V9" s="513"/>
      <c r="W9" s="514"/>
      <c r="X9" s="514"/>
      <c r="Y9" s="514"/>
      <c r="Z9" s="515"/>
      <c r="AA9" s="540"/>
      <c r="AB9" s="541"/>
      <c r="AC9" s="541"/>
      <c r="AD9" s="542"/>
    </row>
    <row r="10" spans="1:30" ht="20.100000000000001" customHeight="1" x14ac:dyDescent="0.3">
      <c r="A10" s="428"/>
      <c r="B10" s="401" t="s">
        <v>65</v>
      </c>
      <c r="C10" s="402"/>
      <c r="D10" s="403"/>
      <c r="E10" s="401">
        <f>TUE!Q31</f>
        <v>2</v>
      </c>
      <c r="F10" s="402"/>
      <c r="G10" s="403"/>
      <c r="H10" s="404">
        <f>TUE!J31</f>
        <v>220</v>
      </c>
      <c r="I10" s="405"/>
      <c r="J10" s="405"/>
      <c r="K10" s="406"/>
      <c r="L10" s="421">
        <f>TUE!Q32</f>
        <v>0.14190527178084666</v>
      </c>
      <c r="M10" s="422"/>
      <c r="N10" s="422"/>
      <c r="O10" s="422"/>
      <c r="P10" s="423"/>
      <c r="Q10" s="613"/>
      <c r="R10" s="614"/>
      <c r="S10" s="614"/>
      <c r="T10" s="614"/>
      <c r="U10" s="615"/>
      <c r="V10" s="516"/>
      <c r="W10" s="517"/>
      <c r="X10" s="517"/>
      <c r="Y10" s="517"/>
      <c r="Z10" s="518"/>
      <c r="AA10" s="543"/>
      <c r="AB10" s="544"/>
      <c r="AC10" s="544"/>
      <c r="AD10" s="545"/>
    </row>
    <row r="11" spans="1:30" ht="20.100000000000001" customHeight="1" x14ac:dyDescent="0.3">
      <c r="A11" s="429"/>
      <c r="B11" s="401" t="s">
        <v>94</v>
      </c>
      <c r="C11" s="402"/>
      <c r="D11" s="403"/>
      <c r="E11" s="401">
        <f>TUE!U16</f>
        <v>51.75</v>
      </c>
      <c r="F11" s="402"/>
      <c r="G11" s="403"/>
      <c r="H11" s="404" t="s">
        <v>95</v>
      </c>
      <c r="I11" s="405"/>
      <c r="J11" s="405"/>
      <c r="K11" s="406"/>
      <c r="L11" s="407">
        <f>TUE!T2</f>
        <v>7</v>
      </c>
      <c r="M11" s="408"/>
      <c r="N11" s="408"/>
      <c r="O11" s="408"/>
      <c r="P11" s="409"/>
      <c r="Q11" s="410"/>
      <c r="R11" s="411"/>
      <c r="S11" s="411"/>
      <c r="T11" s="411"/>
      <c r="U11" s="412"/>
      <c r="V11" s="413"/>
      <c r="W11" s="414"/>
      <c r="X11" s="414"/>
      <c r="Y11" s="414"/>
      <c r="Z11" s="415"/>
      <c r="AA11" s="416"/>
      <c r="AB11" s="417"/>
      <c r="AC11" s="417"/>
      <c r="AD11" s="418"/>
    </row>
    <row r="12" spans="1:30" ht="20.100000000000001" customHeight="1" x14ac:dyDescent="0.3">
      <c r="A12" s="430" t="s">
        <v>68</v>
      </c>
      <c r="B12" s="450" t="s">
        <v>57</v>
      </c>
      <c r="C12" s="450"/>
      <c r="D12" s="331"/>
      <c r="E12" s="331">
        <f>WED!N31</f>
        <v>7</v>
      </c>
      <c r="F12" s="331"/>
      <c r="G12" s="331"/>
      <c r="H12" s="571">
        <f>WED!S31</f>
        <v>670</v>
      </c>
      <c r="I12" s="572"/>
      <c r="J12" s="572"/>
      <c r="K12" s="573"/>
      <c r="L12" s="574">
        <f>WED!N32</f>
        <v>0.28185130030204358</v>
      </c>
      <c r="M12" s="575"/>
      <c r="N12" s="575"/>
      <c r="O12" s="575"/>
      <c r="P12" s="576"/>
      <c r="Q12" s="586">
        <f>SUM(E12:G15)</f>
        <v>22</v>
      </c>
      <c r="R12" s="587"/>
      <c r="S12" s="587"/>
      <c r="T12" s="587"/>
      <c r="U12" s="588"/>
      <c r="V12" s="367">
        <f>SUM(H12,H13,H15)</f>
        <v>3005.15</v>
      </c>
      <c r="W12" s="368"/>
      <c r="X12" s="368"/>
      <c r="Y12" s="368"/>
      <c r="Z12" s="369"/>
      <c r="AA12" s="358">
        <f>V12/Q12</f>
        <v>136.59772727272727</v>
      </c>
      <c r="AB12" s="359"/>
      <c r="AC12" s="359"/>
      <c r="AD12" s="360"/>
    </row>
    <row r="13" spans="1:30" ht="20.100000000000001" customHeight="1" x14ac:dyDescent="0.3">
      <c r="A13" s="431"/>
      <c r="B13" s="450" t="s">
        <v>58</v>
      </c>
      <c r="C13" s="450"/>
      <c r="D13" s="331"/>
      <c r="E13" s="331">
        <f>WED!O31</f>
        <v>11</v>
      </c>
      <c r="F13" s="331"/>
      <c r="G13" s="331"/>
      <c r="H13" s="571">
        <f>WED!S32</f>
        <v>2225.15</v>
      </c>
      <c r="I13" s="572"/>
      <c r="J13" s="572"/>
      <c r="K13" s="573"/>
      <c r="L13" s="574">
        <f>WED!O32</f>
        <v>0.60877777497328722</v>
      </c>
      <c r="M13" s="575"/>
      <c r="N13" s="575"/>
      <c r="O13" s="575"/>
      <c r="P13" s="576"/>
      <c r="Q13" s="589"/>
      <c r="R13" s="590"/>
      <c r="S13" s="590"/>
      <c r="T13" s="590"/>
      <c r="U13" s="591"/>
      <c r="V13" s="370"/>
      <c r="W13" s="371"/>
      <c r="X13" s="371"/>
      <c r="Y13" s="371"/>
      <c r="Z13" s="372"/>
      <c r="AA13" s="361"/>
      <c r="AB13" s="362"/>
      <c r="AC13" s="362"/>
      <c r="AD13" s="363"/>
    </row>
    <row r="14" spans="1:30" ht="20.100000000000001" customHeight="1" x14ac:dyDescent="0.3">
      <c r="A14" s="431"/>
      <c r="B14" s="450" t="s">
        <v>45</v>
      </c>
      <c r="C14" s="450"/>
      <c r="D14" s="331"/>
      <c r="E14" s="331">
        <f>WED!P31</f>
        <v>2</v>
      </c>
      <c r="F14" s="331"/>
      <c r="G14" s="331"/>
      <c r="H14" s="571">
        <f>WED!K31</f>
        <v>149.99</v>
      </c>
      <c r="I14" s="572"/>
      <c r="J14" s="572"/>
      <c r="K14" s="573"/>
      <c r="L14" s="574">
        <f>WED!P32</f>
        <v>6.3096830645229141E-2</v>
      </c>
      <c r="M14" s="575"/>
      <c r="N14" s="575"/>
      <c r="O14" s="575"/>
      <c r="P14" s="576"/>
      <c r="Q14" s="589"/>
      <c r="R14" s="590"/>
      <c r="S14" s="590"/>
      <c r="T14" s="590"/>
      <c r="U14" s="591"/>
      <c r="V14" s="370"/>
      <c r="W14" s="371"/>
      <c r="X14" s="371"/>
      <c r="Y14" s="371"/>
      <c r="Z14" s="372"/>
      <c r="AA14" s="361"/>
      <c r="AB14" s="362"/>
      <c r="AC14" s="362"/>
      <c r="AD14" s="363"/>
    </row>
    <row r="15" spans="1:30" ht="20.100000000000001" customHeight="1" x14ac:dyDescent="0.3">
      <c r="A15" s="431"/>
      <c r="B15" s="448" t="s">
        <v>65</v>
      </c>
      <c r="C15" s="449"/>
      <c r="D15" s="450"/>
      <c r="E15" s="448">
        <f>WED!Q31</f>
        <v>2</v>
      </c>
      <c r="F15" s="449"/>
      <c r="G15" s="450"/>
      <c r="H15" s="571">
        <f>WED!J31</f>
        <v>110</v>
      </c>
      <c r="I15" s="572"/>
      <c r="J15" s="572"/>
      <c r="K15" s="573"/>
      <c r="L15" s="574">
        <f>WED!Q32</f>
        <v>4.6274094079439991E-2</v>
      </c>
      <c r="M15" s="575"/>
      <c r="N15" s="575"/>
      <c r="O15" s="575"/>
      <c r="P15" s="576"/>
      <c r="Q15" s="592"/>
      <c r="R15" s="593"/>
      <c r="S15" s="593"/>
      <c r="T15" s="593"/>
      <c r="U15" s="594"/>
      <c r="V15" s="373"/>
      <c r="W15" s="374"/>
      <c r="X15" s="374"/>
      <c r="Y15" s="374"/>
      <c r="Z15" s="375"/>
      <c r="AA15" s="364"/>
      <c r="AB15" s="365"/>
      <c r="AC15" s="365"/>
      <c r="AD15" s="366"/>
    </row>
    <row r="16" spans="1:30" ht="20.100000000000001" customHeight="1" x14ac:dyDescent="0.3">
      <c r="A16" s="432"/>
      <c r="B16" s="448" t="s">
        <v>94</v>
      </c>
      <c r="C16" s="449"/>
      <c r="D16" s="450"/>
      <c r="E16" s="448">
        <f>WED!U16</f>
        <v>44.5</v>
      </c>
      <c r="F16" s="449"/>
      <c r="G16" s="450"/>
      <c r="H16" s="571" t="s">
        <v>95</v>
      </c>
      <c r="I16" s="572"/>
      <c r="J16" s="572"/>
      <c r="K16" s="573"/>
      <c r="L16" s="631">
        <f>WED!T2</f>
        <v>6</v>
      </c>
      <c r="M16" s="632"/>
      <c r="N16" s="632"/>
      <c r="O16" s="632"/>
      <c r="P16" s="633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433" t="s">
        <v>69</v>
      </c>
      <c r="B17" s="453" t="s">
        <v>57</v>
      </c>
      <c r="C17" s="453"/>
      <c r="D17" s="380"/>
      <c r="E17" s="380">
        <f>THU!N31</f>
        <v>7</v>
      </c>
      <c r="F17" s="380"/>
      <c r="G17" s="380"/>
      <c r="H17" s="379">
        <f>THU!S31</f>
        <v>410</v>
      </c>
      <c r="I17" s="379"/>
      <c r="J17" s="379"/>
      <c r="K17" s="379"/>
      <c r="L17" s="389">
        <f>THU!N32</f>
        <v>0.19489934162051673</v>
      </c>
      <c r="M17" s="389"/>
      <c r="N17" s="389"/>
      <c r="O17" s="389"/>
      <c r="P17" s="389"/>
      <c r="Q17" s="616">
        <f>SUM(E17:G20)</f>
        <v>20</v>
      </c>
      <c r="R17" s="617"/>
      <c r="S17" s="617"/>
      <c r="T17" s="617"/>
      <c r="U17" s="618"/>
      <c r="V17" s="556">
        <f>SUM(H17,H18,H20)</f>
        <v>2106.65</v>
      </c>
      <c r="W17" s="557"/>
      <c r="X17" s="557"/>
      <c r="Y17" s="557"/>
      <c r="Z17" s="558"/>
      <c r="AA17" s="547">
        <f>V17/Q17</f>
        <v>105.33250000000001</v>
      </c>
      <c r="AB17" s="548"/>
      <c r="AC17" s="548"/>
      <c r="AD17" s="549"/>
    </row>
    <row r="18" spans="1:30" ht="20.100000000000001" customHeight="1" x14ac:dyDescent="0.3">
      <c r="A18" s="434"/>
      <c r="B18" s="453" t="s">
        <v>58</v>
      </c>
      <c r="C18" s="453"/>
      <c r="D18" s="380"/>
      <c r="E18" s="380">
        <f>THU!O31</f>
        <v>11</v>
      </c>
      <c r="F18" s="380"/>
      <c r="G18" s="380"/>
      <c r="H18" s="379">
        <f>THU!S32</f>
        <v>1586.65</v>
      </c>
      <c r="I18" s="379"/>
      <c r="J18" s="379"/>
      <c r="K18" s="379"/>
      <c r="L18" s="389">
        <f>THU!O32</f>
        <v>0.61020131675896661</v>
      </c>
      <c r="M18" s="389"/>
      <c r="N18" s="389"/>
      <c r="O18" s="389"/>
      <c r="P18" s="389"/>
      <c r="Q18" s="619"/>
      <c r="R18" s="620"/>
      <c r="S18" s="620"/>
      <c r="T18" s="620"/>
      <c r="U18" s="621"/>
      <c r="V18" s="559"/>
      <c r="W18" s="560"/>
      <c r="X18" s="560"/>
      <c r="Y18" s="560"/>
      <c r="Z18" s="561"/>
      <c r="AA18" s="550"/>
      <c r="AB18" s="551"/>
      <c r="AC18" s="551"/>
      <c r="AD18" s="552"/>
    </row>
    <row r="19" spans="1:30" ht="20.100000000000001" customHeight="1" x14ac:dyDescent="0.3">
      <c r="A19" s="434"/>
      <c r="B19" s="453" t="s">
        <v>45</v>
      </c>
      <c r="C19" s="453"/>
      <c r="D19" s="380"/>
      <c r="E19" s="380">
        <f>THU!P31</f>
        <v>0</v>
      </c>
      <c r="F19" s="380"/>
      <c r="G19" s="380"/>
      <c r="H19" s="379">
        <f>THU!K31</f>
        <v>300</v>
      </c>
      <c r="I19" s="379"/>
      <c r="J19" s="379"/>
      <c r="K19" s="379"/>
      <c r="L19" s="389">
        <f>THU!P32</f>
        <v>0.14260927435647563</v>
      </c>
      <c r="M19" s="389"/>
      <c r="N19" s="389"/>
      <c r="O19" s="389"/>
      <c r="P19" s="389"/>
      <c r="Q19" s="619"/>
      <c r="R19" s="620"/>
      <c r="S19" s="620"/>
      <c r="T19" s="620"/>
      <c r="U19" s="621"/>
      <c r="V19" s="559"/>
      <c r="W19" s="560"/>
      <c r="X19" s="560"/>
      <c r="Y19" s="560"/>
      <c r="Z19" s="561"/>
      <c r="AA19" s="550"/>
      <c r="AB19" s="551"/>
      <c r="AC19" s="551"/>
      <c r="AD19" s="552"/>
    </row>
    <row r="20" spans="1:30" ht="20.100000000000001" customHeight="1" x14ac:dyDescent="0.3">
      <c r="A20" s="434"/>
      <c r="B20" s="451" t="s">
        <v>65</v>
      </c>
      <c r="C20" s="452"/>
      <c r="D20" s="453"/>
      <c r="E20" s="451">
        <f>THU!Q31</f>
        <v>2</v>
      </c>
      <c r="F20" s="452"/>
      <c r="G20" s="453"/>
      <c r="H20" s="634">
        <f>THU!J31</f>
        <v>110</v>
      </c>
      <c r="I20" s="635"/>
      <c r="J20" s="635"/>
      <c r="K20" s="636"/>
      <c r="L20" s="646">
        <f>THU!Q32</f>
        <v>5.2290067264041069E-2</v>
      </c>
      <c r="M20" s="647"/>
      <c r="N20" s="647"/>
      <c r="O20" s="647"/>
      <c r="P20" s="648"/>
      <c r="Q20" s="622"/>
      <c r="R20" s="623"/>
      <c r="S20" s="623"/>
      <c r="T20" s="623"/>
      <c r="U20" s="624"/>
      <c r="V20" s="562"/>
      <c r="W20" s="563"/>
      <c r="X20" s="563"/>
      <c r="Y20" s="563"/>
      <c r="Z20" s="564"/>
      <c r="AA20" s="553"/>
      <c r="AB20" s="554"/>
      <c r="AC20" s="554"/>
      <c r="AD20" s="555"/>
    </row>
    <row r="21" spans="1:30" ht="20.100000000000001" customHeight="1" x14ac:dyDescent="0.3">
      <c r="A21" s="435"/>
      <c r="B21" s="451" t="s">
        <v>94</v>
      </c>
      <c r="C21" s="452"/>
      <c r="D21" s="453"/>
      <c r="E21" s="451">
        <f>THU!U16</f>
        <v>50.750000000000007</v>
      </c>
      <c r="F21" s="452"/>
      <c r="G21" s="453"/>
      <c r="H21" s="634" t="s">
        <v>95</v>
      </c>
      <c r="I21" s="635"/>
      <c r="J21" s="635"/>
      <c r="K21" s="636"/>
      <c r="L21" s="653">
        <f>THU!T2</f>
        <v>6</v>
      </c>
      <c r="M21" s="654"/>
      <c r="N21" s="654"/>
      <c r="O21" s="654"/>
      <c r="P21" s="655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436" t="s">
        <v>93</v>
      </c>
      <c r="B22" s="456" t="s">
        <v>57</v>
      </c>
      <c r="C22" s="456"/>
      <c r="D22" s="461"/>
      <c r="E22" s="461">
        <f>FRI!N31</f>
        <v>3</v>
      </c>
      <c r="F22" s="461"/>
      <c r="G22" s="461"/>
      <c r="H22" s="384">
        <f>FRI!S31</f>
        <v>330</v>
      </c>
      <c r="I22" s="384"/>
      <c r="J22" s="384"/>
      <c r="K22" s="384"/>
      <c r="L22" s="385">
        <f>FRI!N32</f>
        <v>0.23818975784041285</v>
      </c>
      <c r="M22" s="385"/>
      <c r="N22" s="385"/>
      <c r="O22" s="385"/>
      <c r="P22" s="385"/>
      <c r="Q22" s="692">
        <f>SUM(E22:G25)</f>
        <v>12</v>
      </c>
      <c r="R22" s="693"/>
      <c r="S22" s="693"/>
      <c r="T22" s="693"/>
      <c r="U22" s="694"/>
      <c r="V22" s="637">
        <f>SUM(H22,H23,H25)</f>
        <v>1385.45</v>
      </c>
      <c r="W22" s="638"/>
      <c r="X22" s="638"/>
      <c r="Y22" s="638"/>
      <c r="Z22" s="639"/>
      <c r="AA22" s="659">
        <f>V22/Q22</f>
        <v>115.45416666666667</v>
      </c>
      <c r="AB22" s="660"/>
      <c r="AC22" s="660"/>
      <c r="AD22" s="661"/>
    </row>
    <row r="23" spans="1:30" ht="20.100000000000001" customHeight="1" x14ac:dyDescent="0.3">
      <c r="A23" s="437"/>
      <c r="B23" s="456" t="s">
        <v>58</v>
      </c>
      <c r="C23" s="456"/>
      <c r="D23" s="461"/>
      <c r="E23" s="461">
        <f>FRI!O31</f>
        <v>9</v>
      </c>
      <c r="F23" s="461"/>
      <c r="G23" s="461"/>
      <c r="H23" s="384">
        <f>FRI!S32</f>
        <v>1055.45</v>
      </c>
      <c r="I23" s="384"/>
      <c r="J23" s="384"/>
      <c r="K23" s="384"/>
      <c r="L23" s="385">
        <f>FRI!O32</f>
        <v>0.76181024215958715</v>
      </c>
      <c r="M23" s="385"/>
      <c r="N23" s="385"/>
      <c r="O23" s="385"/>
      <c r="P23" s="385"/>
      <c r="Q23" s="695"/>
      <c r="R23" s="696"/>
      <c r="S23" s="696"/>
      <c r="T23" s="696"/>
      <c r="U23" s="697"/>
      <c r="V23" s="640"/>
      <c r="W23" s="641"/>
      <c r="X23" s="641"/>
      <c r="Y23" s="641"/>
      <c r="Z23" s="642"/>
      <c r="AA23" s="662"/>
      <c r="AB23" s="663"/>
      <c r="AC23" s="663"/>
      <c r="AD23" s="664"/>
    </row>
    <row r="24" spans="1:30" ht="20.100000000000001" customHeight="1" x14ac:dyDescent="0.3">
      <c r="A24" s="437"/>
      <c r="B24" s="456" t="s">
        <v>45</v>
      </c>
      <c r="C24" s="456"/>
      <c r="D24" s="461"/>
      <c r="E24" s="461">
        <f>FRI!P31</f>
        <v>0</v>
      </c>
      <c r="F24" s="461"/>
      <c r="G24" s="461"/>
      <c r="H24" s="384">
        <f>FRI!K31</f>
        <v>0</v>
      </c>
      <c r="I24" s="384"/>
      <c r="J24" s="384"/>
      <c r="K24" s="384"/>
      <c r="L24" s="385">
        <f>FRI!P32</f>
        <v>0</v>
      </c>
      <c r="M24" s="385"/>
      <c r="N24" s="385"/>
      <c r="O24" s="385"/>
      <c r="P24" s="385"/>
      <c r="Q24" s="695"/>
      <c r="R24" s="696"/>
      <c r="S24" s="696"/>
      <c r="T24" s="696"/>
      <c r="U24" s="697"/>
      <c r="V24" s="640"/>
      <c r="W24" s="641"/>
      <c r="X24" s="641"/>
      <c r="Y24" s="641"/>
      <c r="Z24" s="642"/>
      <c r="AA24" s="662"/>
      <c r="AB24" s="663"/>
      <c r="AC24" s="663"/>
      <c r="AD24" s="664"/>
    </row>
    <row r="25" spans="1:30" ht="20.100000000000001" customHeight="1" x14ac:dyDescent="0.3">
      <c r="A25" s="437"/>
      <c r="B25" s="454" t="s">
        <v>65</v>
      </c>
      <c r="C25" s="455"/>
      <c r="D25" s="456"/>
      <c r="E25" s="454">
        <f>FRI!Q31</f>
        <v>0</v>
      </c>
      <c r="F25" s="455"/>
      <c r="G25" s="456"/>
      <c r="H25" s="686">
        <f>FRI!J31</f>
        <v>0</v>
      </c>
      <c r="I25" s="687"/>
      <c r="J25" s="687"/>
      <c r="K25" s="688"/>
      <c r="L25" s="689">
        <f>FRI!Q32</f>
        <v>0</v>
      </c>
      <c r="M25" s="690"/>
      <c r="N25" s="690"/>
      <c r="O25" s="690"/>
      <c r="P25" s="691"/>
      <c r="Q25" s="698"/>
      <c r="R25" s="699"/>
      <c r="S25" s="699"/>
      <c r="T25" s="699"/>
      <c r="U25" s="700"/>
      <c r="V25" s="643"/>
      <c r="W25" s="644"/>
      <c r="X25" s="644"/>
      <c r="Y25" s="644"/>
      <c r="Z25" s="645"/>
      <c r="AA25" s="665"/>
      <c r="AB25" s="666"/>
      <c r="AC25" s="666"/>
      <c r="AD25" s="667"/>
    </row>
    <row r="26" spans="1:30" ht="20.100000000000001" customHeight="1" x14ac:dyDescent="0.3">
      <c r="A26" s="438"/>
      <c r="B26" s="454" t="s">
        <v>94</v>
      </c>
      <c r="C26" s="455"/>
      <c r="D26" s="456"/>
      <c r="E26" s="454">
        <f>FRI!U16</f>
        <v>40.5</v>
      </c>
      <c r="F26" s="455"/>
      <c r="G26" s="456"/>
      <c r="H26" s="686" t="s">
        <v>95</v>
      </c>
      <c r="I26" s="687"/>
      <c r="J26" s="687"/>
      <c r="K26" s="688"/>
      <c r="L26" s="656">
        <f>FRI!T2</f>
        <v>5</v>
      </c>
      <c r="M26" s="657"/>
      <c r="N26" s="657"/>
      <c r="O26" s="657"/>
      <c r="P26" s="658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439" t="s">
        <v>70</v>
      </c>
      <c r="B27" s="394" t="s">
        <v>57</v>
      </c>
      <c r="C27" s="394"/>
      <c r="D27" s="391"/>
      <c r="E27" s="391">
        <f>SAT!N31</f>
        <v>6</v>
      </c>
      <c r="F27" s="391"/>
      <c r="G27" s="391"/>
      <c r="H27" s="546">
        <f>SAT!S31</f>
        <v>640</v>
      </c>
      <c r="I27" s="546"/>
      <c r="J27" s="546"/>
      <c r="K27" s="546"/>
      <c r="L27" s="390">
        <f>SAT!N32</f>
        <v>0.56919245819992892</v>
      </c>
      <c r="M27" s="390"/>
      <c r="N27" s="390"/>
      <c r="O27" s="390"/>
      <c r="P27" s="390"/>
      <c r="Q27" s="595">
        <f>SUM(E27:G30)</f>
        <v>11</v>
      </c>
      <c r="R27" s="596"/>
      <c r="S27" s="596"/>
      <c r="T27" s="596"/>
      <c r="U27" s="597"/>
      <c r="V27" s="677">
        <f>SUM(H27,H28,H30)</f>
        <v>1028.5999999999999</v>
      </c>
      <c r="W27" s="678"/>
      <c r="X27" s="678"/>
      <c r="Y27" s="678"/>
      <c r="Z27" s="679"/>
      <c r="AA27" s="668">
        <f>V27/Q27</f>
        <v>93.509090909090901</v>
      </c>
      <c r="AB27" s="669"/>
      <c r="AC27" s="669"/>
      <c r="AD27" s="670"/>
    </row>
    <row r="28" spans="1:30" ht="20.100000000000001" customHeight="1" x14ac:dyDescent="0.3">
      <c r="A28" s="440"/>
      <c r="B28" s="394" t="s">
        <v>58</v>
      </c>
      <c r="C28" s="394"/>
      <c r="D28" s="391"/>
      <c r="E28" s="391">
        <f>SAT!O31</f>
        <v>4</v>
      </c>
      <c r="F28" s="391"/>
      <c r="G28" s="391"/>
      <c r="H28" s="546">
        <f>SAT!S32</f>
        <v>388.6</v>
      </c>
      <c r="I28" s="546"/>
      <c r="J28" s="546"/>
      <c r="K28" s="546"/>
      <c r="L28" s="390">
        <f>SAT!O32</f>
        <v>0.34560654571326938</v>
      </c>
      <c r="M28" s="390"/>
      <c r="N28" s="390"/>
      <c r="O28" s="390"/>
      <c r="P28" s="390"/>
      <c r="Q28" s="598"/>
      <c r="R28" s="599"/>
      <c r="S28" s="599"/>
      <c r="T28" s="599"/>
      <c r="U28" s="600"/>
      <c r="V28" s="680"/>
      <c r="W28" s="681"/>
      <c r="X28" s="681"/>
      <c r="Y28" s="681"/>
      <c r="Z28" s="682"/>
      <c r="AA28" s="671"/>
      <c r="AB28" s="672"/>
      <c r="AC28" s="672"/>
      <c r="AD28" s="673"/>
    </row>
    <row r="29" spans="1:30" ht="20.100000000000001" customHeight="1" x14ac:dyDescent="0.3">
      <c r="A29" s="440"/>
      <c r="B29" s="394" t="s">
        <v>45</v>
      </c>
      <c r="C29" s="394"/>
      <c r="D29" s="391"/>
      <c r="E29" s="391">
        <f>SAT!P31</f>
        <v>1</v>
      </c>
      <c r="F29" s="391"/>
      <c r="G29" s="391"/>
      <c r="H29" s="546">
        <f>SAT!K31</f>
        <v>95.8</v>
      </c>
      <c r="I29" s="546"/>
      <c r="J29" s="546"/>
      <c r="K29" s="546"/>
      <c r="L29" s="390">
        <f>SAT!P32</f>
        <v>8.5200996086801858E-2</v>
      </c>
      <c r="M29" s="390"/>
      <c r="N29" s="390"/>
      <c r="O29" s="390"/>
      <c r="P29" s="390"/>
      <c r="Q29" s="598"/>
      <c r="R29" s="599"/>
      <c r="S29" s="599"/>
      <c r="T29" s="599"/>
      <c r="U29" s="600"/>
      <c r="V29" s="680"/>
      <c r="W29" s="681"/>
      <c r="X29" s="681"/>
      <c r="Y29" s="681"/>
      <c r="Z29" s="682"/>
      <c r="AA29" s="671"/>
      <c r="AB29" s="672"/>
      <c r="AC29" s="672"/>
      <c r="AD29" s="673"/>
    </row>
    <row r="30" spans="1:30" ht="20.100000000000001" customHeight="1" x14ac:dyDescent="0.3">
      <c r="A30" s="440"/>
      <c r="B30" s="392" t="s">
        <v>65</v>
      </c>
      <c r="C30" s="393"/>
      <c r="D30" s="394"/>
      <c r="E30" s="392">
        <f>SAT!Q31</f>
        <v>0</v>
      </c>
      <c r="F30" s="393"/>
      <c r="G30" s="394"/>
      <c r="H30" s="386">
        <f>SAT!J31</f>
        <v>0</v>
      </c>
      <c r="I30" s="387"/>
      <c r="J30" s="387"/>
      <c r="K30" s="388"/>
      <c r="L30" s="604">
        <f>SAT!Q32</f>
        <v>0</v>
      </c>
      <c r="M30" s="605"/>
      <c r="N30" s="605"/>
      <c r="O30" s="605"/>
      <c r="P30" s="606"/>
      <c r="Q30" s="601"/>
      <c r="R30" s="602"/>
      <c r="S30" s="602"/>
      <c r="T30" s="602"/>
      <c r="U30" s="603"/>
      <c r="V30" s="683"/>
      <c r="W30" s="684"/>
      <c r="X30" s="684"/>
      <c r="Y30" s="684"/>
      <c r="Z30" s="685"/>
      <c r="AA30" s="674"/>
      <c r="AB30" s="675"/>
      <c r="AC30" s="675"/>
      <c r="AD30" s="676"/>
    </row>
    <row r="31" spans="1:30" ht="20.100000000000001" customHeight="1" x14ac:dyDescent="0.3">
      <c r="A31" s="441"/>
      <c r="B31" s="392" t="s">
        <v>94</v>
      </c>
      <c r="C31" s="393"/>
      <c r="D31" s="394"/>
      <c r="E31" s="392">
        <f>SAT!U16</f>
        <v>25.5</v>
      </c>
      <c r="F31" s="393"/>
      <c r="G31" s="394"/>
      <c r="H31" s="386" t="s">
        <v>95</v>
      </c>
      <c r="I31" s="387"/>
      <c r="J31" s="387"/>
      <c r="K31" s="388"/>
      <c r="L31" s="376">
        <f>SAT!T2</f>
        <v>3</v>
      </c>
      <c r="M31" s="377"/>
      <c r="N31" s="377"/>
      <c r="O31" s="377"/>
      <c r="P31" s="378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442" t="s">
        <v>71</v>
      </c>
      <c r="B32" s="460" t="s">
        <v>57</v>
      </c>
      <c r="C32" s="381"/>
      <c r="D32" s="381"/>
      <c r="E32" s="381">
        <f>SUN!N31</f>
        <v>3</v>
      </c>
      <c r="F32" s="381"/>
      <c r="G32" s="381"/>
      <c r="H32" s="382">
        <f>SUN!S31</f>
        <v>245</v>
      </c>
      <c r="I32" s="382"/>
      <c r="J32" s="382"/>
      <c r="K32" s="382"/>
      <c r="L32" s="383">
        <f>SUN!N32</f>
        <v>0.5161698093331929</v>
      </c>
      <c r="M32" s="383"/>
      <c r="N32" s="383"/>
      <c r="O32" s="383"/>
      <c r="P32" s="383"/>
      <c r="Q32" s="652">
        <f>SUM(E32:G35)</f>
        <v>6</v>
      </c>
      <c r="R32" s="652"/>
      <c r="S32" s="652"/>
      <c r="T32" s="652"/>
      <c r="U32" s="652"/>
      <c r="V32" s="710">
        <f>SUM(H32,H33,H35)</f>
        <v>395.55</v>
      </c>
      <c r="W32" s="710"/>
      <c r="X32" s="710"/>
      <c r="Y32" s="710"/>
      <c r="Z32" s="710"/>
      <c r="AA32" s="724">
        <f>V32/Q32</f>
        <v>65.924999999999997</v>
      </c>
      <c r="AB32" s="725"/>
      <c r="AC32" s="725"/>
      <c r="AD32" s="725"/>
    </row>
    <row r="33" spans="1:30" ht="20.100000000000001" customHeight="1" x14ac:dyDescent="0.3">
      <c r="A33" s="443"/>
      <c r="B33" s="460" t="s">
        <v>58</v>
      </c>
      <c r="C33" s="381"/>
      <c r="D33" s="381"/>
      <c r="E33" s="381">
        <f>SUN!O31</f>
        <v>2</v>
      </c>
      <c r="F33" s="381"/>
      <c r="G33" s="381"/>
      <c r="H33" s="382">
        <f>SUN!S32</f>
        <v>150.55000000000001</v>
      </c>
      <c r="I33" s="382"/>
      <c r="J33" s="382"/>
      <c r="K33" s="382"/>
      <c r="L33" s="383">
        <f>SUN!O32</f>
        <v>0.3171810807963763</v>
      </c>
      <c r="M33" s="383"/>
      <c r="N33" s="383"/>
      <c r="O33" s="383"/>
      <c r="P33" s="383"/>
      <c r="Q33" s="652"/>
      <c r="R33" s="652"/>
      <c r="S33" s="652"/>
      <c r="T33" s="652"/>
      <c r="U33" s="652"/>
      <c r="V33" s="710"/>
      <c r="W33" s="710"/>
      <c r="X33" s="710"/>
      <c r="Y33" s="710"/>
      <c r="Z33" s="710"/>
      <c r="AA33" s="725"/>
      <c r="AB33" s="725"/>
      <c r="AC33" s="725"/>
      <c r="AD33" s="725"/>
    </row>
    <row r="34" spans="1:30" ht="20.100000000000001" customHeight="1" x14ac:dyDescent="0.3">
      <c r="A34" s="443"/>
      <c r="B34" s="460" t="s">
        <v>45</v>
      </c>
      <c r="C34" s="381"/>
      <c r="D34" s="381"/>
      <c r="E34" s="381">
        <f>SUN!P31</f>
        <v>1</v>
      </c>
      <c r="F34" s="381"/>
      <c r="G34" s="381"/>
      <c r="H34" s="382">
        <f>SUN!K31</f>
        <v>79.099999999999994</v>
      </c>
      <c r="I34" s="382"/>
      <c r="J34" s="382"/>
      <c r="K34" s="382"/>
      <c r="L34" s="383">
        <f>SUN!P32</f>
        <v>0.16664910987043083</v>
      </c>
      <c r="M34" s="383"/>
      <c r="N34" s="383"/>
      <c r="O34" s="383"/>
      <c r="P34" s="383"/>
      <c r="Q34" s="652"/>
      <c r="R34" s="652"/>
      <c r="S34" s="652"/>
      <c r="T34" s="652"/>
      <c r="U34" s="652"/>
      <c r="V34" s="710"/>
      <c r="W34" s="710"/>
      <c r="X34" s="710"/>
      <c r="Y34" s="710"/>
      <c r="Z34" s="710"/>
      <c r="AA34" s="725"/>
      <c r="AB34" s="725"/>
      <c r="AC34" s="725"/>
      <c r="AD34" s="725"/>
    </row>
    <row r="35" spans="1:30" ht="20.100000000000001" customHeight="1" x14ac:dyDescent="0.3">
      <c r="A35" s="443"/>
      <c r="B35" s="460" t="s">
        <v>65</v>
      </c>
      <c r="C35" s="381"/>
      <c r="D35" s="381"/>
      <c r="E35" s="381">
        <f>SUN!Q31</f>
        <v>0</v>
      </c>
      <c r="F35" s="381"/>
      <c r="G35" s="381"/>
      <c r="H35" s="382">
        <f>SUN!J31</f>
        <v>0</v>
      </c>
      <c r="I35" s="382"/>
      <c r="J35" s="382"/>
      <c r="K35" s="382"/>
      <c r="L35" s="383">
        <f>SUN!Q32</f>
        <v>0</v>
      </c>
      <c r="M35" s="383"/>
      <c r="N35" s="383"/>
      <c r="O35" s="383"/>
      <c r="P35" s="383"/>
      <c r="Q35" s="652"/>
      <c r="R35" s="652"/>
      <c r="S35" s="652"/>
      <c r="T35" s="652"/>
      <c r="U35" s="652"/>
      <c r="V35" s="710"/>
      <c r="W35" s="710"/>
      <c r="X35" s="710"/>
      <c r="Y35" s="710"/>
      <c r="Z35" s="710"/>
      <c r="AA35" s="725"/>
      <c r="AB35" s="725"/>
      <c r="AC35" s="725"/>
      <c r="AD35" s="725"/>
    </row>
    <row r="36" spans="1:30" ht="20.100000000000001" customHeight="1" thickBot="1" x14ac:dyDescent="0.35">
      <c r="A36" s="444"/>
      <c r="B36" s="457" t="s">
        <v>94</v>
      </c>
      <c r="C36" s="458"/>
      <c r="D36" s="459"/>
      <c r="E36" s="457">
        <f>SUN!U16</f>
        <v>22.75</v>
      </c>
      <c r="F36" s="458"/>
      <c r="G36" s="459"/>
      <c r="H36" s="457" t="s">
        <v>95</v>
      </c>
      <c r="I36" s="458"/>
      <c r="J36" s="458"/>
      <c r="K36" s="459"/>
      <c r="L36" s="726">
        <f>SUN!T2</f>
        <v>3</v>
      </c>
      <c r="M36" s="727"/>
      <c r="N36" s="727"/>
      <c r="O36" s="727"/>
      <c r="P36" s="728"/>
      <c r="Q36" s="649"/>
      <c r="R36" s="650"/>
      <c r="S36" s="650"/>
      <c r="T36" s="650"/>
      <c r="U36" s="651"/>
      <c r="V36" s="713"/>
      <c r="W36" s="714"/>
      <c r="X36" s="714"/>
      <c r="Y36" s="714"/>
      <c r="Z36" s="715"/>
      <c r="AA36" s="716"/>
      <c r="AB36" s="717"/>
      <c r="AC36" s="717"/>
      <c r="AD36" s="718"/>
    </row>
    <row r="37" spans="1:30" ht="16.5" customHeight="1" x14ac:dyDescent="0.3">
      <c r="A37" s="701" t="s">
        <v>72</v>
      </c>
      <c r="B37" s="702"/>
      <c r="C37" s="702"/>
      <c r="D37" s="702"/>
      <c r="E37" s="702" t="s">
        <v>73</v>
      </c>
      <c r="F37" s="702"/>
      <c r="G37" s="702"/>
      <c r="H37" s="702"/>
      <c r="I37" s="702"/>
      <c r="J37" s="702"/>
      <c r="K37" s="702" t="s">
        <v>74</v>
      </c>
      <c r="L37" s="702"/>
      <c r="M37" s="702"/>
      <c r="N37" s="702"/>
      <c r="O37" s="702" t="s">
        <v>65</v>
      </c>
      <c r="P37" s="702"/>
      <c r="Q37" s="702"/>
      <c r="R37" s="702"/>
      <c r="S37" s="702"/>
      <c r="T37" s="702" t="s">
        <v>75</v>
      </c>
      <c r="U37" s="702"/>
      <c r="V37" s="702"/>
      <c r="W37" s="702"/>
      <c r="X37" s="702"/>
      <c r="Y37" s="702" t="s">
        <v>76</v>
      </c>
      <c r="Z37" s="702"/>
      <c r="AA37" s="702"/>
      <c r="AB37" s="702"/>
      <c r="AC37" s="702"/>
      <c r="AD37" s="711"/>
    </row>
    <row r="38" spans="1:30" ht="16.5" customHeight="1" x14ac:dyDescent="0.3">
      <c r="A38" s="703"/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704"/>
      <c r="AB38" s="704"/>
      <c r="AC38" s="704"/>
      <c r="AD38" s="712"/>
    </row>
    <row r="39" spans="1:30" ht="16.5" customHeight="1" x14ac:dyDescent="0.3">
      <c r="A39" s="705">
        <f>SUM(Q2:U35)</f>
        <v>109</v>
      </c>
      <c r="B39" s="706"/>
      <c r="C39" s="706"/>
      <c r="D39" s="706"/>
      <c r="E39" s="709">
        <f>SUM(V2:Z35)</f>
        <v>11709.5</v>
      </c>
      <c r="F39" s="706"/>
      <c r="G39" s="706"/>
      <c r="H39" s="706"/>
      <c r="I39" s="706"/>
      <c r="J39" s="706"/>
      <c r="K39" s="709">
        <f>E39/A39</f>
        <v>107.42660550458716</v>
      </c>
      <c r="L39" s="706"/>
      <c r="M39" s="706"/>
      <c r="N39" s="706"/>
      <c r="O39" s="706">
        <f>SUM(MON:SUN!Q31)</f>
        <v>9</v>
      </c>
      <c r="P39" s="706"/>
      <c r="Q39" s="706"/>
      <c r="R39" s="706"/>
      <c r="S39" s="706"/>
      <c r="T39" s="706">
        <f>SUM(MON:SUN!P31)</f>
        <v>10</v>
      </c>
      <c r="U39" s="706"/>
      <c r="V39" s="706"/>
      <c r="W39" s="706"/>
      <c r="X39" s="706"/>
      <c r="Y39" s="706">
        <f>SUM(MON:SUN!S19)</f>
        <v>5</v>
      </c>
      <c r="Z39" s="706"/>
      <c r="AA39" s="706"/>
      <c r="AB39" s="706"/>
      <c r="AC39" s="706"/>
      <c r="AD39" s="721"/>
    </row>
    <row r="40" spans="1:30" ht="16.5" customHeight="1" x14ac:dyDescent="0.3">
      <c r="A40" s="705"/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706"/>
      <c r="AB40" s="706"/>
      <c r="AC40" s="706"/>
      <c r="AD40" s="721"/>
    </row>
    <row r="41" spans="1:30" ht="16.5" customHeight="1" x14ac:dyDescent="0.3">
      <c r="A41" s="705"/>
      <c r="B41" s="706"/>
      <c r="C41" s="706"/>
      <c r="D41" s="706"/>
      <c r="E41" s="706"/>
      <c r="F41" s="706"/>
      <c r="G41" s="706"/>
      <c r="H41" s="706"/>
      <c r="I41" s="706"/>
      <c r="J41" s="706"/>
      <c r="K41" s="706"/>
      <c r="L41" s="706"/>
      <c r="M41" s="706"/>
      <c r="N41" s="706"/>
      <c r="O41" s="719">
        <f>SUM(MON:SUN!J31)</f>
        <v>605</v>
      </c>
      <c r="P41" s="719"/>
      <c r="Q41" s="719"/>
      <c r="R41" s="719"/>
      <c r="S41" s="719"/>
      <c r="T41" s="719">
        <f>SUM(MON:SUN!K31)</f>
        <v>1114.8699999999999</v>
      </c>
      <c r="U41" s="719"/>
      <c r="V41" s="719"/>
      <c r="W41" s="719"/>
      <c r="X41" s="719"/>
      <c r="Y41" s="719">
        <f>SUM(MON:SUN!T19)</f>
        <v>2035.75</v>
      </c>
      <c r="Z41" s="719"/>
      <c r="AA41" s="719"/>
      <c r="AB41" s="719"/>
      <c r="AC41" s="719"/>
      <c r="AD41" s="722"/>
    </row>
    <row r="42" spans="1:30" ht="16.5" customHeight="1" thickBot="1" x14ac:dyDescent="0.35">
      <c r="A42" s="707"/>
      <c r="B42" s="708"/>
      <c r="C42" s="708"/>
      <c r="D42" s="708"/>
      <c r="E42" s="708"/>
      <c r="F42" s="708"/>
      <c r="G42" s="708"/>
      <c r="H42" s="708"/>
      <c r="I42" s="708"/>
      <c r="J42" s="708"/>
      <c r="K42" s="708"/>
      <c r="L42" s="708"/>
      <c r="M42" s="708"/>
      <c r="N42" s="708"/>
      <c r="O42" s="720"/>
      <c r="P42" s="720"/>
      <c r="Q42" s="720"/>
      <c r="R42" s="720"/>
      <c r="S42" s="720"/>
      <c r="T42" s="720"/>
      <c r="U42" s="720"/>
      <c r="V42" s="720"/>
      <c r="W42" s="720"/>
      <c r="X42" s="720"/>
      <c r="Y42" s="720"/>
      <c r="Z42" s="720"/>
      <c r="AA42" s="720"/>
      <c r="AB42" s="720"/>
      <c r="AC42" s="720"/>
      <c r="AD42" s="723"/>
    </row>
    <row r="43" spans="1:30" ht="17.45" customHeight="1" x14ac:dyDescent="0.3">
      <c r="A43" s="480" t="s">
        <v>84</v>
      </c>
      <c r="B43" s="481"/>
      <c r="C43" s="481"/>
      <c r="D43" s="481"/>
      <c r="E43" s="482"/>
      <c r="F43" s="480" t="s">
        <v>85</v>
      </c>
      <c r="G43" s="481"/>
      <c r="H43" s="481"/>
      <c r="I43" s="481"/>
      <c r="J43" s="482"/>
      <c r="K43" s="480" t="s">
        <v>86</v>
      </c>
      <c r="L43" s="481"/>
      <c r="M43" s="481"/>
      <c r="N43" s="481"/>
      <c r="O43" s="482"/>
      <c r="P43" s="480" t="s">
        <v>87</v>
      </c>
      <c r="Q43" s="481"/>
      <c r="R43" s="481"/>
      <c r="S43" s="481"/>
      <c r="T43" s="482"/>
      <c r="U43" s="480" t="s">
        <v>90</v>
      </c>
      <c r="V43" s="481"/>
      <c r="W43" s="481"/>
      <c r="X43" s="481"/>
      <c r="Y43" s="482"/>
      <c r="Z43" s="486" t="s">
        <v>95</v>
      </c>
      <c r="AA43" s="487"/>
      <c r="AB43" s="487"/>
      <c r="AC43" s="487"/>
      <c r="AD43" s="488"/>
    </row>
    <row r="44" spans="1:30" ht="17.45" customHeight="1" x14ac:dyDescent="0.3">
      <c r="A44" s="483"/>
      <c r="B44" s="484"/>
      <c r="C44" s="484"/>
      <c r="D44" s="484"/>
      <c r="E44" s="485"/>
      <c r="F44" s="483"/>
      <c r="G44" s="484"/>
      <c r="H44" s="484"/>
      <c r="I44" s="484"/>
      <c r="J44" s="485"/>
      <c r="K44" s="483"/>
      <c r="L44" s="484"/>
      <c r="M44" s="484"/>
      <c r="N44" s="484"/>
      <c r="O44" s="485"/>
      <c r="P44" s="483"/>
      <c r="Q44" s="484"/>
      <c r="R44" s="484"/>
      <c r="S44" s="484"/>
      <c r="T44" s="485"/>
      <c r="U44" s="483"/>
      <c r="V44" s="484"/>
      <c r="W44" s="484"/>
      <c r="X44" s="484"/>
      <c r="Y44" s="485"/>
      <c r="Z44" s="489"/>
      <c r="AA44" s="490"/>
      <c r="AB44" s="490"/>
      <c r="AC44" s="490"/>
      <c r="AD44" s="491"/>
    </row>
    <row r="45" spans="1:30" x14ac:dyDescent="0.3">
      <c r="A45" s="492">
        <f>SUM(H2,H7,H12,H17,H22,H27,H32)</f>
        <v>3225</v>
      </c>
      <c r="B45" s="493"/>
      <c r="C45" s="493"/>
      <c r="D45" s="493"/>
      <c r="E45" s="494"/>
      <c r="F45" s="492">
        <f>SUM(,H3,H8,H13,H18,H23,H28,H33)</f>
        <v>7879.5</v>
      </c>
      <c r="G45" s="493"/>
      <c r="H45" s="493"/>
      <c r="I45" s="493"/>
      <c r="J45" s="494"/>
      <c r="K45" s="492">
        <f>SUM(H5,H10,H15,H20,H25,H30,H35)</f>
        <v>605</v>
      </c>
      <c r="L45" s="493"/>
      <c r="M45" s="493"/>
      <c r="N45" s="493"/>
      <c r="O45" s="494"/>
      <c r="P45" s="492">
        <f>SUM(H4,H9,H14,H19,H24,H29,H34)</f>
        <v>1114.8699999999999</v>
      </c>
      <c r="Q45" s="493"/>
      <c r="R45" s="493"/>
      <c r="S45" s="493"/>
      <c r="T45" s="494"/>
      <c r="U45" s="501">
        <f>SUM(E6,E11,E16,E21,E26,E31,E36)</f>
        <v>283</v>
      </c>
      <c r="V45" s="493"/>
      <c r="W45" s="493"/>
      <c r="X45" s="493"/>
      <c r="Y45" s="494"/>
      <c r="Z45" s="501">
        <f>SUM(L6,L11,L16,L21,L26,L31,L36)</f>
        <v>36</v>
      </c>
      <c r="AA45" s="493"/>
      <c r="AB45" s="493"/>
      <c r="AC45" s="493"/>
      <c r="AD45" s="502"/>
    </row>
    <row r="46" spans="1:30" x14ac:dyDescent="0.3">
      <c r="A46" s="495"/>
      <c r="B46" s="496"/>
      <c r="C46" s="496"/>
      <c r="D46" s="496"/>
      <c r="E46" s="497"/>
      <c r="F46" s="495"/>
      <c r="G46" s="496"/>
      <c r="H46" s="496"/>
      <c r="I46" s="496"/>
      <c r="J46" s="497"/>
      <c r="K46" s="495"/>
      <c r="L46" s="496"/>
      <c r="M46" s="496"/>
      <c r="N46" s="496"/>
      <c r="O46" s="497"/>
      <c r="P46" s="495"/>
      <c r="Q46" s="496"/>
      <c r="R46" s="496"/>
      <c r="S46" s="496"/>
      <c r="T46" s="497"/>
      <c r="U46" s="495"/>
      <c r="V46" s="496"/>
      <c r="W46" s="496"/>
      <c r="X46" s="496"/>
      <c r="Y46" s="497"/>
      <c r="Z46" s="495"/>
      <c r="AA46" s="496"/>
      <c r="AB46" s="496"/>
      <c r="AC46" s="496"/>
      <c r="AD46" s="503"/>
    </row>
    <row r="47" spans="1:30" x14ac:dyDescent="0.3">
      <c r="A47" s="495"/>
      <c r="B47" s="496"/>
      <c r="C47" s="496"/>
      <c r="D47" s="496"/>
      <c r="E47" s="497"/>
      <c r="F47" s="495"/>
      <c r="G47" s="496"/>
      <c r="H47" s="496"/>
      <c r="I47" s="496"/>
      <c r="J47" s="497"/>
      <c r="K47" s="495"/>
      <c r="L47" s="496"/>
      <c r="M47" s="496"/>
      <c r="N47" s="496"/>
      <c r="O47" s="497"/>
      <c r="P47" s="495"/>
      <c r="Q47" s="496"/>
      <c r="R47" s="496"/>
      <c r="S47" s="496"/>
      <c r="T47" s="497"/>
      <c r="U47" s="495"/>
      <c r="V47" s="496"/>
      <c r="W47" s="496"/>
      <c r="X47" s="496"/>
      <c r="Y47" s="497"/>
      <c r="Z47" s="495"/>
      <c r="AA47" s="496"/>
      <c r="AB47" s="496"/>
      <c r="AC47" s="496"/>
      <c r="AD47" s="503"/>
    </row>
    <row r="48" spans="1:30" ht="17.25" thickBot="1" x14ac:dyDescent="0.35">
      <c r="A48" s="498"/>
      <c r="B48" s="499"/>
      <c r="C48" s="499"/>
      <c r="D48" s="499"/>
      <c r="E48" s="500"/>
      <c r="F48" s="498"/>
      <c r="G48" s="499"/>
      <c r="H48" s="499"/>
      <c r="I48" s="499"/>
      <c r="J48" s="500"/>
      <c r="K48" s="498"/>
      <c r="L48" s="499"/>
      <c r="M48" s="499"/>
      <c r="N48" s="499"/>
      <c r="O48" s="500"/>
      <c r="P48" s="498"/>
      <c r="Q48" s="499"/>
      <c r="R48" s="499"/>
      <c r="S48" s="499"/>
      <c r="T48" s="500"/>
      <c r="U48" s="498"/>
      <c r="V48" s="499"/>
      <c r="W48" s="499"/>
      <c r="X48" s="499"/>
      <c r="Y48" s="500"/>
      <c r="Z48" s="498"/>
      <c r="AA48" s="499"/>
      <c r="AB48" s="499"/>
      <c r="AC48" s="499"/>
      <c r="AD48" s="504"/>
    </row>
    <row r="49" spans="1:30" ht="17.45" customHeight="1" x14ac:dyDescent="0.3">
      <c r="A49" s="462">
        <f>A45/E39</f>
        <v>0.27541739613134636</v>
      </c>
      <c r="B49" s="463"/>
      <c r="C49" s="463"/>
      <c r="D49" s="463"/>
      <c r="E49" s="464"/>
      <c r="F49" s="462">
        <f>F45/E39</f>
        <v>0.6729151543618429</v>
      </c>
      <c r="G49" s="463"/>
      <c r="H49" s="463"/>
      <c r="I49" s="463"/>
      <c r="J49" s="464"/>
      <c r="K49" s="462">
        <f>K45/E39</f>
        <v>5.1667449506810709E-2</v>
      </c>
      <c r="L49" s="463"/>
      <c r="M49" s="463"/>
      <c r="N49" s="463"/>
      <c r="O49" s="464"/>
      <c r="P49" s="462">
        <f>P45/E39</f>
        <v>9.521072633331909E-2</v>
      </c>
      <c r="Q49" s="463"/>
      <c r="R49" s="463"/>
      <c r="S49" s="463"/>
      <c r="T49" s="464"/>
      <c r="U49" s="471">
        <f>U45/7</f>
        <v>40.428571428571431</v>
      </c>
      <c r="V49" s="472"/>
      <c r="W49" s="472"/>
      <c r="X49" s="472"/>
      <c r="Y49" s="473"/>
      <c r="Z49" s="471">
        <f>U45/Z45</f>
        <v>7.8611111111111107</v>
      </c>
      <c r="AA49" s="472"/>
      <c r="AB49" s="472"/>
      <c r="AC49" s="472"/>
      <c r="AD49" s="473"/>
    </row>
    <row r="50" spans="1:30" ht="17.45" customHeight="1" x14ac:dyDescent="0.3">
      <c r="A50" s="465"/>
      <c r="B50" s="466"/>
      <c r="C50" s="466"/>
      <c r="D50" s="466"/>
      <c r="E50" s="467"/>
      <c r="F50" s="465"/>
      <c r="G50" s="466"/>
      <c r="H50" s="466"/>
      <c r="I50" s="466"/>
      <c r="J50" s="467"/>
      <c r="K50" s="465"/>
      <c r="L50" s="466"/>
      <c r="M50" s="466"/>
      <c r="N50" s="466"/>
      <c r="O50" s="467"/>
      <c r="P50" s="465"/>
      <c r="Q50" s="466"/>
      <c r="R50" s="466"/>
      <c r="S50" s="466"/>
      <c r="T50" s="467"/>
      <c r="U50" s="474"/>
      <c r="V50" s="475"/>
      <c r="W50" s="475"/>
      <c r="X50" s="475"/>
      <c r="Y50" s="476"/>
      <c r="Z50" s="474"/>
      <c r="AA50" s="475"/>
      <c r="AB50" s="475"/>
      <c r="AC50" s="475"/>
      <c r="AD50" s="476"/>
    </row>
    <row r="51" spans="1:30" ht="17.45" customHeight="1" x14ac:dyDescent="0.3">
      <c r="A51" s="465"/>
      <c r="B51" s="466"/>
      <c r="C51" s="466"/>
      <c r="D51" s="466"/>
      <c r="E51" s="467"/>
      <c r="F51" s="465"/>
      <c r="G51" s="466"/>
      <c r="H51" s="466"/>
      <c r="I51" s="466"/>
      <c r="J51" s="467"/>
      <c r="K51" s="465"/>
      <c r="L51" s="466"/>
      <c r="M51" s="466"/>
      <c r="N51" s="466"/>
      <c r="O51" s="467"/>
      <c r="P51" s="465"/>
      <c r="Q51" s="466"/>
      <c r="R51" s="466"/>
      <c r="S51" s="466"/>
      <c r="T51" s="467"/>
      <c r="U51" s="474"/>
      <c r="V51" s="475"/>
      <c r="W51" s="475"/>
      <c r="X51" s="475"/>
      <c r="Y51" s="476"/>
      <c r="Z51" s="474"/>
      <c r="AA51" s="475"/>
      <c r="AB51" s="475"/>
      <c r="AC51" s="475"/>
      <c r="AD51" s="476"/>
    </row>
    <row r="52" spans="1:30" ht="18" customHeight="1" thickBot="1" x14ac:dyDescent="0.35">
      <c r="A52" s="468"/>
      <c r="B52" s="469"/>
      <c r="C52" s="469"/>
      <c r="D52" s="469"/>
      <c r="E52" s="470"/>
      <c r="F52" s="468"/>
      <c r="G52" s="469"/>
      <c r="H52" s="469"/>
      <c r="I52" s="469"/>
      <c r="J52" s="470"/>
      <c r="K52" s="468"/>
      <c r="L52" s="469"/>
      <c r="M52" s="469"/>
      <c r="N52" s="469"/>
      <c r="O52" s="470"/>
      <c r="P52" s="468"/>
      <c r="Q52" s="469"/>
      <c r="R52" s="469"/>
      <c r="S52" s="469"/>
      <c r="T52" s="470"/>
      <c r="U52" s="477"/>
      <c r="V52" s="478"/>
      <c r="W52" s="478"/>
      <c r="X52" s="478"/>
      <c r="Y52" s="479"/>
      <c r="Z52" s="477"/>
      <c r="AA52" s="478"/>
      <c r="AB52" s="478"/>
      <c r="AC52" s="478"/>
      <c r="AD52" s="479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4FF1BC92-4C75-4738-A9B3-70B603EBE15E}"/>
</file>

<file path=customXml/itemProps2.xml><?xml version="1.0" encoding="utf-8"?>
<ds:datastoreItem xmlns:ds="http://schemas.openxmlformats.org/officeDocument/2006/customXml" ds:itemID="{CCBC7646-017A-4FA0-A81C-9301E81B395D}"/>
</file>

<file path=customXml/itemProps3.xml><?xml version="1.0" encoding="utf-8"?>
<ds:datastoreItem xmlns:ds="http://schemas.openxmlformats.org/officeDocument/2006/customXml" ds:itemID="{A30C5AC7-7387-4C89-B910-51CBA9065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</cp:lastModifiedBy>
  <cp:lastPrinted>2022-09-04T07:04:38Z</cp:lastPrinted>
  <dcterms:created xsi:type="dcterms:W3CDTF">2011-11-24T03:16:40Z</dcterms:created>
  <dcterms:modified xsi:type="dcterms:W3CDTF">2023-06-28T03:20:47Z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