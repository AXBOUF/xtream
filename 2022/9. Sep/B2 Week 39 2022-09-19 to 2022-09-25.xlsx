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"/>
    </mc:Choice>
  </mc:AlternateContent>
  <xr:revisionPtr revIDLastSave="0" documentId="13_ncr:1_{0E3BABBD-4C84-4013-AC29-07939BE44F7A}" xr6:coauthVersionLast="47" xr6:coauthVersionMax="47" xr10:uidLastSave="{00000000-0000-0000-0000-000000000000}"/>
  <bookViews>
    <workbookView xWindow="60" yWindow="600" windowWidth="14532" windowHeight="12360" firstSheet="1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M30" i="2"/>
  <c r="L30" i="2"/>
  <c r="L31" i="2" s="1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J11" i="1"/>
  <c r="U10" i="1"/>
  <c r="K10" i="1"/>
  <c r="J10" i="1"/>
  <c r="U9" i="1"/>
  <c r="J9" i="1"/>
  <c r="U8" i="1"/>
  <c r="K8" i="1"/>
  <c r="J8" i="1"/>
  <c r="U7" i="1"/>
  <c r="K7" i="1"/>
  <c r="J7" i="1"/>
  <c r="U6" i="1"/>
  <c r="K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U16" i="4" s="1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J6" i="6"/>
  <c r="U5" i="6"/>
  <c r="K5" i="6"/>
  <c r="J5" i="6"/>
  <c r="J30" i="6" s="1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U16" i="2"/>
  <c r="R16" i="2" s="1"/>
  <c r="K30" i="1"/>
  <c r="K31" i="1" s="1"/>
  <c r="J30" i="1"/>
  <c r="J31" i="1" s="1"/>
  <c r="U16" i="1"/>
  <c r="R16" i="1" s="1"/>
  <c r="K30" i="3"/>
  <c r="K31" i="3" s="1"/>
  <c r="J30" i="3"/>
  <c r="J31" i="3" s="1"/>
  <c r="U16" i="3"/>
  <c r="S16" i="3" s="1"/>
  <c r="K30" i="4"/>
  <c r="K31" i="4" s="1"/>
  <c r="J30" i="4"/>
  <c r="J30" i="5"/>
  <c r="J31" i="5" s="1"/>
  <c r="K30" i="5"/>
  <c r="K31" i="5" s="1"/>
  <c r="U16" i="5"/>
  <c r="S16" i="5" s="1"/>
  <c r="S32" i="6"/>
  <c r="H8" i="8" s="1"/>
  <c r="K30" i="6"/>
  <c r="K31" i="6" s="1"/>
  <c r="U16" i="6"/>
  <c r="E11" i="8" s="1"/>
  <c r="AD25" i="2"/>
  <c r="AI25" i="2"/>
  <c r="Z32" i="2"/>
  <c r="Z33" i="2" s="1"/>
  <c r="S31" i="2"/>
  <c r="H32" i="8" s="1"/>
  <c r="T31" i="2"/>
  <c r="AD25" i="1"/>
  <c r="AI25" i="1"/>
  <c r="S16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J31" i="4"/>
  <c r="AD25" i="4"/>
  <c r="AI25" i="4"/>
  <c r="S16" i="4"/>
  <c r="R16" i="4"/>
  <c r="Z32" i="4"/>
  <c r="Z33" i="4" s="1"/>
  <c r="S31" i="4"/>
  <c r="Y39" i="8"/>
  <c r="T31" i="4"/>
  <c r="AI25" i="5"/>
  <c r="AD25" i="5"/>
  <c r="S31" i="5"/>
  <c r="Z32" i="5"/>
  <c r="Z33" i="5" s="1"/>
  <c r="T31" i="5"/>
  <c r="J31" i="6"/>
  <c r="AD25" i="6"/>
  <c r="AI25" i="6"/>
  <c r="S31" i="6"/>
  <c r="H7" i="8" s="1"/>
  <c r="Z32" i="6"/>
  <c r="Z33" i="6" s="1"/>
  <c r="T31" i="6"/>
  <c r="H13" i="8"/>
  <c r="H17" i="8"/>
  <c r="H1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6" i="7"/>
  <c r="U15" i="7"/>
  <c r="U14" i="7"/>
  <c r="K14" i="7"/>
  <c r="U13" i="7"/>
  <c r="K13" i="7"/>
  <c r="U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E36" i="8"/>
  <c r="S16" i="2"/>
  <c r="C32" i="1"/>
  <c r="P32" i="1" s="1"/>
  <c r="E31" i="8"/>
  <c r="C32" i="3"/>
  <c r="O32" i="3" s="1"/>
  <c r="R16" i="3"/>
  <c r="E26" i="8"/>
  <c r="C32" i="4"/>
  <c r="T16" i="4" s="1"/>
  <c r="C32" i="5"/>
  <c r="P32" i="5" s="1"/>
  <c r="R16" i="5"/>
  <c r="R16" i="6"/>
  <c r="S16" i="6"/>
  <c r="S31" i="7"/>
  <c r="H2" i="8" s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T16" i="2" l="1"/>
  <c r="K32" i="2"/>
  <c r="P32" i="2"/>
  <c r="Q32" i="2"/>
  <c r="L35" i="8" s="1"/>
  <c r="N32" i="2"/>
  <c r="L32" i="8" s="1"/>
  <c r="U25" i="2"/>
  <c r="N32" i="1"/>
  <c r="K32" i="1"/>
  <c r="O32" i="1"/>
  <c r="T16" i="1"/>
  <c r="Q32" i="1"/>
  <c r="U25" i="1"/>
  <c r="T16" i="3"/>
  <c r="U25" i="3"/>
  <c r="N32" i="3"/>
  <c r="L22" i="8" s="1"/>
  <c r="Q32" i="3"/>
  <c r="L25" i="8" s="1"/>
  <c r="P32" i="3"/>
  <c r="L24" i="8" s="1"/>
  <c r="K32" i="3"/>
  <c r="P32" i="4"/>
  <c r="K32" i="4"/>
  <c r="N32" i="4"/>
  <c r="U25" i="4"/>
  <c r="O32" i="4"/>
  <c r="Q32" i="4"/>
  <c r="Q32" i="5"/>
  <c r="U25" i="5"/>
  <c r="N32" i="5"/>
  <c r="T16" i="5"/>
  <c r="K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<sst xmlns="http://schemas.openxmlformats.org/spreadsheetml/2006/main" count="1598" uniqueCount="357">
  <si>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</si>
  <si>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</si>
  <si>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</si>
  <si>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</si>
  <si>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</si>
  <si>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</si>
  <si>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</si>
  <si>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</si>
  <si>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</si>
  <si>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</si>
  <si>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</si>
  <si>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</si>
  <si>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</si>
  <si>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</si>
  <si>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</si>
  <si>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</si>
  <si>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</si>
  <si>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</si>
  <si>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</si>
  <si>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</si>
  <si>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</si>
  <si>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</si>
  <si>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</si>
  <si>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</si>
  <si>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</si>
  <si>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</si>
  <si>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</si>
  <si>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</si>
  <si>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</si>
  <si>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</si>
  <si>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</si>
  <si>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</si>
  <si>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</si>
  <si>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</si>
  <si>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</si>
  <si>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</si>
  <si>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</si>
  <si>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</si>
  <si>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</si>
  <si>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</si>
  <si>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</si>
  <si>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</si>
  <si>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</si>
  <si>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</si>
  <si>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</si>
  <si>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</si>
  <si>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</si>
  <si>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</si>
  <si>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</si>
  <si>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</si>
  <si>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</si>
  <si>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</si>
  <si>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</si>
  <si>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</si>
  <si>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</si>
  <si>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</si>
  <si>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</si>
  <si>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</si>
  <si>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</si>
  <si>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</si>
  <si>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</si>
  <si>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</si>
  <si>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</si>
  <si>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</si>
  <si>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</si>
  <si>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</si>
  <si>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</si>
  <si>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</si>
  <si>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</si>
  <si>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</si>
  <si>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</si>
  <si>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</si>
  <si>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</si>
  <si>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</si>
  <si>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</si>
  <si>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</si>
  <si>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</si>
  <si>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</si>
  <si>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</si>
  <si>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</si>
  <si>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</si>
  <si>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</si>
  <si>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</si>
  <si>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</si>
  <si>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</si>
  <si>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</si>
  <si>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</si>
  <si>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</si>
  <si>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</si>
  <si>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</si>
  <si>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</si>
  <si>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</si>
  <si>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</si>
  <si>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</si>
  <si>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</si>
  <si>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</si>
  <si>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</si>
  <si>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19-09-2022</t>
    <phoneticPr fontId="3" type="noConversion"/>
  </si>
  <si>
    <t>JOHN</t>
    <phoneticPr fontId="3" type="noConversion"/>
  </si>
  <si>
    <t>DJD98Y</t>
    <phoneticPr fontId="3" type="noConversion"/>
  </si>
  <si>
    <t>0422876828</t>
    <phoneticPr fontId="3" type="noConversion"/>
  </si>
  <si>
    <t>M</t>
  </si>
  <si>
    <t>PCL</t>
    <phoneticPr fontId="3" type="noConversion"/>
  </si>
  <si>
    <t>22078(3/6)</t>
    <phoneticPr fontId="3" type="noConversion"/>
  </si>
  <si>
    <t>EOA10P</t>
    <phoneticPr fontId="3" type="noConversion"/>
  </si>
  <si>
    <t>0401871273</t>
    <phoneticPr fontId="3" type="noConversion"/>
  </si>
  <si>
    <t>D</t>
    <phoneticPr fontId="3" type="noConversion"/>
  </si>
  <si>
    <t>HENDRA</t>
    <phoneticPr fontId="3" type="noConversion"/>
  </si>
  <si>
    <t>JUNIOR</t>
    <phoneticPr fontId="3" type="noConversion"/>
  </si>
  <si>
    <t>VINNY</t>
    <phoneticPr fontId="3" type="noConversion"/>
  </si>
  <si>
    <t>DLY98Y</t>
    <phoneticPr fontId="3" type="noConversion"/>
  </si>
  <si>
    <t>0411575672</t>
    <phoneticPr fontId="3" type="noConversion"/>
  </si>
  <si>
    <t>F/D</t>
    <phoneticPr fontId="3" type="noConversion"/>
  </si>
  <si>
    <t>AY838</t>
    <phoneticPr fontId="3" type="noConversion"/>
  </si>
  <si>
    <t>0412508833</t>
    <phoneticPr fontId="3" type="noConversion"/>
  </si>
  <si>
    <t>202208062(D)</t>
    <phoneticPr fontId="3" type="noConversion"/>
  </si>
  <si>
    <t>EDK81N</t>
    <phoneticPr fontId="3" type="noConversion"/>
  </si>
  <si>
    <t>0425393616</t>
    <phoneticPr fontId="3" type="noConversion"/>
  </si>
  <si>
    <t>H</t>
    <phoneticPr fontId="3" type="noConversion"/>
  </si>
  <si>
    <t>ZKY520</t>
    <phoneticPr fontId="3" type="noConversion"/>
  </si>
  <si>
    <t>0449565878</t>
    <phoneticPr fontId="3" type="noConversion"/>
  </si>
  <si>
    <t>X/ST</t>
    <phoneticPr fontId="3" type="noConversion"/>
  </si>
  <si>
    <t>ENV03Y</t>
    <phoneticPr fontId="3" type="noConversion"/>
  </si>
  <si>
    <t>0449586154</t>
    <phoneticPr fontId="3" type="noConversion"/>
  </si>
  <si>
    <t>X</t>
    <phoneticPr fontId="3" type="noConversion"/>
  </si>
  <si>
    <t>DSZ59S</t>
    <phoneticPr fontId="3" type="noConversion"/>
  </si>
  <si>
    <t>0402960833</t>
    <phoneticPr fontId="3" type="noConversion"/>
  </si>
  <si>
    <t>202900(5/6),22083(NEW)</t>
    <phoneticPr fontId="3" type="noConversion"/>
  </si>
  <si>
    <t>PAJ888</t>
    <phoneticPr fontId="3" type="noConversion"/>
  </si>
  <si>
    <t>0450758988</t>
    <phoneticPr fontId="3" type="noConversion"/>
  </si>
  <si>
    <t>202205005(D)</t>
    <phoneticPr fontId="3" type="noConversion"/>
  </si>
  <si>
    <t>MIM280</t>
    <phoneticPr fontId="3" type="noConversion"/>
  </si>
  <si>
    <t>0409082029</t>
    <phoneticPr fontId="3" type="noConversion"/>
  </si>
  <si>
    <t>KIM1788</t>
    <phoneticPr fontId="3" type="noConversion"/>
  </si>
  <si>
    <t>0423123179</t>
    <phoneticPr fontId="3" type="noConversion"/>
  </si>
  <si>
    <t>PCS</t>
    <phoneticPr fontId="3" type="noConversion"/>
  </si>
  <si>
    <t>22057(1/6)</t>
    <phoneticPr fontId="3" type="noConversion"/>
  </si>
  <si>
    <t>18PIPI</t>
    <phoneticPr fontId="3" type="noConversion"/>
  </si>
  <si>
    <t>0414882276</t>
    <phoneticPr fontId="3" type="noConversion"/>
  </si>
  <si>
    <t>W/O</t>
    <phoneticPr fontId="3" type="noConversion"/>
  </si>
  <si>
    <t>EXO68R</t>
    <phoneticPr fontId="3" type="noConversion"/>
  </si>
  <si>
    <t>0430312281</t>
    <phoneticPr fontId="3" type="noConversion"/>
  </si>
  <si>
    <t>22027(3/6)</t>
    <phoneticPr fontId="3" type="noConversion"/>
  </si>
  <si>
    <t>EEG03H</t>
    <phoneticPr fontId="3" type="noConversion"/>
  </si>
  <si>
    <t>0403633297</t>
    <phoneticPr fontId="3" type="noConversion"/>
  </si>
  <si>
    <t>EAH02A</t>
    <phoneticPr fontId="3" type="noConversion"/>
  </si>
  <si>
    <t>0433989807</t>
    <phoneticPr fontId="3" type="noConversion"/>
  </si>
  <si>
    <t>DZO81T</t>
    <phoneticPr fontId="3" type="noConversion"/>
  </si>
  <si>
    <t>0418888910</t>
    <phoneticPr fontId="3" type="noConversion"/>
  </si>
  <si>
    <t>SUNNY</t>
    <phoneticPr fontId="3" type="noConversion"/>
  </si>
  <si>
    <t>20 - 9 - 2022</t>
    <phoneticPr fontId="3" type="noConversion"/>
  </si>
  <si>
    <t>ARIANTO</t>
    <phoneticPr fontId="3" type="noConversion"/>
  </si>
  <si>
    <t>JAMES</t>
    <phoneticPr fontId="3" type="noConversion"/>
  </si>
  <si>
    <t>ECZ73S</t>
    <phoneticPr fontId="3" type="noConversion"/>
  </si>
  <si>
    <t>0415888891</t>
    <phoneticPr fontId="3" type="noConversion"/>
  </si>
  <si>
    <t>SD</t>
    <phoneticPr fontId="3" type="noConversion"/>
  </si>
  <si>
    <t>CALAN OCTEC</t>
    <phoneticPr fontId="3" type="noConversion"/>
  </si>
  <si>
    <t>EHU87A</t>
    <phoneticPr fontId="3" type="noConversion"/>
  </si>
  <si>
    <t>0420694860</t>
    <phoneticPr fontId="3" type="noConversion"/>
  </si>
  <si>
    <t>22062(1/6)H</t>
    <phoneticPr fontId="3" type="noConversion"/>
  </si>
  <si>
    <t>BEA 20A</t>
    <phoneticPr fontId="3" type="noConversion"/>
  </si>
  <si>
    <t>0431771110</t>
    <phoneticPr fontId="3" type="noConversion"/>
  </si>
  <si>
    <t>DVE90A</t>
    <phoneticPr fontId="3" type="noConversion"/>
  </si>
  <si>
    <t>0466576221</t>
    <phoneticPr fontId="3" type="noConversion"/>
  </si>
  <si>
    <t>$5 OFF</t>
    <phoneticPr fontId="3" type="noConversion"/>
  </si>
  <si>
    <t>EMZ20C</t>
    <phoneticPr fontId="3" type="noConversion"/>
  </si>
  <si>
    <t>0433047734</t>
    <phoneticPr fontId="3" type="noConversion"/>
  </si>
  <si>
    <t>CXQ118</t>
    <phoneticPr fontId="3" type="noConversion"/>
  </si>
  <si>
    <t>0407381598</t>
    <phoneticPr fontId="3" type="noConversion"/>
  </si>
  <si>
    <t>AYD08T</t>
    <phoneticPr fontId="3" type="noConversion"/>
  </si>
  <si>
    <t>0403749869</t>
    <phoneticPr fontId="3" type="noConversion"/>
  </si>
  <si>
    <t>ECO86K</t>
    <phoneticPr fontId="3" type="noConversion"/>
  </si>
  <si>
    <t>0413410026</t>
    <phoneticPr fontId="3" type="noConversion"/>
  </si>
  <si>
    <t>CXX61S :0424889886 JERRY</t>
    <phoneticPr fontId="3" type="noConversion"/>
  </si>
  <si>
    <t>COMPLAIN CAR PORSCHE</t>
    <phoneticPr fontId="3" type="noConversion"/>
  </si>
  <si>
    <t>EGA22U</t>
    <phoneticPr fontId="3" type="noConversion"/>
  </si>
  <si>
    <t>0420986119</t>
    <phoneticPr fontId="3" type="noConversion"/>
  </si>
  <si>
    <t>COMING FREE WASH</t>
    <phoneticPr fontId="3" type="noConversion"/>
  </si>
  <si>
    <t>DXM78B</t>
    <phoneticPr fontId="3" type="noConversion"/>
  </si>
  <si>
    <t>0402622601</t>
    <phoneticPr fontId="3" type="noConversion"/>
  </si>
  <si>
    <t>S/D</t>
    <phoneticPr fontId="3" type="noConversion"/>
  </si>
  <si>
    <t>CZP60M</t>
    <phoneticPr fontId="3" type="noConversion"/>
  </si>
  <si>
    <t>0413615916</t>
    <phoneticPr fontId="3" type="noConversion"/>
  </si>
  <si>
    <t>D/LTR</t>
    <phoneticPr fontId="3" type="noConversion"/>
  </si>
  <si>
    <t>GW8880</t>
    <phoneticPr fontId="3" type="noConversion"/>
  </si>
  <si>
    <t>0423393658</t>
    <phoneticPr fontId="3" type="noConversion"/>
  </si>
  <si>
    <t>0468827660</t>
    <phoneticPr fontId="3" type="noConversion"/>
  </si>
  <si>
    <t>22084(1/6)</t>
    <phoneticPr fontId="3" type="noConversion"/>
  </si>
  <si>
    <t>21 - 9 - 2022</t>
    <phoneticPr fontId="3" type="noConversion"/>
  </si>
  <si>
    <t>CLOUDY</t>
    <phoneticPr fontId="3" type="noConversion"/>
  </si>
  <si>
    <t>KUROSH</t>
    <phoneticPr fontId="3" type="noConversion"/>
  </si>
  <si>
    <t>EGI84K</t>
    <phoneticPr fontId="3" type="noConversion"/>
  </si>
  <si>
    <t>0406600362</t>
    <phoneticPr fontId="3" type="noConversion"/>
  </si>
  <si>
    <t>NCD70U</t>
    <phoneticPr fontId="3" type="noConversion"/>
  </si>
  <si>
    <t>0413059835</t>
    <phoneticPr fontId="3" type="noConversion"/>
  </si>
  <si>
    <t>ELD06Q</t>
    <phoneticPr fontId="3" type="noConversion"/>
  </si>
  <si>
    <t>0468939163</t>
    <phoneticPr fontId="3" type="noConversion"/>
  </si>
  <si>
    <t>DDS98E</t>
    <phoneticPr fontId="3" type="noConversion"/>
  </si>
  <si>
    <t>0410535257</t>
    <phoneticPr fontId="3" type="noConversion"/>
  </si>
  <si>
    <t>CJI87N</t>
    <phoneticPr fontId="3" type="noConversion"/>
  </si>
  <si>
    <t>0400249740</t>
    <phoneticPr fontId="3" type="noConversion"/>
  </si>
  <si>
    <t>BUQ95X</t>
    <phoneticPr fontId="3" type="noConversion"/>
  </si>
  <si>
    <t>0449106141</t>
    <phoneticPr fontId="3" type="noConversion"/>
  </si>
  <si>
    <t>CTG03D</t>
    <phoneticPr fontId="3" type="noConversion"/>
  </si>
  <si>
    <t>0408957356</t>
    <phoneticPr fontId="3" type="noConversion"/>
  </si>
  <si>
    <t>NCE49T</t>
    <phoneticPr fontId="3" type="noConversion"/>
  </si>
  <si>
    <t>0403694655</t>
    <phoneticPr fontId="3" type="noConversion"/>
  </si>
  <si>
    <t>ST BABY SEAT</t>
    <phoneticPr fontId="3" type="noConversion"/>
  </si>
  <si>
    <t>H/CLAY</t>
    <phoneticPr fontId="3" type="noConversion"/>
  </si>
  <si>
    <t>0448220141</t>
    <phoneticPr fontId="3" type="noConversion"/>
  </si>
  <si>
    <t>CIQ02X</t>
    <phoneticPr fontId="3" type="noConversion"/>
  </si>
  <si>
    <t>CSD25D</t>
    <phoneticPr fontId="3" type="noConversion"/>
  </si>
  <si>
    <t>0438942852</t>
    <phoneticPr fontId="3" type="noConversion"/>
  </si>
  <si>
    <t>D/ST</t>
    <phoneticPr fontId="3" type="noConversion"/>
  </si>
  <si>
    <t>22-09-2022</t>
    <phoneticPr fontId="3" type="noConversion"/>
  </si>
  <si>
    <t>NBX27B</t>
    <phoneticPr fontId="3" type="noConversion"/>
  </si>
  <si>
    <t>0418649051</t>
    <phoneticPr fontId="3" type="noConversion"/>
  </si>
  <si>
    <t>F</t>
  </si>
  <si>
    <t>ENU19A</t>
    <phoneticPr fontId="3" type="noConversion"/>
  </si>
  <si>
    <t>0400805393</t>
    <phoneticPr fontId="3" type="noConversion"/>
  </si>
  <si>
    <t>EDK41B</t>
    <phoneticPr fontId="3" type="noConversion"/>
  </si>
  <si>
    <t>0416859966</t>
    <phoneticPr fontId="3" type="noConversion"/>
  </si>
  <si>
    <t>CP51BX</t>
    <phoneticPr fontId="3" type="noConversion"/>
  </si>
  <si>
    <t>0450965066</t>
    <phoneticPr fontId="3" type="noConversion"/>
  </si>
  <si>
    <t>MADERA</t>
    <phoneticPr fontId="3" type="noConversion"/>
  </si>
  <si>
    <t>0412711333</t>
    <phoneticPr fontId="3" type="noConversion"/>
  </si>
  <si>
    <t>CWP52Y</t>
    <phoneticPr fontId="3" type="noConversion"/>
  </si>
  <si>
    <t>0403215490</t>
    <phoneticPr fontId="3" type="noConversion"/>
  </si>
  <si>
    <t>21059(5/6)</t>
    <phoneticPr fontId="3" type="noConversion"/>
  </si>
  <si>
    <t>EHU67D</t>
    <phoneticPr fontId="3" type="noConversion"/>
  </si>
  <si>
    <t>0413116333</t>
    <phoneticPr fontId="3" type="noConversion"/>
  </si>
  <si>
    <t>JB0212</t>
    <phoneticPr fontId="3" type="noConversion"/>
  </si>
  <si>
    <t>0401704628</t>
    <phoneticPr fontId="3" type="noConversion"/>
  </si>
  <si>
    <t>SHOWER</t>
    <phoneticPr fontId="3" type="noConversion"/>
  </si>
  <si>
    <t>23 - 9 - 2022</t>
    <phoneticPr fontId="3" type="noConversion"/>
  </si>
  <si>
    <t>124EC3</t>
    <phoneticPr fontId="3" type="noConversion"/>
  </si>
  <si>
    <t>0407227464</t>
    <phoneticPr fontId="3" type="noConversion"/>
  </si>
  <si>
    <t>DCC22U</t>
    <phoneticPr fontId="3" type="noConversion"/>
  </si>
  <si>
    <t>0426838125</t>
    <phoneticPr fontId="3" type="noConversion"/>
  </si>
  <si>
    <t>SAN525</t>
    <phoneticPr fontId="3" type="noConversion"/>
  </si>
  <si>
    <t>0402334033</t>
    <phoneticPr fontId="3" type="noConversion"/>
  </si>
  <si>
    <t>DZP82Z</t>
    <phoneticPr fontId="3" type="noConversion"/>
  </si>
  <si>
    <t>0402703322</t>
    <phoneticPr fontId="3" type="noConversion"/>
  </si>
  <si>
    <t>DZN85D</t>
    <phoneticPr fontId="3" type="noConversion"/>
  </si>
  <si>
    <t>0430066990</t>
    <phoneticPr fontId="3" type="noConversion"/>
  </si>
  <si>
    <t>GV1</t>
    <phoneticPr fontId="3" type="noConversion"/>
  </si>
  <si>
    <t>192566(6/6) (D)</t>
    <phoneticPr fontId="3" type="noConversion"/>
  </si>
  <si>
    <t>BJ98TR</t>
    <phoneticPr fontId="3" type="noConversion"/>
  </si>
  <si>
    <t>0409777911</t>
    <phoneticPr fontId="3" type="noConversion"/>
  </si>
  <si>
    <t>NBR79S</t>
    <phoneticPr fontId="3" type="noConversion"/>
  </si>
  <si>
    <t>0419462536</t>
    <phoneticPr fontId="3" type="noConversion"/>
  </si>
  <si>
    <t>DCU21W</t>
    <phoneticPr fontId="3" type="noConversion"/>
  </si>
  <si>
    <t>0448792258</t>
    <phoneticPr fontId="3" type="noConversion"/>
  </si>
  <si>
    <t>EJT86S</t>
    <phoneticPr fontId="3" type="noConversion"/>
  </si>
  <si>
    <t>0477182696</t>
    <phoneticPr fontId="3" type="noConversion"/>
  </si>
  <si>
    <t>ANDREW OCTEC</t>
    <phoneticPr fontId="3" type="noConversion"/>
  </si>
  <si>
    <t>ENT31T</t>
    <phoneticPr fontId="3" type="noConversion"/>
  </si>
  <si>
    <t>0452211831</t>
    <phoneticPr fontId="3" type="noConversion"/>
  </si>
  <si>
    <t>DKA68J</t>
    <phoneticPr fontId="3" type="noConversion"/>
  </si>
  <si>
    <t>0422775068</t>
    <phoneticPr fontId="3" type="noConversion"/>
  </si>
  <si>
    <t>JJEMMA</t>
    <phoneticPr fontId="3" type="noConversion"/>
  </si>
  <si>
    <t>0434230088</t>
    <phoneticPr fontId="3" type="noConversion"/>
  </si>
  <si>
    <t>KOT</t>
    <phoneticPr fontId="3" type="noConversion"/>
  </si>
  <si>
    <t>24-09-2022</t>
    <phoneticPr fontId="3" type="noConversion"/>
  </si>
  <si>
    <t>KADAM</t>
    <phoneticPr fontId="3" type="noConversion"/>
  </si>
  <si>
    <t>ENX12C</t>
    <phoneticPr fontId="3" type="noConversion"/>
  </si>
  <si>
    <t>0433039533</t>
    <phoneticPr fontId="3" type="noConversion"/>
  </si>
  <si>
    <t>21122819(3/6)</t>
    <phoneticPr fontId="3" type="noConversion"/>
  </si>
  <si>
    <t>EML343</t>
    <phoneticPr fontId="3" type="noConversion"/>
  </si>
  <si>
    <t>0414660109</t>
    <phoneticPr fontId="3" type="noConversion"/>
  </si>
  <si>
    <t>CYI94S</t>
    <phoneticPr fontId="3" type="noConversion"/>
  </si>
  <si>
    <t>0400356972</t>
    <phoneticPr fontId="3" type="noConversion"/>
  </si>
  <si>
    <t>DLZ06K</t>
    <phoneticPr fontId="3" type="noConversion"/>
  </si>
  <si>
    <t>0411471317</t>
    <phoneticPr fontId="3" type="noConversion"/>
  </si>
  <si>
    <t>YDX97Z</t>
    <phoneticPr fontId="3" type="noConversion"/>
  </si>
  <si>
    <t>0431742688</t>
    <phoneticPr fontId="3" type="noConversion"/>
  </si>
  <si>
    <t>22002(3/6)</t>
    <phoneticPr fontId="3" type="noConversion"/>
  </si>
  <si>
    <t>KING9</t>
    <phoneticPr fontId="3" type="noConversion"/>
  </si>
  <si>
    <t>0488891999</t>
    <phoneticPr fontId="3" type="noConversion"/>
  </si>
  <si>
    <t>22023(6/6)</t>
    <phoneticPr fontId="3" type="noConversion"/>
  </si>
  <si>
    <t>CMY63V</t>
    <phoneticPr fontId="3" type="noConversion"/>
  </si>
  <si>
    <t>0433558131</t>
    <phoneticPr fontId="3" type="noConversion"/>
  </si>
  <si>
    <t>EQA84G</t>
    <phoneticPr fontId="3" type="noConversion"/>
  </si>
  <si>
    <t>0421816061</t>
    <phoneticPr fontId="3" type="noConversion"/>
  </si>
  <si>
    <t>EGY78F</t>
    <phoneticPr fontId="3" type="noConversion"/>
  </si>
  <si>
    <t>0421257396</t>
    <phoneticPr fontId="3" type="noConversion"/>
  </si>
  <si>
    <t>ROU13R</t>
    <phoneticPr fontId="3" type="noConversion"/>
  </si>
  <si>
    <t>0402138508</t>
    <phoneticPr fontId="3" type="noConversion"/>
  </si>
  <si>
    <t>CST84N</t>
    <phoneticPr fontId="3" type="noConversion"/>
  </si>
  <si>
    <t>0432015255</t>
    <phoneticPr fontId="3" type="noConversion"/>
  </si>
  <si>
    <t>22044(3/6)</t>
    <phoneticPr fontId="3" type="noConversion"/>
  </si>
  <si>
    <t>BAF44A</t>
    <phoneticPr fontId="3" type="noConversion"/>
  </si>
  <si>
    <t>0406243100</t>
    <phoneticPr fontId="3" type="noConversion"/>
  </si>
  <si>
    <t>DGG37K</t>
    <phoneticPr fontId="3" type="noConversion"/>
  </si>
  <si>
    <t>0448793606</t>
    <phoneticPr fontId="3" type="noConversion"/>
  </si>
  <si>
    <t>CZH82L</t>
    <phoneticPr fontId="3" type="noConversion"/>
  </si>
  <si>
    <t>0423051988</t>
    <phoneticPr fontId="3" type="noConversion"/>
  </si>
  <si>
    <t>CTO89Q</t>
    <phoneticPr fontId="3" type="noConversion"/>
  </si>
  <si>
    <t>0433765076</t>
    <phoneticPr fontId="3" type="noConversion"/>
  </si>
  <si>
    <t>JUNIOR: HALF DAY</t>
    <phoneticPr fontId="3" type="noConversion"/>
  </si>
  <si>
    <t>CDA48Q</t>
    <phoneticPr fontId="3" type="noConversion"/>
  </si>
  <si>
    <t>0414546215</t>
    <phoneticPr fontId="3" type="noConversion"/>
  </si>
  <si>
    <t>ID</t>
    <phoneticPr fontId="3" type="noConversion"/>
  </si>
  <si>
    <t>TAX</t>
    <phoneticPr fontId="3" type="noConversion"/>
  </si>
  <si>
    <t>EIO71P</t>
    <phoneticPr fontId="3" type="noConversion"/>
  </si>
  <si>
    <t>0406625123</t>
    <phoneticPr fontId="3" type="noConversion"/>
  </si>
  <si>
    <t>EBJ31J</t>
    <phoneticPr fontId="3" type="noConversion"/>
  </si>
  <si>
    <t>0435955200</t>
    <phoneticPr fontId="3" type="noConversion"/>
  </si>
  <si>
    <t>22020(5/6)</t>
    <phoneticPr fontId="3" type="noConversion"/>
  </si>
  <si>
    <t>XKL789</t>
    <phoneticPr fontId="3" type="noConversion"/>
  </si>
  <si>
    <t>0425824679</t>
    <phoneticPr fontId="3" type="noConversion"/>
  </si>
  <si>
    <t>25-09-2022</t>
    <phoneticPr fontId="3" type="noConversion"/>
  </si>
  <si>
    <t>KEVIN</t>
    <phoneticPr fontId="3" type="noConversion"/>
  </si>
  <si>
    <t>ERY51B</t>
    <phoneticPr fontId="3" type="noConversion"/>
  </si>
  <si>
    <t>0407770517</t>
    <phoneticPr fontId="3" type="noConversion"/>
  </si>
  <si>
    <t>NCC31V</t>
    <phoneticPr fontId="3" type="noConversion"/>
  </si>
  <si>
    <t>0435858682</t>
    <phoneticPr fontId="3" type="noConversion"/>
  </si>
  <si>
    <t>DCW79S</t>
    <phoneticPr fontId="3" type="noConversion"/>
  </si>
  <si>
    <t>0401145351</t>
    <phoneticPr fontId="3" type="noConversion"/>
  </si>
  <si>
    <t>DPU13H</t>
    <phoneticPr fontId="3" type="noConversion"/>
  </si>
  <si>
    <t>0415316520</t>
    <phoneticPr fontId="3" type="noConversion"/>
  </si>
  <si>
    <t>DCZZ7D</t>
    <phoneticPr fontId="3" type="noConversion"/>
  </si>
  <si>
    <t>0404094208</t>
    <phoneticPr fontId="3" type="noConversion"/>
  </si>
  <si>
    <t>DXF97P</t>
    <phoneticPr fontId="3" type="noConversion"/>
  </si>
  <si>
    <t>0408927850</t>
    <phoneticPr fontId="3" type="noConversion"/>
  </si>
  <si>
    <t>CZN74G</t>
    <phoneticPr fontId="3" type="noConversion"/>
  </si>
  <si>
    <t>0451123839</t>
    <phoneticPr fontId="3" type="noConversion"/>
  </si>
  <si>
    <t>CO64JC</t>
    <phoneticPr fontId="3" type="noConversion"/>
  </si>
  <si>
    <t>0490306221</t>
    <phoneticPr fontId="3" type="noConversion"/>
  </si>
  <si>
    <t>NBX36K</t>
    <phoneticPr fontId="3" type="noConversion"/>
  </si>
  <si>
    <t>0400804525</t>
    <phoneticPr fontId="3" type="noConversion"/>
  </si>
  <si>
    <t>BJ72MO</t>
    <phoneticPr fontId="3" type="noConversion"/>
  </si>
  <si>
    <t>0406424826</t>
    <phoneticPr fontId="3" type="noConversion"/>
  </si>
  <si>
    <t>LRC512</t>
    <phoneticPr fontId="3" type="noConversion"/>
  </si>
  <si>
    <t>0402258078</t>
    <phoneticPr fontId="3" type="noConversion"/>
  </si>
  <si>
    <t>EGR18U</t>
    <phoneticPr fontId="3" type="noConversion"/>
  </si>
  <si>
    <t>0425256082</t>
    <phoneticPr fontId="3" type="noConversion"/>
  </si>
  <si>
    <t>S321</t>
    <phoneticPr fontId="3" type="noConversion"/>
  </si>
  <si>
    <t>0424100321</t>
    <phoneticPr fontId="3" type="noConversion"/>
  </si>
  <si>
    <t>MH1668</t>
    <phoneticPr fontId="3" type="noConversion"/>
  </si>
  <si>
    <t>0411622638</t>
    <phoneticPr fontId="3" type="noConversion"/>
  </si>
  <si>
    <t>DPM284</t>
    <phoneticPr fontId="3" type="noConversion"/>
  </si>
  <si>
    <t>0416236260</t>
    <phoneticPr fontId="3" type="noConversion"/>
  </si>
  <si>
    <t>21032(4/6), 22055(NEW)</t>
    <phoneticPr fontId="3" type="noConversion"/>
  </si>
  <si>
    <t>DAX52L</t>
    <phoneticPr fontId="3" type="noConversion"/>
  </si>
  <si>
    <t>0432595884</t>
    <phoneticPr fontId="3" type="noConversion"/>
  </si>
  <si>
    <t>ETF65E</t>
    <phoneticPr fontId="3" type="noConversion"/>
  </si>
  <si>
    <t>0439304375</t>
    <phoneticPr fontId="3" type="noConversion"/>
  </si>
  <si>
    <t>CE43RQ</t>
    <phoneticPr fontId="3" type="noConversion"/>
  </si>
  <si>
    <t>0431177538</t>
    <phoneticPr fontId="3" type="noConversion"/>
  </si>
  <si>
    <t>DYV96H</t>
    <phoneticPr fontId="3" type="noConversion"/>
  </si>
  <si>
    <t>0418986206</t>
    <phoneticPr fontId="3" type="noConversion"/>
  </si>
  <si>
    <t>NBY11Q</t>
    <phoneticPr fontId="3" type="noConversion"/>
  </si>
  <si>
    <t>0407197325</t>
    <phoneticPr fontId="3" type="noConversion"/>
  </si>
  <si>
    <t>H/ST</t>
    <phoneticPr fontId="3" type="noConversion"/>
  </si>
  <si>
    <t>202207039(D)</t>
    <phoneticPr fontId="3" type="noConversion"/>
  </si>
  <si>
    <t>202207062(D)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</si>
</sst>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5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1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 shrinkToFit="1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4" xfId="4" applyBorder="1" applyAlignment="1">
      <alignment horizontal="center" shrinkToFit="1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29" fillId="2" borderId="9" xfId="0" applyFont="1" applyFill="1" applyBorder="1" applyAlignment="1">
      <alignment shrinkToFit="1"/>
    </xf>
    <xf numFmtId="0" fontId="23" fillId="14" borderId="9" xfId="4" applyBorder="1" applyAlignment="1">
      <alignment horizontal="center" shrinkToFit="1"/>
    </xf>
    <xf numFmtId="0" fontId="23" fillId="14" borderId="26" xfId="4" applyBorder="1" applyAlignment="1">
      <alignment horizontal="left"/>
    </xf>
    <xf numFmtId="49" fontId="23" fillId="14" borderId="29" xfId="4" applyNumberFormat="1" applyBorder="1" applyAlignment="1"/>
    <xf numFmtId="0" fontId="23" fillId="14" borderId="1" xfId="4" applyBorder="1" applyAlignment="1">
      <alignment horizontal="center"/>
    </xf>
    <xf numFmtId="0" fontId="30" fillId="2" borderId="9" xfId="0" applyFont="1" applyFill="1" applyBorder="1" applyAlignment="1">
      <alignment shrinkToFit="1"/>
    </xf>
    <xf numFmtId="0" fontId="31" fillId="2" borderId="9" xfId="0" applyFont="1" applyFill="1" applyBorder="1" applyAlignment="1">
      <alignment shrinkToFit="1"/>
    </xf>
    <xf numFmtId="0" fontId="23" fillId="14" borderId="26" xfId="4" applyBorder="1" applyAlignment="1"/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I26" sqref="I2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97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149</v>
      </c>
      <c r="K2" s="336"/>
      <c r="L2" s="338" t="s">
        <v>96</v>
      </c>
      <c r="M2" s="339"/>
      <c r="N2" s="337"/>
      <c r="O2" s="335" t="s">
        <v>98</v>
      </c>
      <c r="P2" s="335"/>
      <c r="Q2" s="336"/>
      <c r="R2" s="338" t="s">
        <v>51</v>
      </c>
      <c r="S2" s="337"/>
      <c r="T2" s="326">
        <v>5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7" t="s">
        <v>8</v>
      </c>
      <c r="P4" s="327"/>
      <c r="Q4" s="32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11242</v>
      </c>
      <c r="C5" s="68" t="s">
        <v>99</v>
      </c>
      <c r="D5" s="200" t="s">
        <v>100</v>
      </c>
      <c r="E5" s="181" t="s">
        <v>101</v>
      </c>
      <c r="F5" s="170">
        <v>940</v>
      </c>
      <c r="G5" s="118" t="s">
        <v>102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98</v>
      </c>
      <c r="O5" s="376" t="s">
        <v>103</v>
      </c>
      <c r="P5" s="377"/>
      <c r="Q5" s="378"/>
      <c r="R5" s="33" t="s">
        <v>98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11243</v>
      </c>
      <c r="C6" s="67" t="s">
        <v>104</v>
      </c>
      <c r="D6" s="200" t="s">
        <v>105</v>
      </c>
      <c r="E6" s="181" t="s">
        <v>92</v>
      </c>
      <c r="F6" s="171">
        <v>1000</v>
      </c>
      <c r="G6" s="118" t="s">
        <v>106</v>
      </c>
      <c r="H6" s="91">
        <v>55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28"/>
      <c r="P6" s="329"/>
      <c r="Q6" s="330"/>
      <c r="R6" s="132" t="s">
        <v>107</v>
      </c>
      <c r="S6" s="31">
        <v>0.35416666666666669</v>
      </c>
      <c r="T6" s="32">
        <v>0.71875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11244</v>
      </c>
      <c r="C7" s="67" t="s">
        <v>110</v>
      </c>
      <c r="D7" s="200" t="s">
        <v>111</v>
      </c>
      <c r="E7" s="181" t="s">
        <v>92</v>
      </c>
      <c r="F7" s="171">
        <v>1115</v>
      </c>
      <c r="G7" s="118" t="s">
        <v>112</v>
      </c>
      <c r="H7" s="91"/>
      <c r="I7" s="124">
        <v>484.8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1"/>
      <c r="P7" s="300"/>
      <c r="Q7" s="302"/>
      <c r="R7" s="134" t="s">
        <v>108</v>
      </c>
      <c r="S7" s="31">
        <v>0.33333333333333331</v>
      </c>
      <c r="T7" s="32">
        <v>0.71875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11245</v>
      </c>
      <c r="C8" s="27" t="s">
        <v>113</v>
      </c>
      <c r="D8" s="200" t="s">
        <v>114</v>
      </c>
      <c r="E8" s="181" t="s">
        <v>92</v>
      </c>
      <c r="F8" s="171">
        <v>1140</v>
      </c>
      <c r="G8" s="118" t="s">
        <v>44</v>
      </c>
      <c r="H8" s="91"/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98</v>
      </c>
      <c r="O8" s="331" t="s">
        <v>115</v>
      </c>
      <c r="P8" s="332"/>
      <c r="Q8" s="333"/>
      <c r="R8" s="26" t="s">
        <v>151</v>
      </c>
      <c r="S8" s="31">
        <v>0.41666666666666669</v>
      </c>
      <c r="T8" s="32">
        <v>0.53125</v>
      </c>
      <c r="U8" s="92">
        <f t="shared" si="0"/>
        <v>2.7499999999999996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11246</v>
      </c>
      <c r="C9" s="63" t="s">
        <v>116</v>
      </c>
      <c r="D9" s="201" t="s">
        <v>117</v>
      </c>
      <c r="E9" s="181" t="s">
        <v>92</v>
      </c>
      <c r="F9" s="172">
        <v>1150</v>
      </c>
      <c r="G9" s="119" t="s">
        <v>118</v>
      </c>
      <c r="H9" s="91">
        <v>150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31"/>
      <c r="P9" s="332"/>
      <c r="Q9" s="333"/>
      <c r="R9" s="26" t="s">
        <v>109</v>
      </c>
      <c r="S9" s="31">
        <v>0.45833333333333331</v>
      </c>
      <c r="T9" s="32">
        <v>0.71875</v>
      </c>
      <c r="U9" s="92">
        <f t="shared" si="0"/>
        <v>6.25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11247</v>
      </c>
      <c r="C10" s="28" t="s">
        <v>119</v>
      </c>
      <c r="D10" s="202" t="s">
        <v>120</v>
      </c>
      <c r="E10" s="181" t="s">
        <v>92</v>
      </c>
      <c r="F10" s="173">
        <v>1200</v>
      </c>
      <c r="G10" s="120" t="s">
        <v>121</v>
      </c>
      <c r="H10" s="123"/>
      <c r="I10" s="125">
        <v>383.8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11248</v>
      </c>
      <c r="C11" s="18" t="s">
        <v>122</v>
      </c>
      <c r="D11" s="203" t="s">
        <v>123</v>
      </c>
      <c r="E11" s="181" t="s">
        <v>91</v>
      </c>
      <c r="F11" s="66">
        <v>1230</v>
      </c>
      <c r="G11" s="121" t="s">
        <v>124</v>
      </c>
      <c r="H11" s="123"/>
      <c r="I11" s="124">
        <v>95.95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267">
        <v>11249</v>
      </c>
      <c r="C12" s="268" t="s">
        <v>125</v>
      </c>
      <c r="D12" s="269" t="s">
        <v>126</v>
      </c>
      <c r="E12" s="270" t="s">
        <v>92</v>
      </c>
      <c r="F12" s="271">
        <v>1240</v>
      </c>
      <c r="G12" s="267" t="s">
        <v>102</v>
      </c>
      <c r="H12" s="272"/>
      <c r="I12" s="272"/>
      <c r="J12" s="273" t="str">
        <f t="shared" si="1"/>
        <v>0</v>
      </c>
      <c r="K12" s="273">
        <v>62.5</v>
      </c>
      <c r="L12" s="274">
        <v>450</v>
      </c>
      <c r="M12" s="274"/>
      <c r="N12" s="275" t="s">
        <v>98</v>
      </c>
      <c r="O12" s="367" t="s">
        <v>127</v>
      </c>
      <c r="P12" s="368"/>
      <c r="Q12" s="36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11250</v>
      </c>
      <c r="C13" s="64" t="s">
        <v>128</v>
      </c>
      <c r="D13" s="204" t="s">
        <v>129</v>
      </c>
      <c r="E13" s="181" t="s">
        <v>91</v>
      </c>
      <c r="F13" s="173">
        <v>1250</v>
      </c>
      <c r="G13" s="119" t="s">
        <v>44</v>
      </c>
      <c r="H13" s="169">
        <v>20</v>
      </c>
      <c r="I13" s="168"/>
      <c r="J13" s="130" t="str">
        <f t="shared" si="1"/>
        <v>55</v>
      </c>
      <c r="K13" s="130" t="str">
        <f t="shared" si="2"/>
        <v>0</v>
      </c>
      <c r="L13" s="131"/>
      <c r="M13" s="131"/>
      <c r="N13" s="134" t="s">
        <v>98</v>
      </c>
      <c r="O13" s="301" t="s">
        <v>130</v>
      </c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11251</v>
      </c>
      <c r="C14" s="65" t="s">
        <v>131</v>
      </c>
      <c r="D14" s="205" t="s">
        <v>132</v>
      </c>
      <c r="E14" s="181" t="s">
        <v>92</v>
      </c>
      <c r="F14" s="174">
        <v>1400</v>
      </c>
      <c r="G14" s="122" t="s">
        <v>106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76">
        <v>11252</v>
      </c>
      <c r="C15" s="277" t="s">
        <v>133</v>
      </c>
      <c r="D15" s="278" t="s">
        <v>134</v>
      </c>
      <c r="E15" s="270" t="s">
        <v>92</v>
      </c>
      <c r="F15" s="279">
        <v>1400</v>
      </c>
      <c r="G15" s="276" t="s">
        <v>135</v>
      </c>
      <c r="H15" s="272"/>
      <c r="I15" s="273"/>
      <c r="J15" s="273" t="str">
        <f t="shared" si="1"/>
        <v>0</v>
      </c>
      <c r="K15" s="273">
        <v>58.3</v>
      </c>
      <c r="L15" s="274">
        <v>350</v>
      </c>
      <c r="M15" s="274"/>
      <c r="N15" s="275" t="s">
        <v>98</v>
      </c>
      <c r="O15" s="367" t="s">
        <v>136</v>
      </c>
      <c r="P15" s="368"/>
      <c r="Q15" s="36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11253</v>
      </c>
      <c r="C16" s="65" t="s">
        <v>137</v>
      </c>
      <c r="D16" s="205" t="s">
        <v>138</v>
      </c>
      <c r="E16" s="181" t="s">
        <v>91</v>
      </c>
      <c r="F16" s="174">
        <v>1410</v>
      </c>
      <c r="G16" s="122" t="s">
        <v>139</v>
      </c>
      <c r="H16" s="123">
        <v>60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1"/>
      <c r="P16" s="300"/>
      <c r="Q16" s="302"/>
      <c r="R16" s="82">
        <f>H32/U16</f>
        <v>0.44444444444444442</v>
      </c>
      <c r="S16" s="83">
        <f>H32/(U16-U5)</f>
        <v>0.59259259259259256</v>
      </c>
      <c r="T16" s="83">
        <f>C32/U16</f>
        <v>53.863888888888894</v>
      </c>
      <c r="U16" s="83">
        <f>SUM(U5:U15)</f>
        <v>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11254</v>
      </c>
      <c r="C17" s="18" t="s">
        <v>140</v>
      </c>
      <c r="D17" s="203" t="s">
        <v>141</v>
      </c>
      <c r="E17" s="181" t="s">
        <v>92</v>
      </c>
      <c r="F17" s="66">
        <v>1430</v>
      </c>
      <c r="G17" s="121" t="s">
        <v>102</v>
      </c>
      <c r="H17" s="123"/>
      <c r="I17" s="124"/>
      <c r="J17" s="130" t="str">
        <f t="shared" si="1"/>
        <v>0</v>
      </c>
      <c r="K17" s="130">
        <v>79.099999999999994</v>
      </c>
      <c r="L17" s="131"/>
      <c r="M17" s="131"/>
      <c r="N17" s="134" t="s">
        <v>98</v>
      </c>
      <c r="O17" s="301" t="s">
        <v>142</v>
      </c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11255</v>
      </c>
      <c r="C18" s="18" t="s">
        <v>143</v>
      </c>
      <c r="D18" s="203" t="s">
        <v>144</v>
      </c>
      <c r="E18" s="181" t="s">
        <v>92</v>
      </c>
      <c r="F18" s="66">
        <v>1500</v>
      </c>
      <c r="G18" s="20" t="s">
        <v>124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11256</v>
      </c>
      <c r="C19" s="18" t="s">
        <v>145</v>
      </c>
      <c r="D19" s="203" t="s">
        <v>146</v>
      </c>
      <c r="E19" s="181" t="s">
        <v>92</v>
      </c>
      <c r="F19" s="66">
        <v>1555</v>
      </c>
      <c r="G19" s="121" t="s">
        <v>106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01"/>
      <c r="P19" s="300"/>
      <c r="Q19" s="300"/>
      <c r="R19" s="93" t="s">
        <v>45</v>
      </c>
      <c r="S19" s="94">
        <f>COUNT(L5:M29,L37:M61,L69:M93)</f>
        <v>2</v>
      </c>
      <c r="T19" s="116">
        <f>SUM(L5:M29,L37:M61,L69:M93)</f>
        <v>800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11257</v>
      </c>
      <c r="C20" s="18" t="s">
        <v>147</v>
      </c>
      <c r="D20" s="203" t="s">
        <v>148</v>
      </c>
      <c r="E20" s="181" t="s">
        <v>92</v>
      </c>
      <c r="F20" s="66">
        <v>1610</v>
      </c>
      <c r="G20" s="121" t="s">
        <v>106</v>
      </c>
      <c r="H20" s="123"/>
      <c r="I20" s="219">
        <v>55.55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1939.1000000000001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11">
        <f t="shared" ref="H30:M30" si="3">SUM(H5:H29)</f>
        <v>380</v>
      </c>
      <c r="I30" s="105">
        <f>SUM(I5:I29)</f>
        <v>1170.1000000000001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279</v>
      </c>
      <c r="L30" s="106">
        <f t="shared" si="3"/>
        <v>800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12">
        <f t="shared" ref="H31:J31" si="4">H30+H62+H94</f>
        <v>380</v>
      </c>
      <c r="I31" s="103">
        <f t="shared" si="4"/>
        <v>1170.1000000000001</v>
      </c>
      <c r="J31" s="103">
        <f t="shared" si="4"/>
        <v>110</v>
      </c>
      <c r="K31" s="103">
        <f>K30+K62+K94</f>
        <v>279</v>
      </c>
      <c r="L31" s="97">
        <f>L30+L62+L94</f>
        <v>800</v>
      </c>
      <c r="M31" s="97">
        <f>M30+M62+M94</f>
        <v>0</v>
      </c>
      <c r="N31" s="217">
        <f>COUNT(H5:H29,H37:H61,H69:H93)</f>
        <v>5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1180</v>
      </c>
      <c r="T31" s="340">
        <f>H31+I31+L31+M31</f>
        <v>2350.1000000000004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1939.1000000000001</v>
      </c>
      <c r="D32" s="196"/>
      <c r="E32" s="107"/>
      <c r="F32" s="362" t="s">
        <v>53</v>
      </c>
      <c r="G32" s="362"/>
      <c r="H32" s="109">
        <f>COUNT(B5:B29,B37:B61,B69:B93)</f>
        <v>16</v>
      </c>
      <c r="I32" s="363" t="s">
        <v>54</v>
      </c>
      <c r="J32" s="363"/>
      <c r="K32" s="108">
        <f>C32/H32</f>
        <v>121.19375000000001</v>
      </c>
      <c r="L32" s="218"/>
      <c r="M32" s="218"/>
      <c r="N32" s="218">
        <f>H31/C32</f>
        <v>0.19596720127894382</v>
      </c>
      <c r="O32" s="218">
        <f>I31/C32</f>
        <v>0.60342426899076895</v>
      </c>
      <c r="P32" s="218">
        <f>K31/C32</f>
        <v>0.1438811819916456</v>
      </c>
      <c r="Q32" s="110">
        <f>J31/C32</f>
        <v>5.6727347738641631E-2</v>
      </c>
      <c r="R32" s="99" t="s">
        <v>82</v>
      </c>
      <c r="S32" s="213">
        <f>I31+M31</f>
        <v>1170.1000000000001</v>
      </c>
      <c r="T32" s="342"/>
      <c r="U32" s="343"/>
      <c r="V32" s="55"/>
      <c r="W32" s="55"/>
      <c r="X32" s="56" t="s">
        <v>27</v>
      </c>
      <c r="Y32" s="56"/>
      <c r="Z32" s="54">
        <f>I31</f>
        <v>1170.1000000000001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-1574.8999999999999</v>
      </c>
      <c r="AE33" s="37"/>
      <c r="AF33" s="37"/>
      <c r="AG33" s="59"/>
      <c r="AH33" s="37"/>
    </row>
    <row r="34" spans="1:34" ht="18" thickBot="1" x14ac:dyDescent="0.45">
      <c r="A34" s="334" t="str">
        <f>A2</f>
        <v>19-09-2022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SUNNY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5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7" t="s">
        <v>8</v>
      </c>
      <c r="P36" s="327"/>
      <c r="Q36" s="32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19-09-2022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SUNNY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5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7" t="s">
        <v>8</v>
      </c>
      <c r="P68" s="327"/>
      <c r="Q68" s="32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B18" sqref="B1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150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149</v>
      </c>
      <c r="K2" s="336"/>
      <c r="L2" s="338" t="s">
        <v>96</v>
      </c>
      <c r="M2" s="339"/>
      <c r="N2" s="337"/>
      <c r="O2" s="335" t="s">
        <v>107</v>
      </c>
      <c r="P2" s="335"/>
      <c r="Q2" s="336"/>
      <c r="R2" s="338" t="s">
        <v>51</v>
      </c>
      <c r="S2" s="337"/>
      <c r="T2" s="326">
        <v>6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11258</v>
      </c>
      <c r="C5" s="68" t="s">
        <v>153</v>
      </c>
      <c r="D5" s="200" t="s">
        <v>154</v>
      </c>
      <c r="E5" s="181" t="s">
        <v>91</v>
      </c>
      <c r="F5" s="170">
        <v>750</v>
      </c>
      <c r="G5" s="118" t="s">
        <v>155</v>
      </c>
      <c r="H5" s="91">
        <v>250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108</v>
      </c>
      <c r="O5" s="376"/>
      <c r="P5" s="377"/>
      <c r="Q5" s="378"/>
      <c r="R5" s="33" t="s">
        <v>107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11259</v>
      </c>
      <c r="C6" s="67" t="s">
        <v>157</v>
      </c>
      <c r="D6" s="200" t="s">
        <v>158</v>
      </c>
      <c r="E6" s="181" t="s">
        <v>91</v>
      </c>
      <c r="F6" s="171">
        <v>1015</v>
      </c>
      <c r="G6" s="118" t="s">
        <v>102</v>
      </c>
      <c r="H6" s="91"/>
      <c r="I6" s="124"/>
      <c r="J6" s="130" t="str">
        <f t="shared" ref="J6:J29" si="1">IF(G6="RSL","55","0")</f>
        <v>0</v>
      </c>
      <c r="K6" s="130">
        <v>150</v>
      </c>
      <c r="L6" s="131"/>
      <c r="M6" s="131"/>
      <c r="N6" s="134" t="s">
        <v>107</v>
      </c>
      <c r="O6" s="328" t="s">
        <v>159</v>
      </c>
      <c r="P6" s="329"/>
      <c r="Q6" s="330"/>
      <c r="R6" s="132" t="s">
        <v>108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11260</v>
      </c>
      <c r="C7" s="67" t="s">
        <v>160</v>
      </c>
      <c r="D7" s="200" t="s">
        <v>161</v>
      </c>
      <c r="E7" s="181" t="s">
        <v>91</v>
      </c>
      <c r="F7" s="171">
        <v>1045</v>
      </c>
      <c r="G7" s="118" t="s">
        <v>106</v>
      </c>
      <c r="H7" s="91"/>
      <c r="I7" s="124">
        <v>55.55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107</v>
      </c>
      <c r="O7" s="301"/>
      <c r="P7" s="300"/>
      <c r="Q7" s="302"/>
      <c r="R7" s="134" t="s">
        <v>151</v>
      </c>
      <c r="S7" s="31">
        <v>0.41666666666666669</v>
      </c>
      <c r="T7" s="32">
        <v>0.66666666666666663</v>
      </c>
      <c r="U7" s="92">
        <f t="shared" si="0"/>
        <v>5.9999999999999982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11261</v>
      </c>
      <c r="C8" s="27" t="s">
        <v>167</v>
      </c>
      <c r="D8" s="200" t="s">
        <v>168</v>
      </c>
      <c r="E8" s="181" t="s">
        <v>92</v>
      </c>
      <c r="F8" s="171">
        <v>1115</v>
      </c>
      <c r="G8" s="118" t="s">
        <v>124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107</v>
      </c>
      <c r="O8" s="331"/>
      <c r="P8" s="332"/>
      <c r="Q8" s="333"/>
      <c r="R8" s="26" t="s">
        <v>109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11262</v>
      </c>
      <c r="C9" s="63" t="s">
        <v>162</v>
      </c>
      <c r="D9" s="201" t="s">
        <v>163</v>
      </c>
      <c r="E9" s="181" t="s">
        <v>92</v>
      </c>
      <c r="F9" s="172">
        <v>1115</v>
      </c>
      <c r="G9" s="119" t="s">
        <v>106</v>
      </c>
      <c r="H9" s="91">
        <v>70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107</v>
      </c>
      <c r="O9" s="331" t="s">
        <v>164</v>
      </c>
      <c r="P9" s="332"/>
      <c r="Q9" s="333"/>
      <c r="R9" s="26" t="s">
        <v>152</v>
      </c>
      <c r="S9" s="31">
        <v>0.41666666666666669</v>
      </c>
      <c r="T9" s="32">
        <v>0.67708333333333337</v>
      </c>
      <c r="U9" s="92">
        <f t="shared" si="0"/>
        <v>6.25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11263</v>
      </c>
      <c r="C10" s="28" t="s">
        <v>169</v>
      </c>
      <c r="D10" s="202" t="s">
        <v>170</v>
      </c>
      <c r="E10" s="181" t="s">
        <v>92</v>
      </c>
      <c r="F10" s="173">
        <v>1145</v>
      </c>
      <c r="G10" s="120" t="s">
        <v>124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107</v>
      </c>
      <c r="O10" s="323"/>
      <c r="P10" s="324"/>
      <c r="Q10" s="325"/>
      <c r="R10" s="280" t="s">
        <v>156</v>
      </c>
      <c r="S10" s="31">
        <v>0.45833333333333331</v>
      </c>
      <c r="T10" s="32">
        <v>0.67708333333333337</v>
      </c>
      <c r="U10" s="92">
        <f t="shared" si="0"/>
        <v>5.2500000000000018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11264</v>
      </c>
      <c r="C11" s="18" t="s">
        <v>165</v>
      </c>
      <c r="D11" s="203" t="s">
        <v>166</v>
      </c>
      <c r="E11" s="181" t="s">
        <v>92</v>
      </c>
      <c r="F11" s="66">
        <v>1145</v>
      </c>
      <c r="G11" s="121" t="s">
        <v>124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107</v>
      </c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11265</v>
      </c>
      <c r="C12" s="64" t="s">
        <v>171</v>
      </c>
      <c r="D12" s="204" t="s">
        <v>172</v>
      </c>
      <c r="E12" s="181" t="s">
        <v>92</v>
      </c>
      <c r="F12" s="173">
        <v>1200</v>
      </c>
      <c r="G12" s="119" t="s">
        <v>112</v>
      </c>
      <c r="H12" s="123">
        <v>300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107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11266</v>
      </c>
      <c r="C13" s="64" t="s">
        <v>178</v>
      </c>
      <c r="D13" s="204" t="s">
        <v>179</v>
      </c>
      <c r="E13" s="181" t="s">
        <v>92</v>
      </c>
      <c r="F13" s="173">
        <v>1315</v>
      </c>
      <c r="G13" s="119" t="s">
        <v>180</v>
      </c>
      <c r="H13" s="169">
        <v>250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107</v>
      </c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11267</v>
      </c>
      <c r="C14" s="65" t="s">
        <v>175</v>
      </c>
      <c r="D14" s="205" t="s">
        <v>176</v>
      </c>
      <c r="E14" s="181" t="s">
        <v>92</v>
      </c>
      <c r="F14" s="174">
        <v>1400</v>
      </c>
      <c r="G14" s="122" t="s">
        <v>124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107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11268</v>
      </c>
      <c r="C15" s="65" t="s">
        <v>181</v>
      </c>
      <c r="D15" s="205" t="s">
        <v>182</v>
      </c>
      <c r="E15" s="181" t="s">
        <v>92</v>
      </c>
      <c r="F15" s="174">
        <v>1500</v>
      </c>
      <c r="G15" s="122" t="s">
        <v>183</v>
      </c>
      <c r="H15" s="123">
        <v>175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107</v>
      </c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11269</v>
      </c>
      <c r="C16" s="65" t="s">
        <v>184</v>
      </c>
      <c r="D16" s="205" t="s">
        <v>185</v>
      </c>
      <c r="E16" s="181" t="s">
        <v>92</v>
      </c>
      <c r="F16" s="174">
        <v>1500</v>
      </c>
      <c r="G16" s="122" t="s">
        <v>106</v>
      </c>
      <c r="H16" s="123"/>
      <c r="I16" s="124">
        <v>65.650000000000006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107</v>
      </c>
      <c r="O16" s="301"/>
      <c r="P16" s="300"/>
      <c r="Q16" s="302"/>
      <c r="R16" s="82">
        <f>H32/U16</f>
        <v>0.30952380952380953</v>
      </c>
      <c r="S16" s="83">
        <f>H32/(U16-U5)</f>
        <v>0.38805970149253732</v>
      </c>
      <c r="T16" s="83">
        <f>C32/U16</f>
        <v>41.318095238095239</v>
      </c>
      <c r="U16" s="83">
        <f>SUM(U5:U15)</f>
        <v>42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281">
        <v>13</v>
      </c>
      <c r="B17" s="276">
        <v>11270</v>
      </c>
      <c r="C17" s="282">
        <v>9900</v>
      </c>
      <c r="D17" s="283" t="s">
        <v>186</v>
      </c>
      <c r="E17" s="270" t="s">
        <v>92</v>
      </c>
      <c r="F17" s="282">
        <v>1520</v>
      </c>
      <c r="G17" s="284" t="s">
        <v>102</v>
      </c>
      <c r="H17" s="272"/>
      <c r="I17" s="273"/>
      <c r="J17" s="273" t="str">
        <f t="shared" si="1"/>
        <v>0</v>
      </c>
      <c r="K17" s="273">
        <v>79.16</v>
      </c>
      <c r="L17" s="274"/>
      <c r="M17" s="274">
        <v>475</v>
      </c>
      <c r="N17" s="275" t="s">
        <v>109</v>
      </c>
      <c r="O17" s="367" t="s">
        <v>187</v>
      </c>
      <c r="P17" s="368"/>
      <c r="Q17" s="36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1735.3600000000001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 t="s">
        <v>173</v>
      </c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 t="s">
        <v>174</v>
      </c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1140</v>
      </c>
      <c r="I30" s="105">
        <f>SUM(I5:I29)</f>
        <v>366.20000000000005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229.16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 t="s">
        <v>177</v>
      </c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1140</v>
      </c>
      <c r="I31" s="103">
        <f t="shared" si="4"/>
        <v>366.20000000000005</v>
      </c>
      <c r="J31" s="103">
        <f t="shared" si="4"/>
        <v>0</v>
      </c>
      <c r="K31" s="103">
        <f>K30+K62+K94</f>
        <v>229.16</v>
      </c>
      <c r="L31" s="97">
        <f>L30+L62+L94</f>
        <v>0</v>
      </c>
      <c r="M31" s="97">
        <f>M30+M62+M94</f>
        <v>475</v>
      </c>
      <c r="N31" s="262">
        <f>COUNT(H5:H29,H37:H61,H69:H93)</f>
        <v>6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1140</v>
      </c>
      <c r="T31" s="340">
        <f>H31+I31+L31+M31</f>
        <v>1981.2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1735.3600000000001</v>
      </c>
      <c r="D32" s="196"/>
      <c r="E32" s="107"/>
      <c r="F32" s="362" t="s">
        <v>53</v>
      </c>
      <c r="G32" s="362"/>
      <c r="H32" s="109">
        <f>COUNT(B5:B29,B37:B61,B69:B93)</f>
        <v>13</v>
      </c>
      <c r="I32" s="363" t="s">
        <v>54</v>
      </c>
      <c r="J32" s="363"/>
      <c r="K32" s="108">
        <f>C32/H32</f>
        <v>133.48923076923077</v>
      </c>
      <c r="L32" s="260"/>
      <c r="M32" s="260"/>
      <c r="N32" s="260">
        <f>H31/C32</f>
        <v>0.65692421169094595</v>
      </c>
      <c r="O32" s="260">
        <f>I31/C32</f>
        <v>0.21102249677300389</v>
      </c>
      <c r="P32" s="260">
        <f>K31/C32</f>
        <v>0.13205329153605014</v>
      </c>
      <c r="Q32" s="110">
        <f>J31/C32</f>
        <v>0</v>
      </c>
      <c r="R32" s="99" t="s">
        <v>82</v>
      </c>
      <c r="S32" s="266">
        <f>I31+M31</f>
        <v>841.2</v>
      </c>
      <c r="T32" s="342"/>
      <c r="U32" s="343"/>
      <c r="V32" s="55"/>
      <c r="W32" s="55"/>
      <c r="X32" s="56" t="s">
        <v>27</v>
      </c>
      <c r="Y32" s="56"/>
      <c r="Z32" s="54">
        <f>I31</f>
        <v>366.20000000000005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-2378.8000000000002</v>
      </c>
      <c r="AE33" s="37"/>
      <c r="AF33" s="37"/>
      <c r="AG33" s="59"/>
      <c r="AH33" s="37"/>
    </row>
    <row r="34" spans="1:34" ht="18" thickBot="1" x14ac:dyDescent="0.45">
      <c r="A34" s="334" t="str">
        <f>A2</f>
        <v>20 - 9 - 2022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SUNNY</v>
      </c>
      <c r="K34" s="336"/>
      <c r="L34" s="338" t="s">
        <v>50</v>
      </c>
      <c r="M34" s="339"/>
      <c r="N34" s="337"/>
      <c r="O34" s="335" t="str">
        <f>O2</f>
        <v>HENDRA</v>
      </c>
      <c r="P34" s="335"/>
      <c r="Q34" s="336"/>
      <c r="R34" s="338" t="s">
        <v>51</v>
      </c>
      <c r="S34" s="337"/>
      <c r="T34" s="326">
        <f>T2</f>
        <v>6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20 - 9 - 2022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SUNNY</v>
      </c>
      <c r="K66" s="336"/>
      <c r="L66" s="338" t="s">
        <v>50</v>
      </c>
      <c r="M66" s="339"/>
      <c r="N66" s="337"/>
      <c r="O66" s="335" t="str">
        <f>O34</f>
        <v>HENDRA</v>
      </c>
      <c r="P66" s="335"/>
      <c r="Q66" s="336"/>
      <c r="R66" s="338" t="s">
        <v>51</v>
      </c>
      <c r="S66" s="337"/>
      <c r="T66" s="326">
        <f>T34</f>
        <v>6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E27" sqref="E2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188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189</v>
      </c>
      <c r="K2" s="336"/>
      <c r="L2" s="338" t="s">
        <v>96</v>
      </c>
      <c r="M2" s="339"/>
      <c r="N2" s="337"/>
      <c r="O2" s="335" t="s">
        <v>107</v>
      </c>
      <c r="P2" s="335"/>
      <c r="Q2" s="336"/>
      <c r="R2" s="338" t="s">
        <v>51</v>
      </c>
      <c r="S2" s="337"/>
      <c r="T2" s="326">
        <v>4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11271</v>
      </c>
      <c r="C5" s="68" t="s">
        <v>191</v>
      </c>
      <c r="D5" s="200" t="s">
        <v>192</v>
      </c>
      <c r="E5" s="181" t="s">
        <v>92</v>
      </c>
      <c r="F5" s="170">
        <v>920</v>
      </c>
      <c r="G5" s="118" t="s">
        <v>124</v>
      </c>
      <c r="H5" s="91"/>
      <c r="I5" s="124">
        <v>140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107</v>
      </c>
      <c r="O5" s="376" t="s">
        <v>207</v>
      </c>
      <c r="P5" s="377"/>
      <c r="Q5" s="378"/>
      <c r="R5" s="33" t="s">
        <v>107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11272</v>
      </c>
      <c r="C6" s="67" t="s">
        <v>193</v>
      </c>
      <c r="D6" s="200" t="s">
        <v>194</v>
      </c>
      <c r="E6" s="181" t="s">
        <v>92</v>
      </c>
      <c r="F6" s="171">
        <v>1125</v>
      </c>
      <c r="G6" s="118" t="s">
        <v>124</v>
      </c>
      <c r="H6" s="91"/>
      <c r="I6" s="124">
        <v>95.95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109</v>
      </c>
      <c r="O6" s="328"/>
      <c r="P6" s="329"/>
      <c r="Q6" s="330"/>
      <c r="R6" s="132" t="s">
        <v>151</v>
      </c>
      <c r="S6" s="31">
        <v>0.375</v>
      </c>
      <c r="T6" s="32">
        <v>0.66666666666666663</v>
      </c>
      <c r="U6" s="92">
        <f t="shared" si="0"/>
        <v>6.9999999999999991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11273</v>
      </c>
      <c r="C7" s="67" t="s">
        <v>195</v>
      </c>
      <c r="D7" s="200" t="s">
        <v>196</v>
      </c>
      <c r="E7" s="181" t="s">
        <v>91</v>
      </c>
      <c r="F7" s="171">
        <v>1130</v>
      </c>
      <c r="G7" s="118" t="s">
        <v>44</v>
      </c>
      <c r="H7" s="91"/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109</v>
      </c>
      <c r="O7" s="301">
        <v>202207025</v>
      </c>
      <c r="P7" s="300"/>
      <c r="Q7" s="302"/>
      <c r="R7" s="134" t="s">
        <v>109</v>
      </c>
      <c r="S7" s="31">
        <v>0.45833333333333331</v>
      </c>
      <c r="T7" s="32">
        <v>0.6875</v>
      </c>
      <c r="U7" s="92">
        <f t="shared" si="0"/>
        <v>5.5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11274</v>
      </c>
      <c r="C8" s="27" t="s">
        <v>197</v>
      </c>
      <c r="D8" s="200" t="s">
        <v>198</v>
      </c>
      <c r="E8" s="181" t="s">
        <v>91</v>
      </c>
      <c r="F8" s="171">
        <v>1130</v>
      </c>
      <c r="G8" s="118" t="s">
        <v>106</v>
      </c>
      <c r="H8" s="91">
        <v>55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107</v>
      </c>
      <c r="O8" s="331"/>
      <c r="P8" s="332"/>
      <c r="Q8" s="333"/>
      <c r="R8" s="26" t="s">
        <v>190</v>
      </c>
      <c r="S8" s="31">
        <v>0.41666666666666669</v>
      </c>
      <c r="T8" s="32">
        <v>0.45833333333333331</v>
      </c>
      <c r="U8" s="92">
        <f t="shared" si="0"/>
        <v>0.99999999999999911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11275</v>
      </c>
      <c r="C9" s="63" t="s">
        <v>199</v>
      </c>
      <c r="D9" s="201" t="s">
        <v>200</v>
      </c>
      <c r="E9" s="181" t="s">
        <v>92</v>
      </c>
      <c r="F9" s="172">
        <v>1205</v>
      </c>
      <c r="G9" s="119" t="s">
        <v>106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109</v>
      </c>
      <c r="O9" s="331"/>
      <c r="P9" s="332"/>
      <c r="Q9" s="333"/>
      <c r="R9" s="26"/>
      <c r="S9" s="31">
        <v>0.59375</v>
      </c>
      <c r="T9" s="32">
        <v>0.6875</v>
      </c>
      <c r="U9" s="92">
        <f t="shared" si="0"/>
        <v>2.25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11276</v>
      </c>
      <c r="C10" s="28" t="s">
        <v>201</v>
      </c>
      <c r="D10" s="202" t="s">
        <v>202</v>
      </c>
      <c r="E10" s="181" t="s">
        <v>92</v>
      </c>
      <c r="F10" s="173">
        <v>1345</v>
      </c>
      <c r="G10" s="120" t="s">
        <v>124</v>
      </c>
      <c r="H10" s="123"/>
      <c r="I10" s="125">
        <v>111.1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107</v>
      </c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11277</v>
      </c>
      <c r="C11" s="18" t="s">
        <v>203</v>
      </c>
      <c r="D11" s="203" t="s">
        <v>204</v>
      </c>
      <c r="E11" s="181" t="s">
        <v>92</v>
      </c>
      <c r="F11" s="66">
        <v>1400</v>
      </c>
      <c r="G11" s="121" t="s">
        <v>124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107</v>
      </c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11278</v>
      </c>
      <c r="C12" s="64" t="s">
        <v>205</v>
      </c>
      <c r="D12" s="204" t="s">
        <v>206</v>
      </c>
      <c r="E12" s="181" t="s">
        <v>92</v>
      </c>
      <c r="F12" s="173">
        <v>1410</v>
      </c>
      <c r="G12" s="119" t="s">
        <v>139</v>
      </c>
      <c r="H12" s="123"/>
      <c r="I12" s="125">
        <v>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107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11279</v>
      </c>
      <c r="C13" s="64" t="s">
        <v>210</v>
      </c>
      <c r="D13" s="204" t="s">
        <v>209</v>
      </c>
      <c r="E13" s="181" t="s">
        <v>91</v>
      </c>
      <c r="F13" s="173">
        <v>1425</v>
      </c>
      <c r="G13" s="119" t="s">
        <v>208</v>
      </c>
      <c r="H13" s="169">
        <v>150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109</v>
      </c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11280</v>
      </c>
      <c r="C14" s="65" t="s">
        <v>211</v>
      </c>
      <c r="D14" s="205" t="s">
        <v>212</v>
      </c>
      <c r="E14" s="181" t="s">
        <v>92</v>
      </c>
      <c r="F14" s="174">
        <v>1445</v>
      </c>
      <c r="G14" s="122" t="s">
        <v>213</v>
      </c>
      <c r="H14" s="123"/>
      <c r="I14" s="125">
        <v>252.5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107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0.41237113402061853</v>
      </c>
      <c r="S16" s="83">
        <f>H32/(U16-U5)</f>
        <v>0.63492063492063489</v>
      </c>
      <c r="T16" s="83">
        <f>C32/U16</f>
        <v>44.517525773195871</v>
      </c>
      <c r="U16" s="83">
        <f>SUM(U5:U15)</f>
        <v>24.25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1079.55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375</v>
      </c>
      <c r="I30" s="105">
        <f>SUM(I5:I29)</f>
        <v>649.54999999999995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375</v>
      </c>
      <c r="I31" s="103">
        <f t="shared" si="4"/>
        <v>649.54999999999995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375</v>
      </c>
      <c r="T31" s="340">
        <f>H31+I31+L31+M31</f>
        <v>1024.55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1079.55</v>
      </c>
      <c r="D32" s="196"/>
      <c r="E32" s="107"/>
      <c r="F32" s="362" t="s">
        <v>53</v>
      </c>
      <c r="G32" s="362"/>
      <c r="H32" s="109">
        <f>COUNT(B5:B29,B37:B61,B69:B93)</f>
        <v>10</v>
      </c>
      <c r="I32" s="363" t="s">
        <v>54</v>
      </c>
      <c r="J32" s="363"/>
      <c r="K32" s="108">
        <f>C32/H32</f>
        <v>107.955</v>
      </c>
      <c r="L32" s="260"/>
      <c r="M32" s="260"/>
      <c r="N32" s="260">
        <f>H31/C32</f>
        <v>0.34736695845491178</v>
      </c>
      <c r="O32" s="260">
        <f>I31/C32</f>
        <v>0.60168588763836783</v>
      </c>
      <c r="P32" s="260">
        <f>K31/C32</f>
        <v>0</v>
      </c>
      <c r="Q32" s="110">
        <f>J31/C32</f>
        <v>5.0947153906720395E-2</v>
      </c>
      <c r="R32" s="99" t="s">
        <v>82</v>
      </c>
      <c r="S32" s="266">
        <f>I31+M31</f>
        <v>649.54999999999995</v>
      </c>
      <c r="T32" s="342"/>
      <c r="U32" s="343"/>
      <c r="V32" s="55"/>
      <c r="W32" s="55"/>
      <c r="X32" s="56" t="s">
        <v>27</v>
      </c>
      <c r="Y32" s="56"/>
      <c r="Z32" s="54">
        <f>I31</f>
        <v>649.54999999999995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-2095.4499999999998</v>
      </c>
      <c r="AE33" s="37"/>
      <c r="AF33" s="37"/>
      <c r="AG33" s="59"/>
      <c r="AH33" s="37"/>
    </row>
    <row r="34" spans="1:34" ht="18" thickBot="1" x14ac:dyDescent="0.45">
      <c r="A34" s="334" t="str">
        <f>A2</f>
        <v>21 - 9 - 2022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CLOUDY</v>
      </c>
      <c r="K34" s="336"/>
      <c r="L34" s="338" t="s">
        <v>50</v>
      </c>
      <c r="M34" s="339"/>
      <c r="N34" s="337"/>
      <c r="O34" s="335" t="str">
        <f>O2</f>
        <v>HENDRA</v>
      </c>
      <c r="P34" s="335"/>
      <c r="Q34" s="336"/>
      <c r="R34" s="338" t="s">
        <v>51</v>
      </c>
      <c r="S34" s="337"/>
      <c r="T34" s="326">
        <f>T2</f>
        <v>4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21 - 9 - 2022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CLOUDY</v>
      </c>
      <c r="K66" s="336"/>
      <c r="L66" s="338" t="s">
        <v>50</v>
      </c>
      <c r="M66" s="339"/>
      <c r="N66" s="337"/>
      <c r="O66" s="335" t="str">
        <f>O34</f>
        <v>HENDRA</v>
      </c>
      <c r="P66" s="335"/>
      <c r="Q66" s="336"/>
      <c r="R66" s="338" t="s">
        <v>51</v>
      </c>
      <c r="S66" s="337"/>
      <c r="T66" s="326">
        <f>T34</f>
        <v>4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H11" sqref="H1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214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233</v>
      </c>
      <c r="K2" s="336"/>
      <c r="L2" s="338" t="s">
        <v>96</v>
      </c>
      <c r="M2" s="339"/>
      <c r="N2" s="337"/>
      <c r="O2" s="335" t="s">
        <v>98</v>
      </c>
      <c r="P2" s="335"/>
      <c r="Q2" s="336"/>
      <c r="R2" s="338" t="s">
        <v>51</v>
      </c>
      <c r="S2" s="337"/>
      <c r="T2" s="326">
        <v>2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11281</v>
      </c>
      <c r="C5" s="68" t="s">
        <v>215</v>
      </c>
      <c r="D5" s="200" t="s">
        <v>216</v>
      </c>
      <c r="E5" s="181" t="s">
        <v>217</v>
      </c>
      <c r="F5" s="170">
        <v>1015</v>
      </c>
      <c r="G5" s="118" t="s">
        <v>124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76"/>
      <c r="P5" s="377"/>
      <c r="Q5" s="378"/>
      <c r="R5" s="33" t="s">
        <v>98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11282</v>
      </c>
      <c r="C6" s="67" t="s">
        <v>218</v>
      </c>
      <c r="D6" s="200" t="s">
        <v>219</v>
      </c>
      <c r="E6" s="181" t="s">
        <v>92</v>
      </c>
      <c r="F6" s="171">
        <v>1040</v>
      </c>
      <c r="G6" s="118" t="s">
        <v>124</v>
      </c>
      <c r="H6" s="91"/>
      <c r="I6" s="124">
        <v>180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28"/>
      <c r="P6" s="329"/>
      <c r="Q6" s="330"/>
      <c r="R6" s="132" t="s">
        <v>190</v>
      </c>
      <c r="S6" s="31">
        <v>0.52083333333333337</v>
      </c>
      <c r="T6" s="32">
        <v>0.70833333333333337</v>
      </c>
      <c r="U6" s="92">
        <f t="shared" si="0"/>
        <v>4.5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11283</v>
      </c>
      <c r="C7" s="67" t="s">
        <v>220</v>
      </c>
      <c r="D7" s="200" t="s">
        <v>221</v>
      </c>
      <c r="E7" s="181" t="s">
        <v>92</v>
      </c>
      <c r="F7" s="171">
        <v>1225</v>
      </c>
      <c r="G7" s="118" t="s">
        <v>124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1"/>
      <c r="P7" s="300"/>
      <c r="Q7" s="302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11284</v>
      </c>
      <c r="C8" s="27" t="s">
        <v>222</v>
      </c>
      <c r="D8" s="200" t="s">
        <v>223</v>
      </c>
      <c r="E8" s="181" t="s">
        <v>91</v>
      </c>
      <c r="F8" s="171">
        <v>1310</v>
      </c>
      <c r="G8" s="118" t="s">
        <v>106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31"/>
      <c r="P8" s="332"/>
      <c r="Q8" s="333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11285</v>
      </c>
      <c r="C9" s="63" t="s">
        <v>224</v>
      </c>
      <c r="D9" s="201" t="s">
        <v>225</v>
      </c>
      <c r="E9" s="181" t="s">
        <v>91</v>
      </c>
      <c r="F9" s="172">
        <v>1315</v>
      </c>
      <c r="G9" s="119" t="s">
        <v>118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31"/>
      <c r="P9" s="332"/>
      <c r="Q9" s="333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11286</v>
      </c>
      <c r="C10" s="28" t="s">
        <v>231</v>
      </c>
      <c r="D10" s="202" t="s">
        <v>232</v>
      </c>
      <c r="E10" s="181" t="s">
        <v>92</v>
      </c>
      <c r="F10" s="173">
        <v>1315</v>
      </c>
      <c r="G10" s="120" t="s">
        <v>124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11287</v>
      </c>
      <c r="C11" s="18" t="s">
        <v>226</v>
      </c>
      <c r="D11" s="203" t="s">
        <v>227</v>
      </c>
      <c r="E11" s="181" t="s">
        <v>92</v>
      </c>
      <c r="F11" s="66">
        <v>1445</v>
      </c>
      <c r="G11" s="121" t="s">
        <v>102</v>
      </c>
      <c r="H11" s="123"/>
      <c r="I11" s="124"/>
      <c r="J11" s="130" t="str">
        <f t="shared" si="1"/>
        <v>0</v>
      </c>
      <c r="K11" s="130">
        <v>79.099999999999994</v>
      </c>
      <c r="L11" s="131"/>
      <c r="M11" s="131"/>
      <c r="N11" s="134" t="s">
        <v>98</v>
      </c>
      <c r="O11" s="301" t="s">
        <v>228</v>
      </c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11288</v>
      </c>
      <c r="C12" s="64" t="s">
        <v>229</v>
      </c>
      <c r="D12" s="204" t="s">
        <v>230</v>
      </c>
      <c r="E12" s="181" t="s">
        <v>91</v>
      </c>
      <c r="F12" s="173">
        <v>1525</v>
      </c>
      <c r="G12" s="119" t="s">
        <v>124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0.60377358490566035</v>
      </c>
      <c r="S16" s="83">
        <f>H32/(U16-U5)</f>
        <v>1.7777777777777777</v>
      </c>
      <c r="T16" s="83">
        <f>C32/U16</f>
        <v>63.777358490566044</v>
      </c>
      <c r="U16" s="83">
        <f>SUM(U5:U15)</f>
        <v>13.25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845.05000000000007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245</v>
      </c>
      <c r="I30" s="105">
        <f>SUM(I5:I29)</f>
        <v>520.95000000000005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245</v>
      </c>
      <c r="I31" s="103">
        <f t="shared" si="4"/>
        <v>520.95000000000005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245</v>
      </c>
      <c r="T31" s="340">
        <f>H31+I31+L31+M31</f>
        <v>765.95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845.05000000000007</v>
      </c>
      <c r="D32" s="196"/>
      <c r="E32" s="107"/>
      <c r="F32" s="362" t="s">
        <v>53</v>
      </c>
      <c r="G32" s="362"/>
      <c r="H32" s="109">
        <f>COUNT(B5:B29,B37:B61,B69:B93)</f>
        <v>8</v>
      </c>
      <c r="I32" s="363" t="s">
        <v>54</v>
      </c>
      <c r="J32" s="363"/>
      <c r="K32" s="108">
        <f>C32/H32</f>
        <v>105.63125000000001</v>
      </c>
      <c r="L32" s="260"/>
      <c r="M32" s="260"/>
      <c r="N32" s="260">
        <f>H31/C32</f>
        <v>0.28992367315543455</v>
      </c>
      <c r="O32" s="260">
        <f>I31/C32</f>
        <v>0.61647239808295362</v>
      </c>
      <c r="P32" s="260">
        <f>K31/C32</f>
        <v>9.3603928761611721E-2</v>
      </c>
      <c r="Q32" s="110">
        <f>J31/C32</f>
        <v>0</v>
      </c>
      <c r="R32" s="99" t="s">
        <v>82</v>
      </c>
      <c r="S32" s="266">
        <f>I31+M31</f>
        <v>520.95000000000005</v>
      </c>
      <c r="T32" s="342"/>
      <c r="U32" s="343"/>
      <c r="V32" s="55"/>
      <c r="W32" s="55"/>
      <c r="X32" s="56" t="s">
        <v>27</v>
      </c>
      <c r="Y32" s="56"/>
      <c r="Z32" s="54">
        <f>I31</f>
        <v>520.95000000000005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-2224.0500000000002</v>
      </c>
      <c r="AE33" s="37"/>
      <c r="AF33" s="37"/>
      <c r="AG33" s="59"/>
      <c r="AH33" s="37"/>
    </row>
    <row r="34" spans="1:34" ht="18" thickBot="1" x14ac:dyDescent="0.45">
      <c r="A34" s="334" t="str">
        <f>A2</f>
        <v>22-09-2022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SHOWER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2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22-09-2022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SHOWER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2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5" sqref="R5:R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234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233</v>
      </c>
      <c r="K2" s="336"/>
      <c r="L2" s="338" t="s">
        <v>96</v>
      </c>
      <c r="M2" s="339"/>
      <c r="N2" s="337"/>
      <c r="O2" s="335" t="s">
        <v>107</v>
      </c>
      <c r="P2" s="335"/>
      <c r="Q2" s="336"/>
      <c r="R2" s="338" t="s">
        <v>51</v>
      </c>
      <c r="S2" s="337"/>
      <c r="T2" s="326">
        <v>4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11289</v>
      </c>
      <c r="C5" s="68" t="s">
        <v>235</v>
      </c>
      <c r="D5" s="200" t="s">
        <v>236</v>
      </c>
      <c r="E5" s="181" t="s">
        <v>92</v>
      </c>
      <c r="F5" s="170">
        <v>935</v>
      </c>
      <c r="G5" s="118" t="s">
        <v>124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107</v>
      </c>
      <c r="O5" s="376"/>
      <c r="P5" s="377"/>
      <c r="Q5" s="378"/>
      <c r="R5" s="33" t="s">
        <v>107</v>
      </c>
      <c r="S5" s="31">
        <v>0.35416666666666669</v>
      </c>
      <c r="T5" s="32">
        <v>0.67708333333333337</v>
      </c>
      <c r="U5" s="92">
        <f t="shared" ref="U5:U15" si="0">(T5-S5)*24</f>
        <v>7.75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11290</v>
      </c>
      <c r="C6" s="67" t="s">
        <v>237</v>
      </c>
      <c r="D6" s="200" t="s">
        <v>238</v>
      </c>
      <c r="E6" s="181" t="s">
        <v>91</v>
      </c>
      <c r="F6" s="171">
        <v>940</v>
      </c>
      <c r="G6" s="118" t="s">
        <v>124</v>
      </c>
      <c r="H6" s="91">
        <v>50</v>
      </c>
      <c r="I6" s="124">
        <v>101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107</v>
      </c>
      <c r="O6" s="328"/>
      <c r="P6" s="329"/>
      <c r="Q6" s="330"/>
      <c r="R6" s="132" t="s">
        <v>108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11291</v>
      </c>
      <c r="C7" s="67" t="s">
        <v>239</v>
      </c>
      <c r="D7" s="200" t="s">
        <v>240</v>
      </c>
      <c r="E7" s="181" t="s">
        <v>91</v>
      </c>
      <c r="F7" s="171">
        <v>945</v>
      </c>
      <c r="G7" s="118" t="s">
        <v>118</v>
      </c>
      <c r="H7" s="91">
        <v>120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107</v>
      </c>
      <c r="O7" s="301"/>
      <c r="P7" s="300"/>
      <c r="Q7" s="302"/>
      <c r="R7" s="134" t="s">
        <v>190</v>
      </c>
      <c r="S7" s="31">
        <v>0.41666666666666669</v>
      </c>
      <c r="T7" s="32">
        <v>0.53125</v>
      </c>
      <c r="U7" s="92">
        <f t="shared" si="0"/>
        <v>2.7499999999999996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11292</v>
      </c>
      <c r="C8" s="27" t="s">
        <v>241</v>
      </c>
      <c r="D8" s="200" t="s">
        <v>242</v>
      </c>
      <c r="E8" s="181" t="s">
        <v>92</v>
      </c>
      <c r="F8" s="171">
        <v>950</v>
      </c>
      <c r="G8" s="118" t="s">
        <v>106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107</v>
      </c>
      <c r="O8" s="331"/>
      <c r="P8" s="332"/>
      <c r="Q8" s="333"/>
      <c r="R8" s="26" t="s">
        <v>109</v>
      </c>
      <c r="S8" s="31">
        <v>0.45833333333333331</v>
      </c>
      <c r="T8" s="32">
        <v>0.67708333333333337</v>
      </c>
      <c r="U8" s="92">
        <f t="shared" si="0"/>
        <v>5.2500000000000018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11293</v>
      </c>
      <c r="C9" s="63" t="s">
        <v>243</v>
      </c>
      <c r="D9" s="201" t="s">
        <v>244</v>
      </c>
      <c r="E9" s="181" t="s">
        <v>92</v>
      </c>
      <c r="F9" s="172">
        <v>1015</v>
      </c>
      <c r="G9" s="119" t="s">
        <v>245</v>
      </c>
      <c r="H9" s="91"/>
      <c r="I9" s="91"/>
      <c r="J9" s="130" t="str">
        <f t="shared" si="1"/>
        <v>0</v>
      </c>
      <c r="K9" s="130">
        <v>0</v>
      </c>
      <c r="L9" s="131"/>
      <c r="M9" s="131"/>
      <c r="N9" s="134" t="s">
        <v>107</v>
      </c>
      <c r="O9" s="331" t="s">
        <v>246</v>
      </c>
      <c r="P9" s="332"/>
      <c r="Q9" s="333"/>
      <c r="R9" s="286" t="s">
        <v>255</v>
      </c>
      <c r="S9" s="31">
        <v>0.54166666666666663</v>
      </c>
      <c r="T9" s="32">
        <v>0.66666666666666663</v>
      </c>
      <c r="U9" s="92">
        <f t="shared" si="0"/>
        <v>3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11294</v>
      </c>
      <c r="C10" s="28" t="s">
        <v>247</v>
      </c>
      <c r="D10" s="202" t="s">
        <v>248</v>
      </c>
      <c r="E10" s="181" t="s">
        <v>92</v>
      </c>
      <c r="F10" s="173">
        <v>1045</v>
      </c>
      <c r="G10" s="120" t="s">
        <v>124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107</v>
      </c>
      <c r="O10" s="323"/>
      <c r="P10" s="324"/>
      <c r="Q10" s="325"/>
      <c r="R10" s="285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11295</v>
      </c>
      <c r="C11" s="18" t="s">
        <v>249</v>
      </c>
      <c r="D11" s="203" t="s">
        <v>250</v>
      </c>
      <c r="E11" s="181" t="s">
        <v>92</v>
      </c>
      <c r="F11" s="66">
        <v>1100</v>
      </c>
      <c r="G11" s="121" t="s">
        <v>118</v>
      </c>
      <c r="H11" s="123">
        <v>100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107</v>
      </c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11296</v>
      </c>
      <c r="C12" s="64" t="s">
        <v>251</v>
      </c>
      <c r="D12" s="204" t="s">
        <v>252</v>
      </c>
      <c r="E12" s="181" t="s">
        <v>91</v>
      </c>
      <c r="F12" s="173">
        <v>1100</v>
      </c>
      <c r="G12" s="119" t="s">
        <v>124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107</v>
      </c>
      <c r="O12" s="301" t="s">
        <v>207</v>
      </c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11297</v>
      </c>
      <c r="C13" s="64" t="s">
        <v>253</v>
      </c>
      <c r="D13" s="204" t="s">
        <v>254</v>
      </c>
      <c r="E13" s="181" t="s">
        <v>91</v>
      </c>
      <c r="F13" s="173">
        <v>1130</v>
      </c>
      <c r="G13" s="119" t="s">
        <v>118</v>
      </c>
      <c r="H13" s="169">
        <v>100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107</v>
      </c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11298</v>
      </c>
      <c r="C14" s="65" t="s">
        <v>256</v>
      </c>
      <c r="D14" s="205" t="s">
        <v>257</v>
      </c>
      <c r="E14" s="181" t="s">
        <v>92</v>
      </c>
      <c r="F14" s="174">
        <v>1405</v>
      </c>
      <c r="G14" s="122" t="s">
        <v>106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109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11299</v>
      </c>
      <c r="C15" s="65" t="s">
        <v>258</v>
      </c>
      <c r="D15" s="205" t="s">
        <v>259</v>
      </c>
      <c r="E15" s="181" t="s">
        <v>91</v>
      </c>
      <c r="F15" s="174">
        <v>1415</v>
      </c>
      <c r="G15" s="122" t="s">
        <v>44</v>
      </c>
      <c r="H15" s="123"/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 t="s">
        <v>107</v>
      </c>
      <c r="O15" s="301">
        <v>202207023</v>
      </c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11300</v>
      </c>
      <c r="C16" s="65" t="s">
        <v>260</v>
      </c>
      <c r="D16" s="205" t="s">
        <v>261</v>
      </c>
      <c r="E16" s="181" t="s">
        <v>92</v>
      </c>
      <c r="F16" s="174">
        <v>1510</v>
      </c>
      <c r="G16" s="122" t="s">
        <v>124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107</v>
      </c>
      <c r="O16" s="301" t="s">
        <v>262</v>
      </c>
      <c r="P16" s="300"/>
      <c r="Q16" s="302"/>
      <c r="R16" s="82">
        <f>H32/U16</f>
        <v>0.44444444444444442</v>
      </c>
      <c r="S16" s="83">
        <f>H32/(U16-U5)</f>
        <v>0.62337662337662336</v>
      </c>
      <c r="T16" s="83">
        <f>C32/U16</f>
        <v>40.064814814814817</v>
      </c>
      <c r="U16" s="83">
        <f>SUM(U5:U15)</f>
        <v>27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1100.5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37.5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540</v>
      </c>
      <c r="I30" s="105">
        <f>SUM(I5:I29)</f>
        <v>486.75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540</v>
      </c>
      <c r="I31" s="103">
        <f t="shared" si="4"/>
        <v>486.75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540</v>
      </c>
      <c r="T31" s="340">
        <f>H31+I31+L31+M31</f>
        <v>1026.75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1081.75</v>
      </c>
      <c r="D32" s="196"/>
      <c r="E32" s="107"/>
      <c r="F32" s="362" t="s">
        <v>53</v>
      </c>
      <c r="G32" s="362"/>
      <c r="H32" s="109">
        <f>COUNT(B5:B29,B37:B61,B69:B93)</f>
        <v>12</v>
      </c>
      <c r="I32" s="363" t="s">
        <v>54</v>
      </c>
      <c r="J32" s="363"/>
      <c r="K32" s="108">
        <f>C32/H32</f>
        <v>90.145833333333329</v>
      </c>
      <c r="L32" s="260"/>
      <c r="M32" s="260"/>
      <c r="N32" s="260">
        <f>H31/C32</f>
        <v>0.49919112549110239</v>
      </c>
      <c r="O32" s="260">
        <f>I31/C32</f>
        <v>0.44996533394961868</v>
      </c>
      <c r="P32" s="260">
        <f>K31/C32</f>
        <v>0</v>
      </c>
      <c r="Q32" s="110">
        <f>J31/C32</f>
        <v>5.0843540559278949E-2</v>
      </c>
      <c r="R32" s="99" t="s">
        <v>82</v>
      </c>
      <c r="S32" s="266">
        <f>I31+M31</f>
        <v>486.75</v>
      </c>
      <c r="T32" s="342"/>
      <c r="U32" s="343"/>
      <c r="V32" s="55"/>
      <c r="W32" s="55"/>
      <c r="X32" s="56" t="s">
        <v>27</v>
      </c>
      <c r="Y32" s="56"/>
      <c r="Z32" s="54">
        <f>I31</f>
        <v>486.75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-2258.25</v>
      </c>
      <c r="AE33" s="37"/>
      <c r="AF33" s="37"/>
      <c r="AG33" s="59"/>
      <c r="AH33" s="37"/>
    </row>
    <row r="34" spans="1:34" ht="18" thickBot="1" x14ac:dyDescent="0.45">
      <c r="A34" s="334" t="str">
        <f>A2</f>
        <v>23 - 9 - 2022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SHOWER</v>
      </c>
      <c r="K34" s="336"/>
      <c r="L34" s="338" t="s">
        <v>50</v>
      </c>
      <c r="M34" s="339"/>
      <c r="N34" s="337"/>
      <c r="O34" s="335" t="str">
        <f>O2</f>
        <v>HENDRA</v>
      </c>
      <c r="P34" s="335"/>
      <c r="Q34" s="336"/>
      <c r="R34" s="338" t="s">
        <v>51</v>
      </c>
      <c r="S34" s="337"/>
      <c r="T34" s="326">
        <f>T2</f>
        <v>4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23 - 9 - 2022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SHOWER</v>
      </c>
      <c r="K66" s="336"/>
      <c r="L66" s="338" t="s">
        <v>50</v>
      </c>
      <c r="M66" s="339"/>
      <c r="N66" s="337"/>
      <c r="O66" s="335" t="str">
        <f>O34</f>
        <v>HENDRA</v>
      </c>
      <c r="P66" s="335"/>
      <c r="Q66" s="336"/>
      <c r="R66" s="338" t="s">
        <v>51</v>
      </c>
      <c r="S66" s="337"/>
      <c r="T66" s="326">
        <f>T34</f>
        <v>4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10" zoomScaleNormal="100" zoomScaleSheetLayoutView="77" workbookViewId="0">
      <selection activeCell="O21" sqref="O21:Q2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263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233</v>
      </c>
      <c r="K2" s="336"/>
      <c r="L2" s="338" t="s">
        <v>96</v>
      </c>
      <c r="M2" s="339"/>
      <c r="N2" s="337"/>
      <c r="O2" s="335" t="s">
        <v>98</v>
      </c>
      <c r="P2" s="335"/>
      <c r="Q2" s="336"/>
      <c r="R2" s="338" t="s">
        <v>51</v>
      </c>
      <c r="S2" s="337"/>
      <c r="T2" s="326">
        <v>6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11301</v>
      </c>
      <c r="C5" s="68" t="s">
        <v>265</v>
      </c>
      <c r="D5" s="200" t="s">
        <v>266</v>
      </c>
      <c r="E5" s="181" t="s">
        <v>217</v>
      </c>
      <c r="F5" s="170">
        <v>825</v>
      </c>
      <c r="G5" s="118" t="s">
        <v>102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98</v>
      </c>
      <c r="O5" s="376" t="s">
        <v>267</v>
      </c>
      <c r="P5" s="377"/>
      <c r="Q5" s="378"/>
      <c r="R5" s="33" t="s">
        <v>98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11302</v>
      </c>
      <c r="C6" s="67" t="s">
        <v>268</v>
      </c>
      <c r="D6" s="200" t="s">
        <v>269</v>
      </c>
      <c r="E6" s="181" t="s">
        <v>92</v>
      </c>
      <c r="F6" s="171">
        <v>925</v>
      </c>
      <c r="G6" s="118" t="s">
        <v>124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28"/>
      <c r="P6" s="329"/>
      <c r="Q6" s="330"/>
      <c r="R6" s="33" t="s">
        <v>107</v>
      </c>
      <c r="S6" s="31">
        <v>0.35416666666666669</v>
      </c>
      <c r="T6" s="32">
        <v>0.71875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11303</v>
      </c>
      <c r="C7" s="67" t="s">
        <v>270</v>
      </c>
      <c r="D7" s="200" t="s">
        <v>271</v>
      </c>
      <c r="E7" s="181" t="s">
        <v>92</v>
      </c>
      <c r="F7" s="171">
        <v>925</v>
      </c>
      <c r="G7" s="118" t="s">
        <v>124</v>
      </c>
      <c r="H7" s="91"/>
      <c r="I7" s="124">
        <v>100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1"/>
      <c r="P7" s="300"/>
      <c r="Q7" s="302"/>
      <c r="R7" s="132" t="s">
        <v>108</v>
      </c>
      <c r="S7" s="31">
        <v>0.33333333333333331</v>
      </c>
      <c r="T7" s="32">
        <v>0.5625</v>
      </c>
      <c r="U7" s="92">
        <f t="shared" si="0"/>
        <v>5.5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11304</v>
      </c>
      <c r="C8" s="27" t="s">
        <v>272</v>
      </c>
      <c r="D8" s="200" t="s">
        <v>273</v>
      </c>
      <c r="E8" s="181" t="s">
        <v>92</v>
      </c>
      <c r="F8" s="171">
        <v>930</v>
      </c>
      <c r="G8" s="118" t="s">
        <v>124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31"/>
      <c r="P8" s="332"/>
      <c r="Q8" s="333"/>
      <c r="R8" s="134" t="s">
        <v>190</v>
      </c>
      <c r="S8" s="31">
        <v>0.40625</v>
      </c>
      <c r="T8" s="32">
        <v>0.71875</v>
      </c>
      <c r="U8" s="92">
        <f t="shared" si="0"/>
        <v>7.5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11305</v>
      </c>
      <c r="C9" s="63" t="s">
        <v>274</v>
      </c>
      <c r="D9" s="201" t="s">
        <v>275</v>
      </c>
      <c r="E9" s="181" t="s">
        <v>91</v>
      </c>
      <c r="F9" s="172">
        <v>940</v>
      </c>
      <c r="G9" s="119" t="s">
        <v>102</v>
      </c>
      <c r="H9" s="91"/>
      <c r="I9" s="91"/>
      <c r="J9" s="130" t="str">
        <f t="shared" si="1"/>
        <v>0</v>
      </c>
      <c r="K9" s="130">
        <v>79.099999999999994</v>
      </c>
      <c r="L9" s="131"/>
      <c r="M9" s="131"/>
      <c r="N9" s="134" t="s">
        <v>98</v>
      </c>
      <c r="O9" s="331" t="s">
        <v>276</v>
      </c>
      <c r="P9" s="332"/>
      <c r="Q9" s="333"/>
      <c r="R9" s="26" t="s">
        <v>151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11306</v>
      </c>
      <c r="C10" s="28" t="s">
        <v>282</v>
      </c>
      <c r="D10" s="202" t="s">
        <v>283</v>
      </c>
      <c r="E10" s="181" t="s">
        <v>92</v>
      </c>
      <c r="F10" s="173">
        <v>1020</v>
      </c>
      <c r="G10" s="120" t="s">
        <v>106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23"/>
      <c r="P10" s="324"/>
      <c r="Q10" s="325"/>
      <c r="R10" s="26" t="s">
        <v>264</v>
      </c>
      <c r="S10" s="31">
        <v>0.42708333333333331</v>
      </c>
      <c r="T10" s="32">
        <v>0.71875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11307</v>
      </c>
      <c r="C11" s="18" t="s">
        <v>277</v>
      </c>
      <c r="D11" s="203" t="s">
        <v>278</v>
      </c>
      <c r="E11" s="181" t="s">
        <v>91</v>
      </c>
      <c r="F11" s="66">
        <v>1100</v>
      </c>
      <c r="G11" s="121" t="s">
        <v>102</v>
      </c>
      <c r="H11" s="123"/>
      <c r="I11" s="124"/>
      <c r="J11" s="130" t="str">
        <f t="shared" si="1"/>
        <v>0</v>
      </c>
      <c r="K11" s="130">
        <v>79.099999999999994</v>
      </c>
      <c r="L11" s="131"/>
      <c r="M11" s="131"/>
      <c r="N11" s="134" t="s">
        <v>98</v>
      </c>
      <c r="O11" s="301" t="s">
        <v>279</v>
      </c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11308</v>
      </c>
      <c r="C12" s="64" t="s">
        <v>284</v>
      </c>
      <c r="D12" s="204" t="s">
        <v>285</v>
      </c>
      <c r="E12" s="181" t="s">
        <v>91</v>
      </c>
      <c r="F12" s="173">
        <v>1115</v>
      </c>
      <c r="G12" s="119" t="s">
        <v>124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11309</v>
      </c>
      <c r="C13" s="64" t="s">
        <v>280</v>
      </c>
      <c r="D13" s="204" t="s">
        <v>281</v>
      </c>
      <c r="E13" s="181" t="s">
        <v>92</v>
      </c>
      <c r="F13" s="173">
        <v>1125</v>
      </c>
      <c r="G13" s="119" t="s">
        <v>139</v>
      </c>
      <c r="H13" s="169"/>
      <c r="I13" s="168">
        <v>55.55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11310</v>
      </c>
      <c r="C14" s="65" t="s">
        <v>286</v>
      </c>
      <c r="D14" s="205" t="s">
        <v>287</v>
      </c>
      <c r="E14" s="181" t="s">
        <v>91</v>
      </c>
      <c r="F14" s="174">
        <v>1130</v>
      </c>
      <c r="G14" s="122" t="s">
        <v>106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11311</v>
      </c>
      <c r="C15" s="65" t="s">
        <v>297</v>
      </c>
      <c r="D15" s="205" t="s">
        <v>298</v>
      </c>
      <c r="E15" s="181" t="s">
        <v>91</v>
      </c>
      <c r="F15" s="174">
        <v>1150</v>
      </c>
      <c r="G15" s="122" t="s">
        <v>112</v>
      </c>
      <c r="H15" s="123"/>
      <c r="I15" s="124">
        <v>580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11312</v>
      </c>
      <c r="C16" s="65" t="s">
        <v>288</v>
      </c>
      <c r="D16" s="205" t="s">
        <v>289</v>
      </c>
      <c r="E16" s="181" t="s">
        <v>91</v>
      </c>
      <c r="F16" s="174">
        <v>1155</v>
      </c>
      <c r="G16" s="122" t="s">
        <v>102</v>
      </c>
      <c r="H16" s="123"/>
      <c r="I16" s="124"/>
      <c r="J16" s="130" t="str">
        <f t="shared" si="1"/>
        <v>0</v>
      </c>
      <c r="K16" s="130">
        <v>125</v>
      </c>
      <c r="L16" s="131"/>
      <c r="M16" s="131"/>
      <c r="N16" s="134" t="s">
        <v>98</v>
      </c>
      <c r="O16" s="301" t="s">
        <v>290</v>
      </c>
      <c r="P16" s="300"/>
      <c r="Q16" s="302"/>
      <c r="R16" s="82">
        <f>H32/U16</f>
        <v>0.42458100558659218</v>
      </c>
      <c r="S16" s="83">
        <f>H32/(U16-U5)</f>
        <v>0.53146853146853146</v>
      </c>
      <c r="T16" s="83">
        <f>C32/U16</f>
        <v>58.032402234636876</v>
      </c>
      <c r="U16" s="83">
        <f>SUM(U5:U15)</f>
        <v>44.75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11313</v>
      </c>
      <c r="C17" s="18" t="s">
        <v>291</v>
      </c>
      <c r="D17" s="203" t="s">
        <v>292</v>
      </c>
      <c r="E17" s="181" t="s">
        <v>92</v>
      </c>
      <c r="F17" s="66">
        <v>1320</v>
      </c>
      <c r="G17" s="121" t="s">
        <v>121</v>
      </c>
      <c r="H17" s="123">
        <v>400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11314</v>
      </c>
      <c r="C18" s="18" t="s">
        <v>293</v>
      </c>
      <c r="D18" s="203" t="s">
        <v>294</v>
      </c>
      <c r="E18" s="181" t="s">
        <v>92</v>
      </c>
      <c r="F18" s="66">
        <v>1345</v>
      </c>
      <c r="G18" s="20" t="s">
        <v>124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11315</v>
      </c>
      <c r="C19" s="18" t="s">
        <v>295</v>
      </c>
      <c r="D19" s="203" t="s">
        <v>296</v>
      </c>
      <c r="E19" s="181" t="s">
        <v>92</v>
      </c>
      <c r="F19" s="66">
        <v>1400</v>
      </c>
      <c r="G19" s="121" t="s">
        <v>124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11316</v>
      </c>
      <c r="C20" s="18" t="s">
        <v>300</v>
      </c>
      <c r="D20" s="203" t="s">
        <v>301</v>
      </c>
      <c r="E20" s="181" t="s">
        <v>92</v>
      </c>
      <c r="F20" s="66">
        <v>1450</v>
      </c>
      <c r="G20" s="121" t="s">
        <v>302</v>
      </c>
      <c r="H20" s="123">
        <v>245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72" t="s">
        <v>303</v>
      </c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11317</v>
      </c>
      <c r="C21" s="18" t="s">
        <v>304</v>
      </c>
      <c r="D21" s="203" t="s">
        <v>305</v>
      </c>
      <c r="E21" s="181" t="s">
        <v>92</v>
      </c>
      <c r="F21" s="66">
        <v>1545</v>
      </c>
      <c r="G21" s="20" t="s">
        <v>106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11318</v>
      </c>
      <c r="C22" s="127" t="s">
        <v>306</v>
      </c>
      <c r="D22" s="206" t="s">
        <v>307</v>
      </c>
      <c r="E22" s="181" t="s">
        <v>91</v>
      </c>
      <c r="F22" s="175">
        <v>1610</v>
      </c>
      <c r="G22" s="263" t="s">
        <v>102</v>
      </c>
      <c r="H22" s="89"/>
      <c r="I22" s="141"/>
      <c r="J22" s="130" t="str">
        <f t="shared" si="1"/>
        <v>0</v>
      </c>
      <c r="K22" s="130">
        <v>79.099999999999994</v>
      </c>
      <c r="L22" s="69"/>
      <c r="M22" s="69"/>
      <c r="N22" s="134" t="s">
        <v>98</v>
      </c>
      <c r="O22" s="301" t="s">
        <v>308</v>
      </c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11319</v>
      </c>
      <c r="C23" s="136" t="s">
        <v>309</v>
      </c>
      <c r="D23" s="207" t="s">
        <v>310</v>
      </c>
      <c r="E23" s="181" t="s">
        <v>91</v>
      </c>
      <c r="F23" s="176">
        <v>1615</v>
      </c>
      <c r="G23" s="165" t="s">
        <v>124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2596.9500000000003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 t="s">
        <v>299</v>
      </c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1155</v>
      </c>
      <c r="I30" s="105">
        <f>SUM(I5:I29)</f>
        <v>1000.55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441.4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1155</v>
      </c>
      <c r="I31" s="103">
        <f t="shared" si="4"/>
        <v>1000.55</v>
      </c>
      <c r="J31" s="103">
        <f t="shared" si="4"/>
        <v>0</v>
      </c>
      <c r="K31" s="103">
        <f>K30+K62+K94</f>
        <v>441.4</v>
      </c>
      <c r="L31" s="97">
        <f>L30+L62+L94</f>
        <v>0</v>
      </c>
      <c r="M31" s="97">
        <f>M30+M62+M94</f>
        <v>0</v>
      </c>
      <c r="N31" s="262">
        <f>COUNT(H5:H29,H37:H61,H69:H93)</f>
        <v>8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1155</v>
      </c>
      <c r="T31" s="340">
        <f>H31+I31+L31+M31</f>
        <v>2155.5500000000002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2596.9500000000003</v>
      </c>
      <c r="D32" s="196"/>
      <c r="E32" s="107"/>
      <c r="F32" s="362" t="s">
        <v>53</v>
      </c>
      <c r="G32" s="362"/>
      <c r="H32" s="109">
        <f>COUNT(B5:B29,B37:B61,B69:B93)</f>
        <v>19</v>
      </c>
      <c r="I32" s="363" t="s">
        <v>54</v>
      </c>
      <c r="J32" s="363"/>
      <c r="K32" s="108">
        <f>C32/H32</f>
        <v>136.68157894736842</v>
      </c>
      <c r="L32" s="260"/>
      <c r="M32" s="260"/>
      <c r="N32" s="260">
        <f>H31/C32</f>
        <v>0.44475249812279782</v>
      </c>
      <c r="O32" s="260">
        <f>I31/C32</f>
        <v>0.38527888484568429</v>
      </c>
      <c r="P32" s="260">
        <f>K31/C32</f>
        <v>0.16996861703151772</v>
      </c>
      <c r="Q32" s="110">
        <f>J31/C32</f>
        <v>0</v>
      </c>
      <c r="R32" s="99" t="s">
        <v>82</v>
      </c>
      <c r="S32" s="266">
        <f>I31+M31</f>
        <v>1000.55</v>
      </c>
      <c r="T32" s="342"/>
      <c r="U32" s="343"/>
      <c r="V32" s="55"/>
      <c r="W32" s="55"/>
      <c r="X32" s="56" t="s">
        <v>27</v>
      </c>
      <c r="Y32" s="56"/>
      <c r="Z32" s="54">
        <f>I31</f>
        <v>1000.55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-1744.45</v>
      </c>
      <c r="AE33" s="37"/>
      <c r="AF33" s="37"/>
      <c r="AG33" s="59"/>
      <c r="AH33" s="37"/>
    </row>
    <row r="34" spans="1:34" ht="18" thickBot="1" x14ac:dyDescent="0.45">
      <c r="A34" s="334" t="str">
        <f>A2</f>
        <v>24-09-2022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SHOWER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6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24-09-2022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SHOWER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6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="80" zoomScaleNormal="80" zoomScaleSheetLayoutView="77" workbookViewId="0">
      <selection activeCell="S32" sqref="S3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8" thickBot="1" x14ac:dyDescent="0.45">
      <c r="A2" s="334" t="s">
        <v>311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149</v>
      </c>
      <c r="K2" s="336"/>
      <c r="L2" s="338" t="s">
        <v>96</v>
      </c>
      <c r="M2" s="339"/>
      <c r="N2" s="337"/>
      <c r="O2" s="335" t="s">
        <v>98</v>
      </c>
      <c r="P2" s="335"/>
      <c r="Q2" s="336"/>
      <c r="R2" s="338" t="s">
        <v>51</v>
      </c>
      <c r="S2" s="337"/>
      <c r="T2" s="326">
        <v>7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11320</v>
      </c>
      <c r="C5" s="68" t="s">
        <v>313</v>
      </c>
      <c r="D5" s="200" t="s">
        <v>314</v>
      </c>
      <c r="E5" s="181" t="s">
        <v>92</v>
      </c>
      <c r="F5" s="170">
        <v>935</v>
      </c>
      <c r="G5" s="118" t="s">
        <v>118</v>
      </c>
      <c r="H5" s="91"/>
      <c r="I5" s="124">
        <v>140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76"/>
      <c r="P5" s="377"/>
      <c r="Q5" s="378"/>
      <c r="R5" s="33" t="s">
        <v>98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11321</v>
      </c>
      <c r="C6" s="67" t="s">
        <v>315</v>
      </c>
      <c r="D6" s="200" t="s">
        <v>316</v>
      </c>
      <c r="E6" s="181" t="s">
        <v>91</v>
      </c>
      <c r="F6" s="171">
        <v>940</v>
      </c>
      <c r="G6" s="118" t="s">
        <v>124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28"/>
      <c r="P6" s="329"/>
      <c r="Q6" s="330"/>
      <c r="R6" s="33" t="s">
        <v>107</v>
      </c>
      <c r="S6" s="31">
        <v>0.35416666666666669</v>
      </c>
      <c r="T6" s="32">
        <v>0.69791666666666663</v>
      </c>
      <c r="U6" s="92">
        <f t="shared" si="0"/>
        <v>8.2499999999999982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11322</v>
      </c>
      <c r="C7" s="67" t="s">
        <v>317</v>
      </c>
      <c r="D7" s="200" t="s">
        <v>318</v>
      </c>
      <c r="E7" s="181" t="s">
        <v>91</v>
      </c>
      <c r="F7" s="171">
        <v>1000</v>
      </c>
      <c r="G7" s="118" t="s">
        <v>118</v>
      </c>
      <c r="H7" s="91"/>
      <c r="I7" s="124">
        <v>181.8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1"/>
      <c r="P7" s="300"/>
      <c r="Q7" s="302"/>
      <c r="R7" s="132" t="s">
        <v>108</v>
      </c>
      <c r="S7" s="31">
        <v>0.35416666666666669</v>
      </c>
      <c r="T7" s="32">
        <v>0.69791666666666663</v>
      </c>
      <c r="U7" s="92">
        <f t="shared" si="0"/>
        <v>8.2499999999999982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11323</v>
      </c>
      <c r="C8" s="27" t="s">
        <v>323</v>
      </c>
      <c r="D8" s="200" t="s">
        <v>324</v>
      </c>
      <c r="E8" s="181" t="s">
        <v>91</v>
      </c>
      <c r="F8" s="171">
        <v>1100</v>
      </c>
      <c r="G8" s="118" t="s">
        <v>118</v>
      </c>
      <c r="H8" s="91">
        <v>150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31"/>
      <c r="P8" s="332"/>
      <c r="Q8" s="333"/>
      <c r="R8" s="134" t="s">
        <v>190</v>
      </c>
      <c r="S8" s="31">
        <v>0.41666666666666669</v>
      </c>
      <c r="T8" s="32">
        <v>0.69791666666666663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11324</v>
      </c>
      <c r="C9" s="63" t="s">
        <v>325</v>
      </c>
      <c r="D9" s="201" t="s">
        <v>326</v>
      </c>
      <c r="E9" s="181" t="s">
        <v>91</v>
      </c>
      <c r="F9" s="172">
        <v>1110</v>
      </c>
      <c r="G9" s="119" t="s">
        <v>124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31"/>
      <c r="P9" s="332"/>
      <c r="Q9" s="333"/>
      <c r="R9" s="26" t="s">
        <v>109</v>
      </c>
      <c r="S9" s="31">
        <v>0.4375</v>
      </c>
      <c r="T9" s="32">
        <v>0.69791666666666663</v>
      </c>
      <c r="U9" s="92">
        <f t="shared" si="0"/>
        <v>6.2499999999999991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11325</v>
      </c>
      <c r="C10" s="28" t="s">
        <v>319</v>
      </c>
      <c r="D10" s="202" t="s">
        <v>320</v>
      </c>
      <c r="E10" s="181" t="s">
        <v>91</v>
      </c>
      <c r="F10" s="173">
        <v>1110</v>
      </c>
      <c r="G10" s="120" t="s">
        <v>44</v>
      </c>
      <c r="H10" s="123"/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98</v>
      </c>
      <c r="O10" s="323" t="s">
        <v>355</v>
      </c>
      <c r="P10" s="324"/>
      <c r="Q10" s="325"/>
      <c r="R10" s="26" t="s">
        <v>264</v>
      </c>
      <c r="S10" s="31">
        <v>0.46875</v>
      </c>
      <c r="T10" s="32">
        <v>0.69791666666666663</v>
      </c>
      <c r="U10" s="92">
        <f t="shared" si="0"/>
        <v>5.4999999999999991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11326</v>
      </c>
      <c r="C11" s="18" t="s">
        <v>321</v>
      </c>
      <c r="D11" s="203" t="s">
        <v>322</v>
      </c>
      <c r="E11" s="181" t="s">
        <v>91</v>
      </c>
      <c r="F11" s="66">
        <v>1125</v>
      </c>
      <c r="G11" s="121" t="s">
        <v>106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1"/>
      <c r="P11" s="300"/>
      <c r="Q11" s="302"/>
      <c r="R11" s="26" t="s">
        <v>312</v>
      </c>
      <c r="S11" s="31">
        <v>0.44791666666666669</v>
      </c>
      <c r="T11" s="32">
        <v>0.69791666666666663</v>
      </c>
      <c r="U11" s="92">
        <f t="shared" si="0"/>
        <v>5.9999999999999982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11327</v>
      </c>
      <c r="C12" s="64" t="s">
        <v>327</v>
      </c>
      <c r="D12" s="204" t="s">
        <v>328</v>
      </c>
      <c r="E12" s="181" t="s">
        <v>92</v>
      </c>
      <c r="F12" s="173">
        <v>1130</v>
      </c>
      <c r="G12" s="119" t="s">
        <v>124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11328</v>
      </c>
      <c r="C13" s="64" t="s">
        <v>329</v>
      </c>
      <c r="D13" s="204" t="s">
        <v>330</v>
      </c>
      <c r="E13" s="181" t="s">
        <v>91</v>
      </c>
      <c r="F13" s="173">
        <v>1145</v>
      </c>
      <c r="G13" s="119" t="s">
        <v>106</v>
      </c>
      <c r="H13" s="169"/>
      <c r="I13" s="168">
        <v>75.75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11329</v>
      </c>
      <c r="C14" s="65" t="s">
        <v>331</v>
      </c>
      <c r="D14" s="205" t="s">
        <v>332</v>
      </c>
      <c r="E14" s="181" t="s">
        <v>92</v>
      </c>
      <c r="F14" s="174">
        <v>1200</v>
      </c>
      <c r="G14" s="122" t="s">
        <v>180</v>
      </c>
      <c r="H14" s="123">
        <v>250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11330</v>
      </c>
      <c r="C15" s="65" t="s">
        <v>333</v>
      </c>
      <c r="D15" s="205" t="s">
        <v>334</v>
      </c>
      <c r="E15" s="181" t="s">
        <v>92</v>
      </c>
      <c r="F15" s="174">
        <v>1240</v>
      </c>
      <c r="G15" s="122" t="s">
        <v>124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11331</v>
      </c>
      <c r="C16" s="65" t="s">
        <v>335</v>
      </c>
      <c r="D16" s="205" t="s">
        <v>336</v>
      </c>
      <c r="E16" s="181" t="s">
        <v>92</v>
      </c>
      <c r="F16" s="174">
        <v>1305</v>
      </c>
      <c r="G16" s="122" t="s">
        <v>124</v>
      </c>
      <c r="H16" s="123"/>
      <c r="I16" s="124">
        <v>95.95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1"/>
      <c r="P16" s="300"/>
      <c r="Q16" s="302"/>
      <c r="R16" s="82">
        <f>H32/U16</f>
        <v>0.4020100502512563</v>
      </c>
      <c r="S16" s="83">
        <f>H32/(U16-U5)</f>
        <v>0.48780487804878048</v>
      </c>
      <c r="T16" s="83">
        <f>C32/U16</f>
        <v>47.688442211055275</v>
      </c>
      <c r="U16" s="83">
        <f>SUM(U5:U15)</f>
        <v>49.75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11332</v>
      </c>
      <c r="C17" s="18" t="s">
        <v>337</v>
      </c>
      <c r="D17" s="203" t="s">
        <v>338</v>
      </c>
      <c r="E17" s="181" t="s">
        <v>92</v>
      </c>
      <c r="F17" s="66">
        <v>1310</v>
      </c>
      <c r="G17" s="121" t="s">
        <v>124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11333</v>
      </c>
      <c r="C18" s="18" t="s">
        <v>339</v>
      </c>
      <c r="D18" s="203" t="s">
        <v>340</v>
      </c>
      <c r="E18" s="181" t="s">
        <v>92</v>
      </c>
      <c r="F18" s="66">
        <v>1330</v>
      </c>
      <c r="G18" s="20" t="s">
        <v>44</v>
      </c>
      <c r="H18" s="123"/>
      <c r="I18" s="124"/>
      <c r="J18" s="130" t="str">
        <f t="shared" si="1"/>
        <v>55</v>
      </c>
      <c r="K18" s="130" t="str">
        <f t="shared" si="2"/>
        <v>0</v>
      </c>
      <c r="L18" s="131"/>
      <c r="M18" s="131"/>
      <c r="N18" s="134" t="s">
        <v>98</v>
      </c>
      <c r="O18" s="301" t="s">
        <v>356</v>
      </c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276">
        <v>11334</v>
      </c>
      <c r="C19" s="287" t="s">
        <v>341</v>
      </c>
      <c r="D19" s="283" t="s">
        <v>342</v>
      </c>
      <c r="E19" s="270" t="s">
        <v>92</v>
      </c>
      <c r="F19" s="282">
        <v>1400</v>
      </c>
      <c r="G19" s="284" t="s">
        <v>135</v>
      </c>
      <c r="H19" s="272"/>
      <c r="I19" s="273"/>
      <c r="J19" s="273" t="str">
        <f t="shared" si="1"/>
        <v>0</v>
      </c>
      <c r="K19" s="273">
        <v>62.5</v>
      </c>
      <c r="L19" s="274">
        <v>350</v>
      </c>
      <c r="M19" s="274"/>
      <c r="N19" s="275" t="s">
        <v>98</v>
      </c>
      <c r="O19" s="367" t="s">
        <v>343</v>
      </c>
      <c r="P19" s="368"/>
      <c r="Q19" s="368"/>
      <c r="R19" s="93" t="s">
        <v>45</v>
      </c>
      <c r="S19" s="94">
        <f>COUNT(L5:M29,L37:M61,L69:M93)</f>
        <v>1</v>
      </c>
      <c r="T19" s="116">
        <f>SUM(L5:M29,L37:M61,L69:M93)</f>
        <v>350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11335</v>
      </c>
      <c r="C20" s="18" t="s">
        <v>344</v>
      </c>
      <c r="D20" s="203" t="s">
        <v>345</v>
      </c>
      <c r="E20" s="181" t="s">
        <v>92</v>
      </c>
      <c r="F20" s="66">
        <v>1400</v>
      </c>
      <c r="G20" s="121" t="s">
        <v>106</v>
      </c>
      <c r="H20" s="123"/>
      <c r="I20" s="8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72"/>
      <c r="P20" s="373"/>
      <c r="Q20" s="37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11336</v>
      </c>
      <c r="C21" s="18" t="s">
        <v>348</v>
      </c>
      <c r="D21" s="203" t="s">
        <v>349</v>
      </c>
      <c r="E21" s="181" t="s">
        <v>92</v>
      </c>
      <c r="F21" s="66">
        <v>1420</v>
      </c>
      <c r="G21" s="20" t="s">
        <v>124</v>
      </c>
      <c r="H21" s="123">
        <v>115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11337</v>
      </c>
      <c r="C22" s="127" t="s">
        <v>346</v>
      </c>
      <c r="D22" s="206" t="s">
        <v>347</v>
      </c>
      <c r="E22" s="181" t="s">
        <v>91</v>
      </c>
      <c r="F22" s="175">
        <v>1425</v>
      </c>
      <c r="G22" s="263" t="s">
        <v>118</v>
      </c>
      <c r="H22" s="89"/>
      <c r="I22" s="141">
        <v>151.5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11338</v>
      </c>
      <c r="C23" s="136" t="s">
        <v>350</v>
      </c>
      <c r="D23" s="207" t="s">
        <v>351</v>
      </c>
      <c r="E23" s="181" t="s">
        <v>91</v>
      </c>
      <c r="F23" s="176">
        <v>1425</v>
      </c>
      <c r="G23" s="165" t="s">
        <v>106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70"/>
      <c r="Y23" s="371"/>
      <c r="Z23" s="37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11339</v>
      </c>
      <c r="C24" s="127" t="s">
        <v>352</v>
      </c>
      <c r="D24" s="206" t="s">
        <v>353</v>
      </c>
      <c r="E24" s="181" t="s">
        <v>91</v>
      </c>
      <c r="F24" s="175">
        <v>1500</v>
      </c>
      <c r="G24" s="263" t="s">
        <v>354</v>
      </c>
      <c r="H24" s="89"/>
      <c r="I24" s="141">
        <v>380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98</v>
      </c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4">
        <f>((C32+(R26+S26+T26)*0.5))</f>
        <v>2372.5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1100</v>
      </c>
      <c r="I30" s="105">
        <f>SUM(I5:I29)</f>
        <v>1100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62.5</v>
      </c>
      <c r="L30" s="106">
        <f t="shared" si="3"/>
        <v>350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1100</v>
      </c>
      <c r="I31" s="103">
        <f t="shared" si="4"/>
        <v>1100</v>
      </c>
      <c r="J31" s="103">
        <f t="shared" si="4"/>
        <v>110</v>
      </c>
      <c r="K31" s="103">
        <f>K30+K62+K94</f>
        <v>62.5</v>
      </c>
      <c r="L31" s="97">
        <f>L30+L62+L94</f>
        <v>350</v>
      </c>
      <c r="M31" s="97">
        <f>M30+M62+M94</f>
        <v>0</v>
      </c>
      <c r="N31" s="262">
        <f>COUNT(H5:H29,H37:H61,H69:H93)</f>
        <v>10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1450</v>
      </c>
      <c r="T31" s="340">
        <f>H31+I31+L31+M31</f>
        <v>2550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0" t="s">
        <v>55</v>
      </c>
      <c r="B32" s="361"/>
      <c r="C32" s="107">
        <f>H31+I31+J31+K31</f>
        <v>2372.5</v>
      </c>
      <c r="D32" s="196"/>
      <c r="E32" s="107"/>
      <c r="F32" s="362" t="s">
        <v>53</v>
      </c>
      <c r="G32" s="362"/>
      <c r="H32" s="109">
        <f>COUNT(B5:B29,B37:B61,B69:B93)</f>
        <v>20</v>
      </c>
      <c r="I32" s="363" t="s">
        <v>54</v>
      </c>
      <c r="J32" s="363"/>
      <c r="K32" s="108">
        <f>C32/H32</f>
        <v>118.625</v>
      </c>
      <c r="L32" s="260"/>
      <c r="M32" s="260"/>
      <c r="N32" s="260">
        <f>H31/C32</f>
        <v>0.46364594309799789</v>
      </c>
      <c r="O32" s="260">
        <f>I31/C32</f>
        <v>0.46364594309799789</v>
      </c>
      <c r="P32" s="260">
        <f>K31/C32</f>
        <v>2.6343519494204427E-2</v>
      </c>
      <c r="Q32" s="110">
        <f>J31/C32</f>
        <v>4.6364594309799792E-2</v>
      </c>
      <c r="R32" s="99" t="s">
        <v>82</v>
      </c>
      <c r="S32" s="266">
        <f>I31+M31</f>
        <v>1100</v>
      </c>
      <c r="T32" s="342"/>
      <c r="U32" s="343"/>
      <c r="V32" s="55"/>
      <c r="W32" s="55"/>
      <c r="X32" s="56" t="s">
        <v>27</v>
      </c>
      <c r="Y32" s="56"/>
      <c r="Z32" s="54">
        <f>I31</f>
        <v>1100</v>
      </c>
      <c r="AE32" s="37"/>
      <c r="AF32" s="37"/>
      <c r="AG32" s="37"/>
      <c r="AH32" s="37"/>
    </row>
    <row r="33" spans="1:34" ht="18" thickBot="1" x14ac:dyDescent="0.4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-1645</v>
      </c>
      <c r="AE33" s="37"/>
      <c r="AF33" s="37"/>
      <c r="AG33" s="59"/>
      <c r="AH33" s="37"/>
    </row>
    <row r="34" spans="1:34" ht="18" thickBot="1" x14ac:dyDescent="0.45">
      <c r="A34" s="334" t="str">
        <f>A2</f>
        <v>25-09-2022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SUNNY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7</v>
      </c>
      <c r="U34" s="32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4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8" thickBot="1" x14ac:dyDescent="0.4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8" thickBot="1" x14ac:dyDescent="0.4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8" thickBot="1" x14ac:dyDescent="0.4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8" thickBot="1" x14ac:dyDescent="0.45">
      <c r="A66" s="334" t="str">
        <f>A34</f>
        <v>25-09-2022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SUNNY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7</v>
      </c>
      <c r="U66" s="32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4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8" thickBot="1" x14ac:dyDescent="0.4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8" thickBot="1" x14ac:dyDescent="0.4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6" workbookViewId="0">
      <selection activeCell="H24" sqref="H24:K24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607"/>
      <c r="B1" s="607"/>
      <c r="C1" s="607"/>
      <c r="D1" s="607"/>
      <c r="E1" s="606" t="s">
        <v>59</v>
      </c>
      <c r="F1" s="606"/>
      <c r="G1" s="606"/>
      <c r="H1" s="606" t="s">
        <v>60</v>
      </c>
      <c r="I1" s="606"/>
      <c r="J1" s="606"/>
      <c r="K1" s="606"/>
      <c r="L1" s="606" t="s">
        <v>61</v>
      </c>
      <c r="M1" s="606"/>
      <c r="N1" s="606"/>
      <c r="O1" s="606"/>
      <c r="P1" s="606"/>
      <c r="Q1" s="606" t="s">
        <v>62</v>
      </c>
      <c r="R1" s="606"/>
      <c r="S1" s="606"/>
      <c r="T1" s="606"/>
      <c r="U1" s="606"/>
      <c r="V1" s="606" t="s">
        <v>63</v>
      </c>
      <c r="W1" s="606"/>
      <c r="X1" s="606"/>
      <c r="Y1" s="606"/>
      <c r="Z1" s="606"/>
      <c r="AA1" s="606" t="s">
        <v>64</v>
      </c>
      <c r="AB1" s="606"/>
      <c r="AC1" s="606"/>
      <c r="AD1" s="606"/>
    </row>
    <row r="2" spans="1:30" ht="20.100000000000001" customHeight="1" x14ac:dyDescent="0.4">
      <c r="A2" s="687" t="s">
        <v>66</v>
      </c>
      <c r="B2" s="498" t="s">
        <v>57</v>
      </c>
      <c r="C2" s="498"/>
      <c r="D2" s="522"/>
      <c r="E2" s="522">
        <f>MON!N31</f>
        <v>5</v>
      </c>
      <c r="F2" s="522"/>
      <c r="G2" s="522"/>
      <c r="H2" s="491">
        <f>MON!S31</f>
        <v>1180</v>
      </c>
      <c r="I2" s="491"/>
      <c r="J2" s="491"/>
      <c r="K2" s="491"/>
      <c r="L2" s="492">
        <f>MON!N32</f>
        <v>0.19596720127894382</v>
      </c>
      <c r="M2" s="492"/>
      <c r="N2" s="492"/>
      <c r="O2" s="492"/>
      <c r="P2" s="492"/>
      <c r="Q2" s="552">
        <f>SUM(E2:G5)</f>
        <v>17</v>
      </c>
      <c r="R2" s="553"/>
      <c r="S2" s="553"/>
      <c r="T2" s="553"/>
      <c r="U2" s="554"/>
      <c r="V2" s="617">
        <f>SUM(H2,H3,H5)</f>
        <v>2460.1000000000004</v>
      </c>
      <c r="W2" s="618"/>
      <c r="X2" s="618"/>
      <c r="Y2" s="618"/>
      <c r="Z2" s="619"/>
      <c r="AA2" s="626">
        <f>V2/Q2</f>
        <v>144.71176470588239</v>
      </c>
      <c r="AB2" s="627"/>
      <c r="AC2" s="627"/>
      <c r="AD2" s="628"/>
    </row>
    <row r="3" spans="1:30" ht="20.100000000000001" customHeight="1" x14ac:dyDescent="0.4">
      <c r="A3" s="688"/>
      <c r="B3" s="498" t="s">
        <v>58</v>
      </c>
      <c r="C3" s="498"/>
      <c r="D3" s="522"/>
      <c r="E3" s="522">
        <f>MON!O31</f>
        <v>6</v>
      </c>
      <c r="F3" s="522"/>
      <c r="G3" s="522"/>
      <c r="H3" s="491">
        <f>MON!S32</f>
        <v>1170.1000000000001</v>
      </c>
      <c r="I3" s="491"/>
      <c r="J3" s="491"/>
      <c r="K3" s="491"/>
      <c r="L3" s="492">
        <f>MON!O32</f>
        <v>0.60342426899076895</v>
      </c>
      <c r="M3" s="492"/>
      <c r="N3" s="492"/>
      <c r="O3" s="492"/>
      <c r="P3" s="492"/>
      <c r="Q3" s="555"/>
      <c r="R3" s="556"/>
      <c r="S3" s="556"/>
      <c r="T3" s="556"/>
      <c r="U3" s="557"/>
      <c r="V3" s="620"/>
      <c r="W3" s="621"/>
      <c r="X3" s="621"/>
      <c r="Y3" s="621"/>
      <c r="Z3" s="622"/>
      <c r="AA3" s="629"/>
      <c r="AB3" s="630"/>
      <c r="AC3" s="630"/>
      <c r="AD3" s="631"/>
    </row>
    <row r="4" spans="1:30" ht="20.100000000000001" customHeight="1" x14ac:dyDescent="0.4">
      <c r="A4" s="688"/>
      <c r="B4" s="498" t="s">
        <v>45</v>
      </c>
      <c r="C4" s="498"/>
      <c r="D4" s="522"/>
      <c r="E4" s="522">
        <f>MON!P31</f>
        <v>4</v>
      </c>
      <c r="F4" s="522"/>
      <c r="G4" s="522"/>
      <c r="H4" s="491">
        <f>MON!K31</f>
        <v>279</v>
      </c>
      <c r="I4" s="491"/>
      <c r="J4" s="491"/>
      <c r="K4" s="491"/>
      <c r="L4" s="492">
        <f>MON!P32</f>
        <v>0.1438811819916456</v>
      </c>
      <c r="M4" s="492"/>
      <c r="N4" s="492"/>
      <c r="O4" s="492"/>
      <c r="P4" s="492"/>
      <c r="Q4" s="555"/>
      <c r="R4" s="556"/>
      <c r="S4" s="556"/>
      <c r="T4" s="556"/>
      <c r="U4" s="557"/>
      <c r="V4" s="620"/>
      <c r="W4" s="621"/>
      <c r="X4" s="621"/>
      <c r="Y4" s="621"/>
      <c r="Z4" s="622"/>
      <c r="AA4" s="629"/>
      <c r="AB4" s="630"/>
      <c r="AC4" s="630"/>
      <c r="AD4" s="631"/>
    </row>
    <row r="5" spans="1:30" ht="20.100000000000001" customHeight="1" x14ac:dyDescent="0.4">
      <c r="A5" s="688"/>
      <c r="B5" s="496" t="s">
        <v>65</v>
      </c>
      <c r="C5" s="497"/>
      <c r="D5" s="498"/>
      <c r="E5" s="496">
        <f>MON!Q31</f>
        <v>2</v>
      </c>
      <c r="F5" s="497"/>
      <c r="G5" s="498"/>
      <c r="H5" s="544">
        <f>MON!J31</f>
        <v>110</v>
      </c>
      <c r="I5" s="545"/>
      <c r="J5" s="545"/>
      <c r="K5" s="546"/>
      <c r="L5" s="547">
        <f>MON!Q32</f>
        <v>5.6727347738641631E-2</v>
      </c>
      <c r="M5" s="548"/>
      <c r="N5" s="548"/>
      <c r="O5" s="548"/>
      <c r="P5" s="549"/>
      <c r="Q5" s="558"/>
      <c r="R5" s="559"/>
      <c r="S5" s="559"/>
      <c r="T5" s="559"/>
      <c r="U5" s="560"/>
      <c r="V5" s="623"/>
      <c r="W5" s="624"/>
      <c r="X5" s="624"/>
      <c r="Y5" s="624"/>
      <c r="Z5" s="625"/>
      <c r="AA5" s="632"/>
      <c r="AB5" s="633"/>
      <c r="AC5" s="633"/>
      <c r="AD5" s="634"/>
    </row>
    <row r="6" spans="1:30" ht="20.100000000000001" customHeight="1" x14ac:dyDescent="0.4">
      <c r="A6" s="689"/>
      <c r="B6" s="496" t="s">
        <v>94</v>
      </c>
      <c r="C6" s="497"/>
      <c r="D6" s="498"/>
      <c r="E6" s="496">
        <f>MON!U16</f>
        <v>36</v>
      </c>
      <c r="F6" s="497"/>
      <c r="G6" s="498"/>
      <c r="H6" s="544" t="s">
        <v>95</v>
      </c>
      <c r="I6" s="545"/>
      <c r="J6" s="545"/>
      <c r="K6" s="546"/>
      <c r="L6" s="600">
        <f>MON!T2</f>
        <v>5</v>
      </c>
      <c r="M6" s="601"/>
      <c r="N6" s="601"/>
      <c r="O6" s="601"/>
      <c r="P6" s="602"/>
      <c r="Q6" s="603"/>
      <c r="R6" s="604"/>
      <c r="S6" s="604"/>
      <c r="T6" s="604"/>
      <c r="U6" s="605"/>
      <c r="V6" s="708"/>
      <c r="W6" s="709"/>
      <c r="X6" s="709"/>
      <c r="Y6" s="709"/>
      <c r="Z6" s="710"/>
      <c r="AA6" s="711"/>
      <c r="AB6" s="712"/>
      <c r="AC6" s="712"/>
      <c r="AD6" s="713"/>
    </row>
    <row r="7" spans="1:30" ht="20.100000000000001" customHeight="1" x14ac:dyDescent="0.4">
      <c r="A7" s="690" t="s">
        <v>67</v>
      </c>
      <c r="B7" s="514" t="s">
        <v>57</v>
      </c>
      <c r="C7" s="514"/>
      <c r="D7" s="515"/>
      <c r="E7" s="515">
        <f>TUE!N31</f>
        <v>6</v>
      </c>
      <c r="F7" s="515"/>
      <c r="G7" s="515"/>
      <c r="H7" s="493">
        <f>TUE!S31</f>
        <v>1140</v>
      </c>
      <c r="I7" s="493"/>
      <c r="J7" s="493"/>
      <c r="K7" s="493"/>
      <c r="L7" s="506">
        <f>TUE!N32</f>
        <v>0.65692421169094595</v>
      </c>
      <c r="M7" s="507"/>
      <c r="N7" s="507"/>
      <c r="O7" s="507"/>
      <c r="P7" s="508"/>
      <c r="Q7" s="582">
        <f>SUM(E7:G10)</f>
        <v>13</v>
      </c>
      <c r="R7" s="583"/>
      <c r="S7" s="583"/>
      <c r="T7" s="583"/>
      <c r="U7" s="584"/>
      <c r="V7" s="608">
        <f>SUM(H7,H8,H10)</f>
        <v>1981.2</v>
      </c>
      <c r="W7" s="609"/>
      <c r="X7" s="609"/>
      <c r="Y7" s="609"/>
      <c r="Z7" s="610"/>
      <c r="AA7" s="635">
        <f>V7/Q7</f>
        <v>152.4</v>
      </c>
      <c r="AB7" s="636"/>
      <c r="AC7" s="636"/>
      <c r="AD7" s="637"/>
    </row>
    <row r="8" spans="1:30" ht="20.100000000000001" customHeight="1" x14ac:dyDescent="0.4">
      <c r="A8" s="691"/>
      <c r="B8" s="514" t="s">
        <v>58</v>
      </c>
      <c r="C8" s="514"/>
      <c r="D8" s="515"/>
      <c r="E8" s="515">
        <f>TUE!O31</f>
        <v>5</v>
      </c>
      <c r="F8" s="515"/>
      <c r="G8" s="515"/>
      <c r="H8" s="493">
        <f>TUE!S32</f>
        <v>841.2</v>
      </c>
      <c r="I8" s="493"/>
      <c r="J8" s="493"/>
      <c r="K8" s="493"/>
      <c r="L8" s="506">
        <f>TUE!O32</f>
        <v>0.21102249677300389</v>
      </c>
      <c r="M8" s="507"/>
      <c r="N8" s="507"/>
      <c r="O8" s="507"/>
      <c r="P8" s="508"/>
      <c r="Q8" s="585"/>
      <c r="R8" s="586"/>
      <c r="S8" s="586"/>
      <c r="T8" s="586"/>
      <c r="U8" s="587"/>
      <c r="V8" s="611"/>
      <c r="W8" s="612"/>
      <c r="X8" s="612"/>
      <c r="Y8" s="612"/>
      <c r="Z8" s="613"/>
      <c r="AA8" s="638"/>
      <c r="AB8" s="639"/>
      <c r="AC8" s="639"/>
      <c r="AD8" s="640"/>
    </row>
    <row r="9" spans="1:30" ht="20.100000000000001" customHeight="1" x14ac:dyDescent="0.4">
      <c r="A9" s="691"/>
      <c r="B9" s="514" t="s">
        <v>45</v>
      </c>
      <c r="C9" s="514"/>
      <c r="D9" s="515"/>
      <c r="E9" s="515">
        <f>TUE!P31</f>
        <v>2</v>
      </c>
      <c r="F9" s="515"/>
      <c r="G9" s="515"/>
      <c r="H9" s="493">
        <f>TUE!K31</f>
        <v>229.16</v>
      </c>
      <c r="I9" s="493"/>
      <c r="J9" s="493"/>
      <c r="K9" s="493"/>
      <c r="L9" s="506">
        <f>TUE!P32</f>
        <v>0.13205329153605014</v>
      </c>
      <c r="M9" s="507"/>
      <c r="N9" s="507"/>
      <c r="O9" s="507"/>
      <c r="P9" s="508"/>
      <c r="Q9" s="585"/>
      <c r="R9" s="586"/>
      <c r="S9" s="586"/>
      <c r="T9" s="586"/>
      <c r="U9" s="587"/>
      <c r="V9" s="611"/>
      <c r="W9" s="612"/>
      <c r="X9" s="612"/>
      <c r="Y9" s="612"/>
      <c r="Z9" s="613"/>
      <c r="AA9" s="638"/>
      <c r="AB9" s="639"/>
      <c r="AC9" s="639"/>
      <c r="AD9" s="640"/>
    </row>
    <row r="10" spans="1:30" ht="20.100000000000001" customHeight="1" x14ac:dyDescent="0.4">
      <c r="A10" s="691"/>
      <c r="B10" s="550" t="s">
        <v>65</v>
      </c>
      <c r="C10" s="551"/>
      <c r="D10" s="514"/>
      <c r="E10" s="550">
        <f>TUE!Q31</f>
        <v>0</v>
      </c>
      <c r="F10" s="551"/>
      <c r="G10" s="514"/>
      <c r="H10" s="523">
        <f>TUE!J31</f>
        <v>0</v>
      </c>
      <c r="I10" s="524"/>
      <c r="J10" s="524"/>
      <c r="K10" s="525"/>
      <c r="L10" s="506">
        <f>TUE!Q32</f>
        <v>0</v>
      </c>
      <c r="M10" s="507"/>
      <c r="N10" s="507"/>
      <c r="O10" s="507"/>
      <c r="P10" s="508"/>
      <c r="Q10" s="588"/>
      <c r="R10" s="589"/>
      <c r="S10" s="589"/>
      <c r="T10" s="589"/>
      <c r="U10" s="590"/>
      <c r="V10" s="614"/>
      <c r="W10" s="615"/>
      <c r="X10" s="615"/>
      <c r="Y10" s="615"/>
      <c r="Z10" s="616"/>
      <c r="AA10" s="641"/>
      <c r="AB10" s="642"/>
      <c r="AC10" s="642"/>
      <c r="AD10" s="643"/>
    </row>
    <row r="11" spans="1:30" ht="20.100000000000001" customHeight="1" x14ac:dyDescent="0.4">
      <c r="A11" s="692"/>
      <c r="B11" s="550" t="s">
        <v>94</v>
      </c>
      <c r="C11" s="551"/>
      <c r="D11" s="514"/>
      <c r="E11" s="550">
        <f>TUE!U16</f>
        <v>42</v>
      </c>
      <c r="F11" s="551"/>
      <c r="G11" s="514"/>
      <c r="H11" s="523" t="s">
        <v>95</v>
      </c>
      <c r="I11" s="524"/>
      <c r="J11" s="524"/>
      <c r="K11" s="525"/>
      <c r="L11" s="714">
        <f>TUE!T2</f>
        <v>6</v>
      </c>
      <c r="M11" s="715"/>
      <c r="N11" s="715"/>
      <c r="O11" s="715"/>
      <c r="P11" s="716"/>
      <c r="Q11" s="717"/>
      <c r="R11" s="718"/>
      <c r="S11" s="718"/>
      <c r="T11" s="718"/>
      <c r="U11" s="719"/>
      <c r="V11" s="720"/>
      <c r="W11" s="721"/>
      <c r="X11" s="721"/>
      <c r="Y11" s="721"/>
      <c r="Z11" s="722"/>
      <c r="AA11" s="723"/>
      <c r="AB11" s="724"/>
      <c r="AC11" s="724"/>
      <c r="AD11" s="725"/>
    </row>
    <row r="12" spans="1:30" ht="20.100000000000001" customHeight="1" x14ac:dyDescent="0.4">
      <c r="A12" s="693" t="s">
        <v>68</v>
      </c>
      <c r="B12" s="499" t="s">
        <v>57</v>
      </c>
      <c r="C12" s="499"/>
      <c r="D12" s="310"/>
      <c r="E12" s="310">
        <f>WED!N31</f>
        <v>4</v>
      </c>
      <c r="F12" s="310"/>
      <c r="G12" s="310"/>
      <c r="H12" s="500">
        <f>WED!S31</f>
        <v>375</v>
      </c>
      <c r="I12" s="501"/>
      <c r="J12" s="501"/>
      <c r="K12" s="502"/>
      <c r="L12" s="503">
        <f>WED!N32</f>
        <v>0.34736695845491178</v>
      </c>
      <c r="M12" s="504"/>
      <c r="N12" s="504"/>
      <c r="O12" s="504"/>
      <c r="P12" s="505"/>
      <c r="Q12" s="561">
        <f>SUM(E12:G15)</f>
        <v>10</v>
      </c>
      <c r="R12" s="562"/>
      <c r="S12" s="562"/>
      <c r="T12" s="562"/>
      <c r="U12" s="563"/>
      <c r="V12" s="735">
        <f>SUM(H12,H13,H15)</f>
        <v>1079.55</v>
      </c>
      <c r="W12" s="736"/>
      <c r="X12" s="736"/>
      <c r="Y12" s="736"/>
      <c r="Z12" s="737"/>
      <c r="AA12" s="726">
        <f>V12/Q12</f>
        <v>107.955</v>
      </c>
      <c r="AB12" s="727"/>
      <c r="AC12" s="727"/>
      <c r="AD12" s="728"/>
    </row>
    <row r="13" spans="1:30" ht="20.100000000000001" customHeight="1" x14ac:dyDescent="0.4">
      <c r="A13" s="694"/>
      <c r="B13" s="499" t="s">
        <v>58</v>
      </c>
      <c r="C13" s="499"/>
      <c r="D13" s="310"/>
      <c r="E13" s="310">
        <f>WED!O31</f>
        <v>5</v>
      </c>
      <c r="F13" s="310"/>
      <c r="G13" s="310"/>
      <c r="H13" s="500">
        <f>WED!S32</f>
        <v>649.54999999999995</v>
      </c>
      <c r="I13" s="501"/>
      <c r="J13" s="501"/>
      <c r="K13" s="502"/>
      <c r="L13" s="503">
        <f>WED!O32</f>
        <v>0.60168588763836783</v>
      </c>
      <c r="M13" s="504"/>
      <c r="N13" s="504"/>
      <c r="O13" s="504"/>
      <c r="P13" s="505"/>
      <c r="Q13" s="564"/>
      <c r="R13" s="565"/>
      <c r="S13" s="565"/>
      <c r="T13" s="565"/>
      <c r="U13" s="566"/>
      <c r="V13" s="738"/>
      <c r="W13" s="739"/>
      <c r="X13" s="739"/>
      <c r="Y13" s="739"/>
      <c r="Z13" s="740"/>
      <c r="AA13" s="729"/>
      <c r="AB13" s="730"/>
      <c r="AC13" s="730"/>
      <c r="AD13" s="731"/>
    </row>
    <row r="14" spans="1:30" ht="20.100000000000001" customHeight="1" x14ac:dyDescent="0.4">
      <c r="A14" s="694"/>
      <c r="B14" s="499" t="s">
        <v>45</v>
      </c>
      <c r="C14" s="499"/>
      <c r="D14" s="310"/>
      <c r="E14" s="310">
        <f>WED!P31</f>
        <v>0</v>
      </c>
      <c r="F14" s="310"/>
      <c r="G14" s="310"/>
      <c r="H14" s="500">
        <f>WED!K31</f>
        <v>0</v>
      </c>
      <c r="I14" s="501"/>
      <c r="J14" s="501"/>
      <c r="K14" s="502"/>
      <c r="L14" s="503">
        <f>WED!P32</f>
        <v>0</v>
      </c>
      <c r="M14" s="504"/>
      <c r="N14" s="504"/>
      <c r="O14" s="504"/>
      <c r="P14" s="505"/>
      <c r="Q14" s="564"/>
      <c r="R14" s="565"/>
      <c r="S14" s="565"/>
      <c r="T14" s="565"/>
      <c r="U14" s="566"/>
      <c r="V14" s="738"/>
      <c r="W14" s="739"/>
      <c r="X14" s="739"/>
      <c r="Y14" s="739"/>
      <c r="Z14" s="740"/>
      <c r="AA14" s="729"/>
      <c r="AB14" s="730"/>
      <c r="AC14" s="730"/>
      <c r="AD14" s="731"/>
    </row>
    <row r="15" spans="1:30" ht="20.100000000000001" customHeight="1" x14ac:dyDescent="0.4">
      <c r="A15" s="694"/>
      <c r="B15" s="516" t="s">
        <v>65</v>
      </c>
      <c r="C15" s="517"/>
      <c r="D15" s="499"/>
      <c r="E15" s="516">
        <f>WED!Q31</f>
        <v>1</v>
      </c>
      <c r="F15" s="517"/>
      <c r="G15" s="499"/>
      <c r="H15" s="500">
        <f>WED!J31</f>
        <v>55</v>
      </c>
      <c r="I15" s="501"/>
      <c r="J15" s="501"/>
      <c r="K15" s="502"/>
      <c r="L15" s="503">
        <f>WED!Q32</f>
        <v>5.0947153906720395E-2</v>
      </c>
      <c r="M15" s="504"/>
      <c r="N15" s="504"/>
      <c r="O15" s="504"/>
      <c r="P15" s="505"/>
      <c r="Q15" s="567"/>
      <c r="R15" s="568"/>
      <c r="S15" s="568"/>
      <c r="T15" s="568"/>
      <c r="U15" s="569"/>
      <c r="V15" s="741"/>
      <c r="W15" s="742"/>
      <c r="X15" s="742"/>
      <c r="Y15" s="742"/>
      <c r="Z15" s="743"/>
      <c r="AA15" s="732"/>
      <c r="AB15" s="733"/>
      <c r="AC15" s="733"/>
      <c r="AD15" s="734"/>
    </row>
    <row r="16" spans="1:30" ht="20.100000000000001" customHeight="1" x14ac:dyDescent="0.4">
      <c r="A16" s="695"/>
      <c r="B16" s="516" t="s">
        <v>94</v>
      </c>
      <c r="C16" s="517"/>
      <c r="D16" s="499"/>
      <c r="E16" s="516">
        <f>WED!U16</f>
        <v>24.25</v>
      </c>
      <c r="F16" s="517"/>
      <c r="G16" s="499"/>
      <c r="H16" s="500" t="s">
        <v>95</v>
      </c>
      <c r="I16" s="501"/>
      <c r="J16" s="501"/>
      <c r="K16" s="502"/>
      <c r="L16" s="519">
        <f>WED!T2</f>
        <v>4</v>
      </c>
      <c r="M16" s="520"/>
      <c r="N16" s="520"/>
      <c r="O16" s="520"/>
      <c r="P16" s="521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696" t="s">
        <v>69</v>
      </c>
      <c r="B17" s="463" t="s">
        <v>57</v>
      </c>
      <c r="C17" s="463"/>
      <c r="D17" s="510"/>
      <c r="E17" s="510">
        <f>THU!N31</f>
        <v>3</v>
      </c>
      <c r="F17" s="510"/>
      <c r="G17" s="510"/>
      <c r="H17" s="518">
        <f>THU!S31</f>
        <v>245</v>
      </c>
      <c r="I17" s="518"/>
      <c r="J17" s="518"/>
      <c r="K17" s="518"/>
      <c r="L17" s="509">
        <f>THU!N32</f>
        <v>0.28992367315543455</v>
      </c>
      <c r="M17" s="509"/>
      <c r="N17" s="509"/>
      <c r="O17" s="509"/>
      <c r="P17" s="509"/>
      <c r="Q17" s="591">
        <f>SUM(E17:G20)</f>
        <v>8</v>
      </c>
      <c r="R17" s="592"/>
      <c r="S17" s="592"/>
      <c r="T17" s="592"/>
      <c r="U17" s="593"/>
      <c r="V17" s="535">
        <f>SUM(H17,H18,H20)</f>
        <v>765.95</v>
      </c>
      <c r="W17" s="536"/>
      <c r="X17" s="536"/>
      <c r="Y17" s="536"/>
      <c r="Z17" s="537"/>
      <c r="AA17" s="526">
        <f>V17/Q17</f>
        <v>95.743750000000006</v>
      </c>
      <c r="AB17" s="527"/>
      <c r="AC17" s="527"/>
      <c r="AD17" s="528"/>
    </row>
    <row r="18" spans="1:30" ht="20.100000000000001" customHeight="1" x14ac:dyDescent="0.4">
      <c r="A18" s="697"/>
      <c r="B18" s="463" t="s">
        <v>58</v>
      </c>
      <c r="C18" s="463"/>
      <c r="D18" s="510"/>
      <c r="E18" s="510">
        <f>THU!O31</f>
        <v>4</v>
      </c>
      <c r="F18" s="510"/>
      <c r="G18" s="510"/>
      <c r="H18" s="518">
        <f>THU!S32</f>
        <v>520.95000000000005</v>
      </c>
      <c r="I18" s="518"/>
      <c r="J18" s="518"/>
      <c r="K18" s="518"/>
      <c r="L18" s="509">
        <f>THU!O32</f>
        <v>0.61647239808295362</v>
      </c>
      <c r="M18" s="509"/>
      <c r="N18" s="509"/>
      <c r="O18" s="509"/>
      <c r="P18" s="509"/>
      <c r="Q18" s="594"/>
      <c r="R18" s="595"/>
      <c r="S18" s="595"/>
      <c r="T18" s="595"/>
      <c r="U18" s="596"/>
      <c r="V18" s="538"/>
      <c r="W18" s="539"/>
      <c r="X18" s="539"/>
      <c r="Y18" s="539"/>
      <c r="Z18" s="540"/>
      <c r="AA18" s="529"/>
      <c r="AB18" s="530"/>
      <c r="AC18" s="530"/>
      <c r="AD18" s="531"/>
    </row>
    <row r="19" spans="1:30" ht="20.100000000000001" customHeight="1" x14ac:dyDescent="0.4">
      <c r="A19" s="697"/>
      <c r="B19" s="463" t="s">
        <v>45</v>
      </c>
      <c r="C19" s="463"/>
      <c r="D19" s="510"/>
      <c r="E19" s="510">
        <f>THU!P31</f>
        <v>1</v>
      </c>
      <c r="F19" s="510"/>
      <c r="G19" s="510"/>
      <c r="H19" s="518">
        <f>THU!K31</f>
        <v>79.099999999999994</v>
      </c>
      <c r="I19" s="518"/>
      <c r="J19" s="518"/>
      <c r="K19" s="518"/>
      <c r="L19" s="509">
        <f>THU!P32</f>
        <v>9.3603928761611721E-2</v>
      </c>
      <c r="M19" s="509"/>
      <c r="N19" s="509"/>
      <c r="O19" s="509"/>
      <c r="P19" s="509"/>
      <c r="Q19" s="594"/>
      <c r="R19" s="595"/>
      <c r="S19" s="595"/>
      <c r="T19" s="595"/>
      <c r="U19" s="596"/>
      <c r="V19" s="538"/>
      <c r="W19" s="539"/>
      <c r="X19" s="539"/>
      <c r="Y19" s="539"/>
      <c r="Z19" s="540"/>
      <c r="AA19" s="529"/>
      <c r="AB19" s="530"/>
      <c r="AC19" s="530"/>
      <c r="AD19" s="531"/>
    </row>
    <row r="20" spans="1:30" ht="20.100000000000001" customHeight="1" x14ac:dyDescent="0.4">
      <c r="A20" s="697"/>
      <c r="B20" s="461" t="s">
        <v>65</v>
      </c>
      <c r="C20" s="462"/>
      <c r="D20" s="463"/>
      <c r="E20" s="461">
        <f>THU!Q31</f>
        <v>0</v>
      </c>
      <c r="F20" s="462"/>
      <c r="G20" s="463"/>
      <c r="H20" s="455">
        <f>THU!J31</f>
        <v>0</v>
      </c>
      <c r="I20" s="456"/>
      <c r="J20" s="456"/>
      <c r="K20" s="457"/>
      <c r="L20" s="511">
        <f>THU!Q32</f>
        <v>0</v>
      </c>
      <c r="M20" s="512"/>
      <c r="N20" s="512"/>
      <c r="O20" s="512"/>
      <c r="P20" s="513"/>
      <c r="Q20" s="597"/>
      <c r="R20" s="598"/>
      <c r="S20" s="598"/>
      <c r="T20" s="598"/>
      <c r="U20" s="599"/>
      <c r="V20" s="541"/>
      <c r="W20" s="542"/>
      <c r="X20" s="542"/>
      <c r="Y20" s="542"/>
      <c r="Z20" s="543"/>
      <c r="AA20" s="532"/>
      <c r="AB20" s="533"/>
      <c r="AC20" s="533"/>
      <c r="AD20" s="534"/>
    </row>
    <row r="21" spans="1:30" ht="20.100000000000001" customHeight="1" x14ac:dyDescent="0.4">
      <c r="A21" s="698"/>
      <c r="B21" s="461" t="s">
        <v>94</v>
      </c>
      <c r="C21" s="462"/>
      <c r="D21" s="463"/>
      <c r="E21" s="461">
        <f>THU!U16</f>
        <v>13.25</v>
      </c>
      <c r="F21" s="462"/>
      <c r="G21" s="463"/>
      <c r="H21" s="455" t="s">
        <v>95</v>
      </c>
      <c r="I21" s="456"/>
      <c r="J21" s="456"/>
      <c r="K21" s="457"/>
      <c r="L21" s="420">
        <f>THU!T2</f>
        <v>2</v>
      </c>
      <c r="M21" s="421"/>
      <c r="N21" s="421"/>
      <c r="O21" s="421"/>
      <c r="P21" s="422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699" t="s">
        <v>93</v>
      </c>
      <c r="B22" s="418" t="s">
        <v>57</v>
      </c>
      <c r="C22" s="418"/>
      <c r="D22" s="419"/>
      <c r="E22" s="419">
        <f>FRI!N31</f>
        <v>6</v>
      </c>
      <c r="F22" s="419"/>
      <c r="G22" s="419"/>
      <c r="H22" s="494">
        <f>FRI!S31</f>
        <v>540</v>
      </c>
      <c r="I22" s="494"/>
      <c r="J22" s="494"/>
      <c r="K22" s="494"/>
      <c r="L22" s="495">
        <f>FRI!N32</f>
        <v>0.49919112549110239</v>
      </c>
      <c r="M22" s="495"/>
      <c r="N22" s="495"/>
      <c r="O22" s="495"/>
      <c r="P22" s="495"/>
      <c r="Q22" s="473">
        <f>SUM(E22:G25)</f>
        <v>13</v>
      </c>
      <c r="R22" s="474"/>
      <c r="S22" s="474"/>
      <c r="T22" s="474"/>
      <c r="U22" s="475"/>
      <c r="V22" s="482">
        <f>SUM(H22,H23,H25)</f>
        <v>1081.75</v>
      </c>
      <c r="W22" s="483"/>
      <c r="X22" s="483"/>
      <c r="Y22" s="483"/>
      <c r="Z22" s="484"/>
      <c r="AA22" s="426">
        <f>V22/Q22</f>
        <v>83.211538461538467</v>
      </c>
      <c r="AB22" s="427"/>
      <c r="AC22" s="427"/>
      <c r="AD22" s="428"/>
    </row>
    <row r="23" spans="1:30" ht="20.100000000000001" customHeight="1" x14ac:dyDescent="0.4">
      <c r="A23" s="700"/>
      <c r="B23" s="418" t="s">
        <v>58</v>
      </c>
      <c r="C23" s="418"/>
      <c r="D23" s="419"/>
      <c r="E23" s="419">
        <f>FRI!O31</f>
        <v>5</v>
      </c>
      <c r="F23" s="419"/>
      <c r="G23" s="419"/>
      <c r="H23" s="494">
        <f>FRI!S32</f>
        <v>486.75</v>
      </c>
      <c r="I23" s="494"/>
      <c r="J23" s="494"/>
      <c r="K23" s="494"/>
      <c r="L23" s="495">
        <f>FRI!O32</f>
        <v>0.44996533394961868</v>
      </c>
      <c r="M23" s="495"/>
      <c r="N23" s="495"/>
      <c r="O23" s="495"/>
      <c r="P23" s="495"/>
      <c r="Q23" s="476"/>
      <c r="R23" s="477"/>
      <c r="S23" s="477"/>
      <c r="T23" s="477"/>
      <c r="U23" s="478"/>
      <c r="V23" s="485"/>
      <c r="W23" s="486"/>
      <c r="X23" s="486"/>
      <c r="Y23" s="486"/>
      <c r="Z23" s="487"/>
      <c r="AA23" s="429"/>
      <c r="AB23" s="430"/>
      <c r="AC23" s="430"/>
      <c r="AD23" s="431"/>
    </row>
    <row r="24" spans="1:30" ht="20.100000000000001" customHeight="1" x14ac:dyDescent="0.4">
      <c r="A24" s="700"/>
      <c r="B24" s="418" t="s">
        <v>45</v>
      </c>
      <c r="C24" s="418"/>
      <c r="D24" s="419"/>
      <c r="E24" s="419">
        <f>FRI!P31</f>
        <v>1</v>
      </c>
      <c r="F24" s="419"/>
      <c r="G24" s="419"/>
      <c r="H24" s="494">
        <f>FRI!K31</f>
        <v>0</v>
      </c>
      <c r="I24" s="494"/>
      <c r="J24" s="494"/>
      <c r="K24" s="494"/>
      <c r="L24" s="495">
        <f>FRI!P32</f>
        <v>0</v>
      </c>
      <c r="M24" s="495"/>
      <c r="N24" s="495"/>
      <c r="O24" s="495"/>
      <c r="P24" s="495"/>
      <c r="Q24" s="476"/>
      <c r="R24" s="477"/>
      <c r="S24" s="477"/>
      <c r="T24" s="477"/>
      <c r="U24" s="478"/>
      <c r="V24" s="485"/>
      <c r="W24" s="486"/>
      <c r="X24" s="486"/>
      <c r="Y24" s="486"/>
      <c r="Z24" s="487"/>
      <c r="AA24" s="429"/>
      <c r="AB24" s="430"/>
      <c r="AC24" s="430"/>
      <c r="AD24" s="431"/>
    </row>
    <row r="25" spans="1:30" ht="20.100000000000001" customHeight="1" x14ac:dyDescent="0.4">
      <c r="A25" s="700"/>
      <c r="B25" s="464" t="s">
        <v>65</v>
      </c>
      <c r="C25" s="465"/>
      <c r="D25" s="418"/>
      <c r="E25" s="464">
        <f>FRI!Q31</f>
        <v>1</v>
      </c>
      <c r="F25" s="465"/>
      <c r="G25" s="418"/>
      <c r="H25" s="458">
        <f>FRI!J31</f>
        <v>55</v>
      </c>
      <c r="I25" s="459"/>
      <c r="J25" s="459"/>
      <c r="K25" s="460"/>
      <c r="L25" s="470">
        <f>FRI!Q32</f>
        <v>5.0843540559278949E-2</v>
      </c>
      <c r="M25" s="471"/>
      <c r="N25" s="471"/>
      <c r="O25" s="471"/>
      <c r="P25" s="472"/>
      <c r="Q25" s="479"/>
      <c r="R25" s="480"/>
      <c r="S25" s="480"/>
      <c r="T25" s="480"/>
      <c r="U25" s="481"/>
      <c r="V25" s="488"/>
      <c r="W25" s="489"/>
      <c r="X25" s="489"/>
      <c r="Y25" s="489"/>
      <c r="Z25" s="490"/>
      <c r="AA25" s="432"/>
      <c r="AB25" s="433"/>
      <c r="AC25" s="433"/>
      <c r="AD25" s="434"/>
    </row>
    <row r="26" spans="1:30" ht="20.100000000000001" customHeight="1" x14ac:dyDescent="0.4">
      <c r="A26" s="701"/>
      <c r="B26" s="464" t="s">
        <v>94</v>
      </c>
      <c r="C26" s="465"/>
      <c r="D26" s="418"/>
      <c r="E26" s="464">
        <f>FRI!U16</f>
        <v>27</v>
      </c>
      <c r="F26" s="465"/>
      <c r="G26" s="418"/>
      <c r="H26" s="458" t="s">
        <v>95</v>
      </c>
      <c r="I26" s="459"/>
      <c r="J26" s="459"/>
      <c r="K26" s="460"/>
      <c r="L26" s="423">
        <f>FRI!T2</f>
        <v>4</v>
      </c>
      <c r="M26" s="424"/>
      <c r="N26" s="424"/>
      <c r="O26" s="424"/>
      <c r="P26" s="425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702" t="s">
        <v>70</v>
      </c>
      <c r="B27" s="468" t="s">
        <v>57</v>
      </c>
      <c r="C27" s="468"/>
      <c r="D27" s="453"/>
      <c r="E27" s="453">
        <f>SAT!N31</f>
        <v>8</v>
      </c>
      <c r="F27" s="453"/>
      <c r="G27" s="453"/>
      <c r="H27" s="454">
        <f>SAT!S31</f>
        <v>1155</v>
      </c>
      <c r="I27" s="454"/>
      <c r="J27" s="454"/>
      <c r="K27" s="454"/>
      <c r="L27" s="469">
        <f>SAT!N32</f>
        <v>0.44475249812279782</v>
      </c>
      <c r="M27" s="469"/>
      <c r="N27" s="469"/>
      <c r="O27" s="469"/>
      <c r="P27" s="469"/>
      <c r="Q27" s="570">
        <f>SUM(E27:G30)</f>
        <v>19</v>
      </c>
      <c r="R27" s="571"/>
      <c r="S27" s="571"/>
      <c r="T27" s="571"/>
      <c r="U27" s="572"/>
      <c r="V27" s="444">
        <f>SUM(H27,H28,H30)</f>
        <v>2155.5500000000002</v>
      </c>
      <c r="W27" s="445"/>
      <c r="X27" s="445"/>
      <c r="Y27" s="445"/>
      <c r="Z27" s="446"/>
      <c r="AA27" s="435">
        <f>V27/Q27</f>
        <v>113.45</v>
      </c>
      <c r="AB27" s="436"/>
      <c r="AC27" s="436"/>
      <c r="AD27" s="437"/>
    </row>
    <row r="28" spans="1:30" ht="20.100000000000001" customHeight="1" x14ac:dyDescent="0.4">
      <c r="A28" s="703"/>
      <c r="B28" s="468" t="s">
        <v>58</v>
      </c>
      <c r="C28" s="468"/>
      <c r="D28" s="453"/>
      <c r="E28" s="453">
        <f>SAT!O31</f>
        <v>6</v>
      </c>
      <c r="F28" s="453"/>
      <c r="G28" s="453"/>
      <c r="H28" s="454">
        <f>SAT!S32</f>
        <v>1000.55</v>
      </c>
      <c r="I28" s="454"/>
      <c r="J28" s="454"/>
      <c r="K28" s="454"/>
      <c r="L28" s="469">
        <f>SAT!O32</f>
        <v>0.38527888484568429</v>
      </c>
      <c r="M28" s="469"/>
      <c r="N28" s="469"/>
      <c r="O28" s="469"/>
      <c r="P28" s="469"/>
      <c r="Q28" s="573"/>
      <c r="R28" s="574"/>
      <c r="S28" s="574"/>
      <c r="T28" s="574"/>
      <c r="U28" s="575"/>
      <c r="V28" s="447"/>
      <c r="W28" s="448"/>
      <c r="X28" s="448"/>
      <c r="Y28" s="448"/>
      <c r="Z28" s="449"/>
      <c r="AA28" s="438"/>
      <c r="AB28" s="439"/>
      <c r="AC28" s="439"/>
      <c r="AD28" s="440"/>
    </row>
    <row r="29" spans="1:30" ht="20.100000000000001" customHeight="1" x14ac:dyDescent="0.4">
      <c r="A29" s="703"/>
      <c r="B29" s="468" t="s">
        <v>45</v>
      </c>
      <c r="C29" s="468"/>
      <c r="D29" s="453"/>
      <c r="E29" s="453">
        <f>SAT!P31</f>
        <v>5</v>
      </c>
      <c r="F29" s="453"/>
      <c r="G29" s="453"/>
      <c r="H29" s="454">
        <f>SAT!K31</f>
        <v>441.4</v>
      </c>
      <c r="I29" s="454"/>
      <c r="J29" s="454"/>
      <c r="K29" s="454"/>
      <c r="L29" s="469">
        <f>SAT!P32</f>
        <v>0.16996861703151772</v>
      </c>
      <c r="M29" s="469"/>
      <c r="N29" s="469"/>
      <c r="O29" s="469"/>
      <c r="P29" s="469"/>
      <c r="Q29" s="573"/>
      <c r="R29" s="574"/>
      <c r="S29" s="574"/>
      <c r="T29" s="574"/>
      <c r="U29" s="575"/>
      <c r="V29" s="447"/>
      <c r="W29" s="448"/>
      <c r="X29" s="448"/>
      <c r="Y29" s="448"/>
      <c r="Z29" s="449"/>
      <c r="AA29" s="438"/>
      <c r="AB29" s="439"/>
      <c r="AC29" s="439"/>
      <c r="AD29" s="440"/>
    </row>
    <row r="30" spans="1:30" ht="20.100000000000001" customHeight="1" x14ac:dyDescent="0.4">
      <c r="A30" s="703"/>
      <c r="B30" s="466" t="s">
        <v>65</v>
      </c>
      <c r="C30" s="467"/>
      <c r="D30" s="468"/>
      <c r="E30" s="466">
        <f>SAT!Q31</f>
        <v>0</v>
      </c>
      <c r="F30" s="467"/>
      <c r="G30" s="468"/>
      <c r="H30" s="747">
        <f>SAT!J31</f>
        <v>0</v>
      </c>
      <c r="I30" s="748"/>
      <c r="J30" s="748"/>
      <c r="K30" s="749"/>
      <c r="L30" s="579">
        <f>SAT!Q32</f>
        <v>0</v>
      </c>
      <c r="M30" s="580"/>
      <c r="N30" s="580"/>
      <c r="O30" s="580"/>
      <c r="P30" s="581"/>
      <c r="Q30" s="576"/>
      <c r="R30" s="577"/>
      <c r="S30" s="577"/>
      <c r="T30" s="577"/>
      <c r="U30" s="578"/>
      <c r="V30" s="450"/>
      <c r="W30" s="451"/>
      <c r="X30" s="451"/>
      <c r="Y30" s="451"/>
      <c r="Z30" s="452"/>
      <c r="AA30" s="441"/>
      <c r="AB30" s="442"/>
      <c r="AC30" s="442"/>
      <c r="AD30" s="443"/>
    </row>
    <row r="31" spans="1:30" ht="20.100000000000001" customHeight="1" x14ac:dyDescent="0.4">
      <c r="A31" s="704"/>
      <c r="B31" s="466" t="s">
        <v>94</v>
      </c>
      <c r="C31" s="467"/>
      <c r="D31" s="468"/>
      <c r="E31" s="466">
        <f>SAT!U16</f>
        <v>44.75</v>
      </c>
      <c r="F31" s="467"/>
      <c r="G31" s="468"/>
      <c r="H31" s="747" t="s">
        <v>95</v>
      </c>
      <c r="I31" s="748"/>
      <c r="J31" s="748"/>
      <c r="K31" s="749"/>
      <c r="L31" s="744">
        <f>SAT!T2</f>
        <v>6</v>
      </c>
      <c r="M31" s="745"/>
      <c r="N31" s="745"/>
      <c r="O31" s="745"/>
      <c r="P31" s="746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705" t="s">
        <v>71</v>
      </c>
      <c r="B32" s="389" t="s">
        <v>57</v>
      </c>
      <c r="C32" s="390"/>
      <c r="D32" s="390"/>
      <c r="E32" s="390">
        <f>SUN!N31</f>
        <v>10</v>
      </c>
      <c r="F32" s="390"/>
      <c r="G32" s="390"/>
      <c r="H32" s="415">
        <f>SUN!S31</f>
        <v>1450</v>
      </c>
      <c r="I32" s="415"/>
      <c r="J32" s="415"/>
      <c r="K32" s="415"/>
      <c r="L32" s="416">
        <f>SUN!N32</f>
        <v>0.46364594309799789</v>
      </c>
      <c r="M32" s="416"/>
      <c r="N32" s="416"/>
      <c r="O32" s="416"/>
      <c r="P32" s="416"/>
      <c r="Q32" s="417">
        <f>SUM(E32:G35)</f>
        <v>20</v>
      </c>
      <c r="R32" s="417"/>
      <c r="S32" s="417"/>
      <c r="T32" s="417"/>
      <c r="U32" s="417"/>
      <c r="V32" s="388">
        <f>SUM(H32,H33,H35)</f>
        <v>2660</v>
      </c>
      <c r="W32" s="388"/>
      <c r="X32" s="388"/>
      <c r="Y32" s="388"/>
      <c r="Z32" s="388"/>
      <c r="AA32" s="407">
        <f>V32/Q32</f>
        <v>133</v>
      </c>
      <c r="AB32" s="408"/>
      <c r="AC32" s="408"/>
      <c r="AD32" s="408"/>
    </row>
    <row r="33" spans="1:30" ht="20.100000000000001" customHeight="1" x14ac:dyDescent="0.4">
      <c r="A33" s="706"/>
      <c r="B33" s="389" t="s">
        <v>58</v>
      </c>
      <c r="C33" s="390"/>
      <c r="D33" s="390"/>
      <c r="E33" s="390">
        <f>SUN!O31</f>
        <v>7</v>
      </c>
      <c r="F33" s="390"/>
      <c r="G33" s="390"/>
      <c r="H33" s="415">
        <f>SUN!S32</f>
        <v>1100</v>
      </c>
      <c r="I33" s="415"/>
      <c r="J33" s="415"/>
      <c r="K33" s="415"/>
      <c r="L33" s="416">
        <f>SUN!O32</f>
        <v>0.46364594309799789</v>
      </c>
      <c r="M33" s="416"/>
      <c r="N33" s="416"/>
      <c r="O33" s="416"/>
      <c r="P33" s="416"/>
      <c r="Q33" s="417"/>
      <c r="R33" s="417"/>
      <c r="S33" s="417"/>
      <c r="T33" s="417"/>
      <c r="U33" s="417"/>
      <c r="V33" s="388"/>
      <c r="W33" s="388"/>
      <c r="X33" s="388"/>
      <c r="Y33" s="388"/>
      <c r="Z33" s="388"/>
      <c r="AA33" s="408"/>
      <c r="AB33" s="408"/>
      <c r="AC33" s="408"/>
      <c r="AD33" s="408"/>
    </row>
    <row r="34" spans="1:30" ht="20.100000000000001" customHeight="1" x14ac:dyDescent="0.4">
      <c r="A34" s="706"/>
      <c r="B34" s="389" t="s">
        <v>45</v>
      </c>
      <c r="C34" s="390"/>
      <c r="D34" s="390"/>
      <c r="E34" s="390">
        <f>SUN!P31</f>
        <v>1</v>
      </c>
      <c r="F34" s="390"/>
      <c r="G34" s="390"/>
      <c r="H34" s="415">
        <f>SUN!K31</f>
        <v>62.5</v>
      </c>
      <c r="I34" s="415"/>
      <c r="J34" s="415"/>
      <c r="K34" s="415"/>
      <c r="L34" s="416">
        <f>SUN!P32</f>
        <v>2.6343519494204427E-2</v>
      </c>
      <c r="M34" s="416"/>
      <c r="N34" s="416"/>
      <c r="O34" s="416"/>
      <c r="P34" s="416"/>
      <c r="Q34" s="417"/>
      <c r="R34" s="417"/>
      <c r="S34" s="417"/>
      <c r="T34" s="417"/>
      <c r="U34" s="417"/>
      <c r="V34" s="388"/>
      <c r="W34" s="388"/>
      <c r="X34" s="388"/>
      <c r="Y34" s="388"/>
      <c r="Z34" s="388"/>
      <c r="AA34" s="408"/>
      <c r="AB34" s="408"/>
      <c r="AC34" s="408"/>
      <c r="AD34" s="408"/>
    </row>
    <row r="35" spans="1:30" ht="20.100000000000001" customHeight="1" x14ac:dyDescent="0.4">
      <c r="A35" s="706"/>
      <c r="B35" s="389" t="s">
        <v>65</v>
      </c>
      <c r="C35" s="390"/>
      <c r="D35" s="390"/>
      <c r="E35" s="390">
        <f>SUN!Q31</f>
        <v>2</v>
      </c>
      <c r="F35" s="390"/>
      <c r="G35" s="390"/>
      <c r="H35" s="415">
        <f>SUN!J31</f>
        <v>110</v>
      </c>
      <c r="I35" s="415"/>
      <c r="J35" s="415"/>
      <c r="K35" s="415"/>
      <c r="L35" s="416">
        <f>SUN!Q32</f>
        <v>4.6364594309799792E-2</v>
      </c>
      <c r="M35" s="416"/>
      <c r="N35" s="416"/>
      <c r="O35" s="416"/>
      <c r="P35" s="416"/>
      <c r="Q35" s="417"/>
      <c r="R35" s="417"/>
      <c r="S35" s="417"/>
      <c r="T35" s="417"/>
      <c r="U35" s="417"/>
      <c r="V35" s="388"/>
      <c r="W35" s="388"/>
      <c r="X35" s="388"/>
      <c r="Y35" s="388"/>
      <c r="Z35" s="388"/>
      <c r="AA35" s="408"/>
      <c r="AB35" s="408"/>
      <c r="AC35" s="408"/>
      <c r="AD35" s="408"/>
    </row>
    <row r="36" spans="1:30" ht="20.100000000000001" customHeight="1" thickBot="1" x14ac:dyDescent="0.45">
      <c r="A36" s="707"/>
      <c r="B36" s="393" t="s">
        <v>94</v>
      </c>
      <c r="C36" s="394"/>
      <c r="D36" s="395"/>
      <c r="E36" s="393">
        <f>SUN!U16</f>
        <v>49.75</v>
      </c>
      <c r="F36" s="394"/>
      <c r="G36" s="395"/>
      <c r="H36" s="393" t="s">
        <v>95</v>
      </c>
      <c r="I36" s="394"/>
      <c r="J36" s="394"/>
      <c r="K36" s="395"/>
      <c r="L36" s="409">
        <f>SUN!T2</f>
        <v>7</v>
      </c>
      <c r="M36" s="410"/>
      <c r="N36" s="410"/>
      <c r="O36" s="410"/>
      <c r="P36" s="411"/>
      <c r="Q36" s="412"/>
      <c r="R36" s="413"/>
      <c r="S36" s="413"/>
      <c r="T36" s="413"/>
      <c r="U36" s="414"/>
      <c r="V36" s="396"/>
      <c r="W36" s="397"/>
      <c r="X36" s="397"/>
      <c r="Y36" s="397"/>
      <c r="Z36" s="398"/>
      <c r="AA36" s="399"/>
      <c r="AB36" s="400"/>
      <c r="AC36" s="400"/>
      <c r="AD36" s="401"/>
    </row>
    <row r="37" spans="1:30" ht="16.5" customHeight="1" x14ac:dyDescent="0.4">
      <c r="A37" s="379" t="s">
        <v>72</v>
      </c>
      <c r="B37" s="380"/>
      <c r="C37" s="380"/>
      <c r="D37" s="380"/>
      <c r="E37" s="380" t="s">
        <v>73</v>
      </c>
      <c r="F37" s="380"/>
      <c r="G37" s="380"/>
      <c r="H37" s="380"/>
      <c r="I37" s="380"/>
      <c r="J37" s="380"/>
      <c r="K37" s="380" t="s">
        <v>74</v>
      </c>
      <c r="L37" s="380"/>
      <c r="M37" s="380"/>
      <c r="N37" s="380"/>
      <c r="O37" s="380" t="s">
        <v>65</v>
      </c>
      <c r="P37" s="380"/>
      <c r="Q37" s="380"/>
      <c r="R37" s="380"/>
      <c r="S37" s="380"/>
      <c r="T37" s="380" t="s">
        <v>75</v>
      </c>
      <c r="U37" s="380"/>
      <c r="V37" s="380"/>
      <c r="W37" s="380"/>
      <c r="X37" s="380"/>
      <c r="Y37" s="380" t="s">
        <v>76</v>
      </c>
      <c r="Z37" s="380"/>
      <c r="AA37" s="380"/>
      <c r="AB37" s="380"/>
      <c r="AC37" s="380"/>
      <c r="AD37" s="391"/>
    </row>
    <row r="38" spans="1:30" ht="16.5" customHeight="1" x14ac:dyDescent="0.4">
      <c r="A38" s="381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92"/>
    </row>
    <row r="39" spans="1:30" ht="16.5" customHeight="1" x14ac:dyDescent="0.4">
      <c r="A39" s="383">
        <f>SUM(Q2:U35)</f>
        <v>100</v>
      </c>
      <c r="B39" s="384"/>
      <c r="C39" s="384"/>
      <c r="D39" s="384"/>
      <c r="E39" s="387">
        <f>SUM(V2:Z35)</f>
        <v>12184.1</v>
      </c>
      <c r="F39" s="384"/>
      <c r="G39" s="384"/>
      <c r="H39" s="384"/>
      <c r="I39" s="384"/>
      <c r="J39" s="384"/>
      <c r="K39" s="387">
        <f>E39/A39</f>
        <v>121.84100000000001</v>
      </c>
      <c r="L39" s="384"/>
      <c r="M39" s="384"/>
      <c r="N39" s="384"/>
      <c r="O39" s="384">
        <f>SUM(MON:SUN!Q31)</f>
        <v>6</v>
      </c>
      <c r="P39" s="384"/>
      <c r="Q39" s="384"/>
      <c r="R39" s="384"/>
      <c r="S39" s="384"/>
      <c r="T39" s="384">
        <f>SUM(MON:SUN!P31)</f>
        <v>14</v>
      </c>
      <c r="U39" s="384"/>
      <c r="V39" s="384"/>
      <c r="W39" s="384"/>
      <c r="X39" s="384"/>
      <c r="Y39" s="384">
        <f>SUM(MON:SUN!S19)</f>
        <v>4</v>
      </c>
      <c r="Z39" s="384"/>
      <c r="AA39" s="384"/>
      <c r="AB39" s="384"/>
      <c r="AC39" s="384"/>
      <c r="AD39" s="404"/>
    </row>
    <row r="40" spans="1:30" ht="16.5" customHeight="1" x14ac:dyDescent="0.4">
      <c r="A40" s="383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404"/>
    </row>
    <row r="41" spans="1:30" ht="16.5" customHeight="1" x14ac:dyDescent="0.4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402">
        <f>SUM(MON:SUN!J31)</f>
        <v>330</v>
      </c>
      <c r="P41" s="402"/>
      <c r="Q41" s="402"/>
      <c r="R41" s="402"/>
      <c r="S41" s="402"/>
      <c r="T41" s="402">
        <f>SUM(MON:SUN!K31)</f>
        <v>1091.1599999999999</v>
      </c>
      <c r="U41" s="402"/>
      <c r="V41" s="402"/>
      <c r="W41" s="402"/>
      <c r="X41" s="402"/>
      <c r="Y41" s="402">
        <f>SUM(MON:SUN!T19)</f>
        <v>1625</v>
      </c>
      <c r="Z41" s="402"/>
      <c r="AA41" s="402"/>
      <c r="AB41" s="402"/>
      <c r="AC41" s="402"/>
      <c r="AD41" s="405"/>
    </row>
    <row r="42" spans="1:30" ht="16.5" customHeight="1" thickBot="1" x14ac:dyDescent="0.45">
      <c r="A42" s="385"/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6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6"/>
    </row>
    <row r="43" spans="1:30" ht="17.399999999999999" customHeight="1" x14ac:dyDescent="0.4">
      <c r="A43" s="662" t="s">
        <v>84</v>
      </c>
      <c r="B43" s="663"/>
      <c r="C43" s="663"/>
      <c r="D43" s="663"/>
      <c r="E43" s="664"/>
      <c r="F43" s="662" t="s">
        <v>85</v>
      </c>
      <c r="G43" s="663"/>
      <c r="H43" s="663"/>
      <c r="I43" s="663"/>
      <c r="J43" s="664"/>
      <c r="K43" s="662" t="s">
        <v>86</v>
      </c>
      <c r="L43" s="663"/>
      <c r="M43" s="663"/>
      <c r="N43" s="663"/>
      <c r="O43" s="664"/>
      <c r="P43" s="662" t="s">
        <v>87</v>
      </c>
      <c r="Q43" s="663"/>
      <c r="R43" s="663"/>
      <c r="S43" s="663"/>
      <c r="T43" s="664"/>
      <c r="U43" s="662" t="s">
        <v>90</v>
      </c>
      <c r="V43" s="663"/>
      <c r="W43" s="663"/>
      <c r="X43" s="663"/>
      <c r="Y43" s="664"/>
      <c r="Z43" s="668" t="s">
        <v>95</v>
      </c>
      <c r="AA43" s="669"/>
      <c r="AB43" s="669"/>
      <c r="AC43" s="669"/>
      <c r="AD43" s="670"/>
    </row>
    <row r="44" spans="1:30" ht="17.399999999999999" customHeight="1" x14ac:dyDescent="0.4">
      <c r="A44" s="665"/>
      <c r="B44" s="666"/>
      <c r="C44" s="666"/>
      <c r="D44" s="666"/>
      <c r="E44" s="667"/>
      <c r="F44" s="665"/>
      <c r="G44" s="666"/>
      <c r="H44" s="666"/>
      <c r="I44" s="666"/>
      <c r="J44" s="667"/>
      <c r="K44" s="665"/>
      <c r="L44" s="666"/>
      <c r="M44" s="666"/>
      <c r="N44" s="666"/>
      <c r="O44" s="667"/>
      <c r="P44" s="665"/>
      <c r="Q44" s="666"/>
      <c r="R44" s="666"/>
      <c r="S44" s="666"/>
      <c r="T44" s="667"/>
      <c r="U44" s="665"/>
      <c r="V44" s="666"/>
      <c r="W44" s="666"/>
      <c r="X44" s="666"/>
      <c r="Y44" s="667"/>
      <c r="Z44" s="671"/>
      <c r="AA44" s="672"/>
      <c r="AB44" s="672"/>
      <c r="AC44" s="672"/>
      <c r="AD44" s="673"/>
    </row>
    <row r="45" spans="1:30" x14ac:dyDescent="0.4">
      <c r="A45" s="674">
        <f>SUM(H2,H7,H12,H17,H22,H27,H32)</f>
        <v>6085</v>
      </c>
      <c r="B45" s="675"/>
      <c r="C45" s="675"/>
      <c r="D45" s="675"/>
      <c r="E45" s="676"/>
      <c r="F45" s="674">
        <f>SUM(,H3,H8,H13,H18,H23,H28,H33)</f>
        <v>5769.1</v>
      </c>
      <c r="G45" s="675"/>
      <c r="H45" s="675"/>
      <c r="I45" s="675"/>
      <c r="J45" s="676"/>
      <c r="K45" s="674">
        <f>SUM(H5,H10,H15,H20,H25,H30,H35)</f>
        <v>330</v>
      </c>
      <c r="L45" s="675"/>
      <c r="M45" s="675"/>
      <c r="N45" s="675"/>
      <c r="O45" s="676"/>
      <c r="P45" s="674">
        <f>SUM(H4,H9,H14,H19,H24,H29,H34)</f>
        <v>1091.1599999999999</v>
      </c>
      <c r="Q45" s="675"/>
      <c r="R45" s="675"/>
      <c r="S45" s="675"/>
      <c r="T45" s="676"/>
      <c r="U45" s="683">
        <f>SUM(E6,E11,E16,E21,E26,E31,E36)</f>
        <v>237</v>
      </c>
      <c r="V45" s="675"/>
      <c r="W45" s="675"/>
      <c r="X45" s="675"/>
      <c r="Y45" s="676"/>
      <c r="Z45" s="683">
        <f>SUM(L6,L11,L16,L21,L26,L31,L36)</f>
        <v>34</v>
      </c>
      <c r="AA45" s="675"/>
      <c r="AB45" s="675"/>
      <c r="AC45" s="675"/>
      <c r="AD45" s="684"/>
    </row>
    <row r="46" spans="1:30" x14ac:dyDescent="0.4">
      <c r="A46" s="677"/>
      <c r="B46" s="678"/>
      <c r="C46" s="678"/>
      <c r="D46" s="678"/>
      <c r="E46" s="679"/>
      <c r="F46" s="677"/>
      <c r="G46" s="678"/>
      <c r="H46" s="678"/>
      <c r="I46" s="678"/>
      <c r="J46" s="679"/>
      <c r="K46" s="677"/>
      <c r="L46" s="678"/>
      <c r="M46" s="678"/>
      <c r="N46" s="678"/>
      <c r="O46" s="679"/>
      <c r="P46" s="677"/>
      <c r="Q46" s="678"/>
      <c r="R46" s="678"/>
      <c r="S46" s="678"/>
      <c r="T46" s="679"/>
      <c r="U46" s="677"/>
      <c r="V46" s="678"/>
      <c r="W46" s="678"/>
      <c r="X46" s="678"/>
      <c r="Y46" s="679"/>
      <c r="Z46" s="677"/>
      <c r="AA46" s="678"/>
      <c r="AB46" s="678"/>
      <c r="AC46" s="678"/>
      <c r="AD46" s="685"/>
    </row>
    <row r="47" spans="1:30" x14ac:dyDescent="0.4">
      <c r="A47" s="677"/>
      <c r="B47" s="678"/>
      <c r="C47" s="678"/>
      <c r="D47" s="678"/>
      <c r="E47" s="679"/>
      <c r="F47" s="677"/>
      <c r="G47" s="678"/>
      <c r="H47" s="678"/>
      <c r="I47" s="678"/>
      <c r="J47" s="679"/>
      <c r="K47" s="677"/>
      <c r="L47" s="678"/>
      <c r="M47" s="678"/>
      <c r="N47" s="678"/>
      <c r="O47" s="679"/>
      <c r="P47" s="677"/>
      <c r="Q47" s="678"/>
      <c r="R47" s="678"/>
      <c r="S47" s="678"/>
      <c r="T47" s="679"/>
      <c r="U47" s="677"/>
      <c r="V47" s="678"/>
      <c r="W47" s="678"/>
      <c r="X47" s="678"/>
      <c r="Y47" s="679"/>
      <c r="Z47" s="677"/>
      <c r="AA47" s="678"/>
      <c r="AB47" s="678"/>
      <c r="AC47" s="678"/>
      <c r="AD47" s="685"/>
    </row>
    <row r="48" spans="1:30" ht="18" thickBot="1" x14ac:dyDescent="0.45">
      <c r="A48" s="680"/>
      <c r="B48" s="681"/>
      <c r="C48" s="681"/>
      <c r="D48" s="681"/>
      <c r="E48" s="682"/>
      <c r="F48" s="680"/>
      <c r="G48" s="681"/>
      <c r="H48" s="681"/>
      <c r="I48" s="681"/>
      <c r="J48" s="682"/>
      <c r="K48" s="680"/>
      <c r="L48" s="681"/>
      <c r="M48" s="681"/>
      <c r="N48" s="681"/>
      <c r="O48" s="682"/>
      <c r="P48" s="680"/>
      <c r="Q48" s="681"/>
      <c r="R48" s="681"/>
      <c r="S48" s="681"/>
      <c r="T48" s="682"/>
      <c r="U48" s="680"/>
      <c r="V48" s="681"/>
      <c r="W48" s="681"/>
      <c r="X48" s="681"/>
      <c r="Y48" s="682"/>
      <c r="Z48" s="680"/>
      <c r="AA48" s="681"/>
      <c r="AB48" s="681"/>
      <c r="AC48" s="681"/>
      <c r="AD48" s="686"/>
    </row>
    <row r="49" spans="1:30" ht="17.399999999999999" customHeight="1" x14ac:dyDescent="0.4">
      <c r="A49" s="644">
        <f>A45/E39</f>
        <v>0.49942137704056927</v>
      </c>
      <c r="B49" s="645"/>
      <c r="C49" s="645"/>
      <c r="D49" s="645"/>
      <c r="E49" s="646"/>
      <c r="F49" s="644">
        <f>F45/E39</f>
        <v>0.47349414400735385</v>
      </c>
      <c r="G49" s="645"/>
      <c r="H49" s="645"/>
      <c r="I49" s="645"/>
      <c r="J49" s="646"/>
      <c r="K49" s="644">
        <f>K45/E39</f>
        <v>2.7084478952076885E-2</v>
      </c>
      <c r="L49" s="645"/>
      <c r="M49" s="645"/>
      <c r="N49" s="645"/>
      <c r="O49" s="646"/>
      <c r="P49" s="644">
        <f>P45/E39</f>
        <v>8.9556060767721851E-2</v>
      </c>
      <c r="Q49" s="645"/>
      <c r="R49" s="645"/>
      <c r="S49" s="645"/>
      <c r="T49" s="646"/>
      <c r="U49" s="653">
        <f>U45/7</f>
        <v>33.857142857142854</v>
      </c>
      <c r="V49" s="654"/>
      <c r="W49" s="654"/>
      <c r="X49" s="654"/>
      <c r="Y49" s="655"/>
      <c r="Z49" s="653">
        <f>U45/Z45</f>
        <v>6.9705882352941178</v>
      </c>
      <c r="AA49" s="654"/>
      <c r="AB49" s="654"/>
      <c r="AC49" s="654"/>
      <c r="AD49" s="655"/>
    </row>
    <row r="50" spans="1:30" ht="17.399999999999999" customHeight="1" x14ac:dyDescent="0.4">
      <c r="A50" s="647"/>
      <c r="B50" s="648"/>
      <c r="C50" s="648"/>
      <c r="D50" s="648"/>
      <c r="E50" s="649"/>
      <c r="F50" s="647"/>
      <c r="G50" s="648"/>
      <c r="H50" s="648"/>
      <c r="I50" s="648"/>
      <c r="J50" s="649"/>
      <c r="K50" s="647"/>
      <c r="L50" s="648"/>
      <c r="M50" s="648"/>
      <c r="N50" s="648"/>
      <c r="O50" s="649"/>
      <c r="P50" s="647"/>
      <c r="Q50" s="648"/>
      <c r="R50" s="648"/>
      <c r="S50" s="648"/>
      <c r="T50" s="649"/>
      <c r="U50" s="656"/>
      <c r="V50" s="657"/>
      <c r="W50" s="657"/>
      <c r="X50" s="657"/>
      <c r="Y50" s="658"/>
      <c r="Z50" s="656"/>
      <c r="AA50" s="657"/>
      <c r="AB50" s="657"/>
      <c r="AC50" s="657"/>
      <c r="AD50" s="658"/>
    </row>
    <row r="51" spans="1:30" ht="17.399999999999999" customHeight="1" x14ac:dyDescent="0.4">
      <c r="A51" s="647"/>
      <c r="B51" s="648"/>
      <c r="C51" s="648"/>
      <c r="D51" s="648"/>
      <c r="E51" s="649"/>
      <c r="F51" s="647"/>
      <c r="G51" s="648"/>
      <c r="H51" s="648"/>
      <c r="I51" s="648"/>
      <c r="J51" s="649"/>
      <c r="K51" s="647"/>
      <c r="L51" s="648"/>
      <c r="M51" s="648"/>
      <c r="N51" s="648"/>
      <c r="O51" s="649"/>
      <c r="P51" s="647"/>
      <c r="Q51" s="648"/>
      <c r="R51" s="648"/>
      <c r="S51" s="648"/>
      <c r="T51" s="649"/>
      <c r="U51" s="656"/>
      <c r="V51" s="657"/>
      <c r="W51" s="657"/>
      <c r="X51" s="657"/>
      <c r="Y51" s="658"/>
      <c r="Z51" s="656"/>
      <c r="AA51" s="657"/>
      <c r="AB51" s="657"/>
      <c r="AC51" s="657"/>
      <c r="AD51" s="658"/>
    </row>
    <row r="52" spans="1:30" ht="18" customHeight="1" thickBot="1" x14ac:dyDescent="0.45">
      <c r="A52" s="650"/>
      <c r="B52" s="651"/>
      <c r="C52" s="651"/>
      <c r="D52" s="651"/>
      <c r="E52" s="652"/>
      <c r="F52" s="650"/>
      <c r="G52" s="651"/>
      <c r="H52" s="651"/>
      <c r="I52" s="651"/>
      <c r="J52" s="652"/>
      <c r="K52" s="650"/>
      <c r="L52" s="651"/>
      <c r="M52" s="651"/>
      <c r="N52" s="651"/>
      <c r="O52" s="652"/>
      <c r="P52" s="650"/>
      <c r="Q52" s="651"/>
      <c r="R52" s="651"/>
      <c r="S52" s="651"/>
      <c r="T52" s="652"/>
      <c r="U52" s="659"/>
      <c r="V52" s="660"/>
      <c r="W52" s="660"/>
      <c r="X52" s="660"/>
      <c r="Y52" s="661"/>
      <c r="Z52" s="659"/>
      <c r="AA52" s="660"/>
      <c r="AB52" s="660"/>
      <c r="AC52" s="660"/>
      <c r="AD52" s="661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0ECFEDD0-52D6-4377-9587-40237998F67F}"/>
</file>

<file path=customXml/itemProps2.xml><?xml version="1.0" encoding="utf-8"?>
<ds:datastoreItem xmlns:ds="http://schemas.openxmlformats.org/officeDocument/2006/customXml" ds:itemID="{E227F2FA-2552-42C4-9549-48AFEB909898}"/>
</file>

<file path=customXml/itemProps3.xml><?xml version="1.0" encoding="utf-8"?>
<ds:datastoreItem xmlns:ds="http://schemas.openxmlformats.org/officeDocument/2006/customXml" ds:itemID="{FFBC8EC8-77FE-4643-9BE7-008A62F67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2022-09-25T07:31:13Z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