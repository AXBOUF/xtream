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B2 DR\2024\DR\"/>
    </mc:Choice>
  </mc:AlternateContent>
  <xr:revisionPtr revIDLastSave="1293" documentId="13_ncr:1_{D53D703E-FF76-4FE6-8B25-D9D787BF9EF8}" xr6:coauthVersionLast="47" xr6:coauthVersionMax="47" xr10:uidLastSave="{2CDC7BC8-D33A-4A19-BA18-7A8AA01BE82E}"/>
  <bookViews>
    <workbookView xWindow="-120" yWindow="-120" windowWidth="29040" windowHeight="15840" firstSheet="6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8" i="6"/>
  <c r="K8" i="6"/>
  <c r="J9" i="6"/>
  <c r="K9" i="6"/>
  <c r="J10" i="6"/>
  <c r="K10" i="6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J37" i="2"/>
  <c r="K29" i="2"/>
  <c r="J29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J13" i="2"/>
  <c r="K12" i="2"/>
  <c r="J12" i="2"/>
  <c r="K11" i="2"/>
  <c r="J11" i="2"/>
  <c r="K10" i="2"/>
  <c r="J10" i="2"/>
  <c r="K9" i="2"/>
  <c r="J9" i="2"/>
  <c r="K8" i="2"/>
  <c r="J8" i="2"/>
  <c r="J7" i="2"/>
  <c r="K6" i="2"/>
  <c r="J6" i="2"/>
  <c r="K5" i="2"/>
  <c r="J5" i="2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J22" i="1"/>
  <c r="K21" i="1"/>
  <c r="J21" i="1"/>
  <c r="K20" i="1"/>
  <c r="J20" i="1"/>
  <c r="K19" i="1"/>
  <c r="J19" i="1"/>
  <c r="K18" i="1"/>
  <c r="J18" i="1"/>
  <c r="K17" i="1"/>
  <c r="J17" i="1"/>
  <c r="J16" i="1"/>
  <c r="K15" i="1"/>
  <c r="J15" i="1"/>
  <c r="J14" i="1"/>
  <c r="K13" i="1"/>
  <c r="J13" i="1"/>
  <c r="J12" i="1"/>
  <c r="K11" i="1"/>
  <c r="J11" i="1"/>
  <c r="J10" i="1"/>
  <c r="K8" i="1"/>
  <c r="J8" i="1"/>
  <c r="J7" i="1"/>
  <c r="K6" i="1"/>
  <c r="K5" i="1"/>
  <c r="J5" i="1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J19" i="3"/>
  <c r="K18" i="3"/>
  <c r="J18" i="3"/>
  <c r="K17" i="3"/>
  <c r="J17" i="3"/>
  <c r="K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J6" i="3"/>
  <c r="K5" i="3"/>
  <c r="J5" i="3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J7" i="4"/>
  <c r="K6" i="4"/>
  <c r="J6" i="4"/>
  <c r="K5" i="4"/>
  <c r="J5" i="4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29" i="5"/>
  <c r="J29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J14" i="5"/>
  <c r="K13" i="5"/>
  <c r="J13" i="5"/>
  <c r="K12" i="5"/>
  <c r="J12" i="5"/>
  <c r="K11" i="5"/>
  <c r="J11" i="5"/>
  <c r="K10" i="5"/>
  <c r="J10" i="5"/>
  <c r="J9" i="5"/>
  <c r="K8" i="5"/>
  <c r="J8" i="5"/>
  <c r="K7" i="5"/>
  <c r="J7" i="5"/>
  <c r="K6" i="5"/>
  <c r="J6" i="5"/>
  <c r="J5" i="5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7" i="6"/>
  <c r="J7" i="6"/>
  <c r="K6" i="6"/>
  <c r="J6" i="6"/>
  <c r="J5" i="6"/>
  <c r="K93" i="7"/>
  <c r="J93" i="7"/>
  <c r="K92" i="7"/>
  <c r="J92" i="7"/>
  <c r="K91" i="7"/>
  <c r="J91" i="7"/>
  <c r="K90" i="7"/>
  <c r="J90" i="7"/>
  <c r="K89" i="7"/>
  <c r="J89" i="7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1" i="7"/>
  <c r="J10" i="7"/>
  <c r="J9" i="7"/>
  <c r="J8" i="7"/>
  <c r="J7" i="7"/>
  <c r="J6" i="7"/>
  <c r="J5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8" i="7"/>
  <c r="K7" i="7"/>
  <c r="K6" i="7"/>
  <c r="K5" i="7"/>
  <c r="Q31" i="2"/>
  <c r="Q31" i="1"/>
  <c r="Q31" i="3"/>
  <c r="Q31" i="4"/>
  <c r="Q31" i="5"/>
  <c r="Q31" i="6"/>
  <c r="Q31" i="7"/>
  <c r="K94" i="2"/>
  <c r="K30" i="2"/>
  <c r="K94" i="1"/>
  <c r="K62" i="1"/>
  <c r="K62" i="3"/>
  <c r="K94" i="4"/>
  <c r="K94" i="5"/>
  <c r="K30" i="5"/>
  <c r="K94" i="6"/>
  <c r="K62" i="6"/>
  <c r="J30" i="2"/>
  <c r="J62" i="1"/>
  <c r="J30" i="1"/>
  <c r="J62" i="3"/>
  <c r="J30" i="3"/>
  <c r="J94" i="4"/>
  <c r="J62" i="4"/>
  <c r="J62" i="5"/>
  <c r="J94" i="6"/>
  <c r="M94" i="2"/>
  <c r="L94" i="2"/>
  <c r="I94" i="2"/>
  <c r="H94" i="2"/>
  <c r="J94" i="2"/>
  <c r="M62" i="2"/>
  <c r="L62" i="2"/>
  <c r="I62" i="2"/>
  <c r="H62" i="2"/>
  <c r="K62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P31" i="2"/>
  <c r="O31" i="2"/>
  <c r="N31" i="2"/>
  <c r="M30" i="2"/>
  <c r="M31" i="2" s="1"/>
  <c r="L30" i="2"/>
  <c r="L31" i="2" s="1"/>
  <c r="I30" i="2"/>
  <c r="I31" i="2" s="1"/>
  <c r="H30" i="2"/>
  <c r="H31" i="2" s="1"/>
  <c r="AH25" i="2"/>
  <c r="T25" i="2"/>
  <c r="T26" i="2" s="1"/>
  <c r="S25" i="2"/>
  <c r="S26" i="2" s="1"/>
  <c r="R25" i="2"/>
  <c r="R26" i="2" s="1"/>
  <c r="AR22" i="2"/>
  <c r="AQ22" i="2"/>
  <c r="AG25" i="2" s="1"/>
  <c r="AP22" i="2"/>
  <c r="AF25" i="2" s="1"/>
  <c r="AG22" i="2"/>
  <c r="AF22" i="2"/>
  <c r="AE22" i="2"/>
  <c r="AE25" i="2" s="1"/>
  <c r="T19" i="2"/>
  <c r="S19" i="2"/>
  <c r="U15" i="2"/>
  <c r="U14" i="2"/>
  <c r="U13" i="2"/>
  <c r="U12" i="2"/>
  <c r="U11" i="2"/>
  <c r="U10" i="2"/>
  <c r="U9" i="2"/>
  <c r="U8" i="2"/>
  <c r="U7" i="2"/>
  <c r="U6" i="2"/>
  <c r="U5" i="2"/>
  <c r="U16" i="2" s="1"/>
  <c r="M94" i="1"/>
  <c r="L94" i="1"/>
  <c r="I94" i="1"/>
  <c r="H94" i="1"/>
  <c r="J94" i="1"/>
  <c r="M62" i="1"/>
  <c r="L62" i="1"/>
  <c r="I62" i="1"/>
  <c r="H62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P31" i="1"/>
  <c r="O31" i="1"/>
  <c r="N31" i="1"/>
  <c r="M30" i="1"/>
  <c r="M31" i="1" s="1"/>
  <c r="L30" i="1"/>
  <c r="L31" i="1" s="1"/>
  <c r="I30" i="1"/>
  <c r="I31" i="1" s="1"/>
  <c r="H30" i="1"/>
  <c r="H31" i="1" s="1"/>
  <c r="AH25" i="1"/>
  <c r="T25" i="1"/>
  <c r="T26" i="1" s="1"/>
  <c r="S25" i="1"/>
  <c r="S26" i="1" s="1"/>
  <c r="R25" i="1"/>
  <c r="R26" i="1" s="1"/>
  <c r="AR22" i="1"/>
  <c r="AQ22" i="1"/>
  <c r="AG25" i="1" s="1"/>
  <c r="AP22" i="1"/>
  <c r="AF25" i="1" s="1"/>
  <c r="AG22" i="1"/>
  <c r="AF22" i="1"/>
  <c r="AE22" i="1"/>
  <c r="AE25" i="1" s="1"/>
  <c r="T19" i="1"/>
  <c r="S19" i="1"/>
  <c r="U15" i="1"/>
  <c r="U14" i="1"/>
  <c r="U13" i="1"/>
  <c r="U12" i="1"/>
  <c r="U11" i="1"/>
  <c r="U10" i="1"/>
  <c r="U9" i="1"/>
  <c r="U8" i="1"/>
  <c r="U7" i="1"/>
  <c r="U6" i="1"/>
  <c r="U5" i="1"/>
  <c r="U16" i="1" s="1"/>
  <c r="M94" i="3"/>
  <c r="L94" i="3"/>
  <c r="I94" i="3"/>
  <c r="H94" i="3"/>
  <c r="K94" i="3"/>
  <c r="J94" i="3"/>
  <c r="M62" i="3"/>
  <c r="L62" i="3"/>
  <c r="I62" i="3"/>
  <c r="H62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P31" i="3"/>
  <c r="O31" i="3"/>
  <c r="N31" i="3"/>
  <c r="M30" i="3"/>
  <c r="M31" i="3" s="1"/>
  <c r="L30" i="3"/>
  <c r="L31" i="3" s="1"/>
  <c r="I30" i="3"/>
  <c r="I31" i="3" s="1"/>
  <c r="H30" i="3"/>
  <c r="H31" i="3" s="1"/>
  <c r="AH25" i="3"/>
  <c r="T25" i="3"/>
  <c r="T26" i="3" s="1"/>
  <c r="S25" i="3"/>
  <c r="S26" i="3" s="1"/>
  <c r="R25" i="3"/>
  <c r="R26" i="3" s="1"/>
  <c r="AR22" i="3"/>
  <c r="AQ22" i="3"/>
  <c r="AG25" i="3" s="1"/>
  <c r="AP22" i="3"/>
  <c r="AF25" i="3" s="1"/>
  <c r="AG22" i="3"/>
  <c r="AF22" i="3"/>
  <c r="AE22" i="3"/>
  <c r="AE25" i="3" s="1"/>
  <c r="T19" i="3"/>
  <c r="S19" i="3"/>
  <c r="U15" i="3"/>
  <c r="U14" i="3"/>
  <c r="U13" i="3"/>
  <c r="U12" i="3"/>
  <c r="U11" i="3"/>
  <c r="U10" i="3"/>
  <c r="U9" i="3"/>
  <c r="U8" i="3"/>
  <c r="U7" i="3"/>
  <c r="U6" i="3"/>
  <c r="U5" i="3"/>
  <c r="U16" i="3" s="1"/>
  <c r="M94" i="4"/>
  <c r="L94" i="4"/>
  <c r="I94" i="4"/>
  <c r="H94" i="4"/>
  <c r="M62" i="4"/>
  <c r="L62" i="4"/>
  <c r="I62" i="4"/>
  <c r="H62" i="4"/>
  <c r="K62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P31" i="4"/>
  <c r="O31" i="4"/>
  <c r="N31" i="4"/>
  <c r="M30" i="4"/>
  <c r="M31" i="4" s="1"/>
  <c r="L30" i="4"/>
  <c r="L31" i="4" s="1"/>
  <c r="I30" i="4"/>
  <c r="I31" i="4" s="1"/>
  <c r="H30" i="4"/>
  <c r="H31" i="4" s="1"/>
  <c r="AH25" i="4"/>
  <c r="T25" i="4"/>
  <c r="T26" i="4" s="1"/>
  <c r="S25" i="4"/>
  <c r="S26" i="4" s="1"/>
  <c r="R25" i="4"/>
  <c r="R26" i="4" s="1"/>
  <c r="AR22" i="4"/>
  <c r="AQ22" i="4"/>
  <c r="AG25" i="4" s="1"/>
  <c r="AP22" i="4"/>
  <c r="AF25" i="4" s="1"/>
  <c r="AG22" i="4"/>
  <c r="AF22" i="4"/>
  <c r="AE22" i="4"/>
  <c r="AE25" i="4" s="1"/>
  <c r="T19" i="4"/>
  <c r="S19" i="4"/>
  <c r="U15" i="4"/>
  <c r="U14" i="4"/>
  <c r="U13" i="4"/>
  <c r="U12" i="4"/>
  <c r="U11" i="4"/>
  <c r="U10" i="4"/>
  <c r="U9" i="4"/>
  <c r="U8" i="4"/>
  <c r="U7" i="4"/>
  <c r="U6" i="4"/>
  <c r="U5" i="4"/>
  <c r="U16" i="4" s="1"/>
  <c r="M94" i="5"/>
  <c r="L94" i="5"/>
  <c r="I94" i="5"/>
  <c r="H94" i="5"/>
  <c r="J94" i="5"/>
  <c r="M62" i="5"/>
  <c r="L62" i="5"/>
  <c r="I62" i="5"/>
  <c r="H62" i="5"/>
  <c r="K62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P31" i="5"/>
  <c r="O31" i="5"/>
  <c r="N31" i="5"/>
  <c r="M30" i="5"/>
  <c r="M31" i="5" s="1"/>
  <c r="L30" i="5"/>
  <c r="L31" i="5" s="1"/>
  <c r="I30" i="5"/>
  <c r="I31" i="5" s="1"/>
  <c r="H30" i="5"/>
  <c r="H31" i="5" s="1"/>
  <c r="AH25" i="5"/>
  <c r="T25" i="5"/>
  <c r="T26" i="5" s="1"/>
  <c r="S25" i="5"/>
  <c r="S26" i="5" s="1"/>
  <c r="R25" i="5"/>
  <c r="R26" i="5" s="1"/>
  <c r="AR22" i="5"/>
  <c r="AQ22" i="5"/>
  <c r="AG25" i="5" s="1"/>
  <c r="AP22" i="5"/>
  <c r="AF25" i="5" s="1"/>
  <c r="AG22" i="5"/>
  <c r="AF22" i="5"/>
  <c r="AE22" i="5"/>
  <c r="AE25" i="5" s="1"/>
  <c r="T19" i="5"/>
  <c r="S19" i="5"/>
  <c r="U15" i="5"/>
  <c r="U14" i="5"/>
  <c r="U13" i="5"/>
  <c r="U12" i="5"/>
  <c r="U11" i="5"/>
  <c r="U10" i="5"/>
  <c r="U9" i="5"/>
  <c r="U8" i="5"/>
  <c r="U7" i="5"/>
  <c r="U6" i="5"/>
  <c r="U5" i="5"/>
  <c r="U16" i="5" s="1"/>
  <c r="M94" i="6"/>
  <c r="L94" i="6"/>
  <c r="I94" i="6"/>
  <c r="H94" i="6"/>
  <c r="M62" i="6"/>
  <c r="L62" i="6"/>
  <c r="I62" i="6"/>
  <c r="H62" i="6"/>
  <c r="J62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38" i="6"/>
  <c r="A37" i="6"/>
  <c r="T34" i="6"/>
  <c r="T66" i="6" s="1"/>
  <c r="O34" i="6"/>
  <c r="O66" i="6" s="1"/>
  <c r="J34" i="6"/>
  <c r="J66" i="6" s="1"/>
  <c r="A34" i="6"/>
  <c r="A66" i="6" s="1"/>
  <c r="H32" i="6"/>
  <c r="Z31" i="6"/>
  <c r="P31" i="6"/>
  <c r="O31" i="6"/>
  <c r="N31" i="6"/>
  <c r="M30" i="6"/>
  <c r="M31" i="6" s="1"/>
  <c r="L30" i="6"/>
  <c r="L31" i="6" s="1"/>
  <c r="I30" i="6"/>
  <c r="I31" i="6" s="1"/>
  <c r="H30" i="6"/>
  <c r="H31" i="6" s="1"/>
  <c r="AH25" i="6"/>
  <c r="T25" i="6"/>
  <c r="T26" i="6" s="1"/>
  <c r="S25" i="6"/>
  <c r="S26" i="6" s="1"/>
  <c r="R25" i="6"/>
  <c r="R26" i="6" s="1"/>
  <c r="AR22" i="6"/>
  <c r="AQ22" i="6"/>
  <c r="AG25" i="6" s="1"/>
  <c r="AP22" i="6"/>
  <c r="AF25" i="6" s="1"/>
  <c r="AG22" i="6"/>
  <c r="AF22" i="6"/>
  <c r="AE22" i="6"/>
  <c r="AE25" i="6" s="1"/>
  <c r="T19" i="6"/>
  <c r="S19" i="6"/>
  <c r="U15" i="6"/>
  <c r="U14" i="6"/>
  <c r="U13" i="6"/>
  <c r="U12" i="6"/>
  <c r="U11" i="6"/>
  <c r="U10" i="6"/>
  <c r="U9" i="6"/>
  <c r="U8" i="6"/>
  <c r="U7" i="6"/>
  <c r="U6" i="6"/>
  <c r="U5" i="6"/>
  <c r="U16" i="6" s="1"/>
  <c r="T19" i="7"/>
  <c r="S19" i="7"/>
  <c r="K31" i="2" l="1"/>
  <c r="K31" i="5"/>
  <c r="K30" i="1"/>
  <c r="K31" i="1" s="1"/>
  <c r="K30" i="3"/>
  <c r="K31" i="3" s="1"/>
  <c r="K30" i="6"/>
  <c r="K31" i="6" s="1"/>
  <c r="J30" i="6"/>
  <c r="S32" i="2"/>
  <c r="H33" i="8" s="1"/>
  <c r="S32" i="1"/>
  <c r="H28" i="8" s="1"/>
  <c r="S32" i="3"/>
  <c r="H23" i="8" s="1"/>
  <c r="S32" i="4"/>
  <c r="H18" i="8" s="1"/>
  <c r="S32" i="5"/>
  <c r="H13" i="8" s="1"/>
  <c r="S32" i="6"/>
  <c r="H8" i="8" s="1"/>
  <c r="J62" i="2"/>
  <c r="J31" i="2" s="1"/>
  <c r="J31" i="1"/>
  <c r="J31" i="3"/>
  <c r="J30" i="5"/>
  <c r="J31" i="5" s="1"/>
  <c r="J30" i="4"/>
  <c r="J31" i="4" s="1"/>
  <c r="K30" i="4"/>
  <c r="K31" i="4" s="1"/>
  <c r="AD25" i="2"/>
  <c r="AI25" i="2"/>
  <c r="S16" i="2"/>
  <c r="R16" i="2"/>
  <c r="Z32" i="2"/>
  <c r="Z33" i="2" s="1"/>
  <c r="S31" i="2"/>
  <c r="T31" i="2"/>
  <c r="AD25" i="1"/>
  <c r="AI25" i="1"/>
  <c r="S16" i="1"/>
  <c r="R16" i="1"/>
  <c r="Z32" i="1"/>
  <c r="Z33" i="1" s="1"/>
  <c r="S31" i="1"/>
  <c r="T31" i="1"/>
  <c r="AD25" i="3"/>
  <c r="AI25" i="3"/>
  <c r="S16" i="3"/>
  <c r="R16" i="3"/>
  <c r="Z32" i="3"/>
  <c r="Z33" i="3" s="1"/>
  <c r="S31" i="3"/>
  <c r="H22" i="8" s="1"/>
  <c r="T31" i="3"/>
  <c r="AD25" i="4"/>
  <c r="AI25" i="4"/>
  <c r="S16" i="4"/>
  <c r="R16" i="4"/>
  <c r="Z32" i="4"/>
  <c r="Z33" i="4" s="1"/>
  <c r="S31" i="4"/>
  <c r="Y39" i="8"/>
  <c r="T31" i="4"/>
  <c r="AI25" i="5"/>
  <c r="AD25" i="5"/>
  <c r="S16" i="5"/>
  <c r="R16" i="5"/>
  <c r="S31" i="5"/>
  <c r="Z32" i="5"/>
  <c r="Z33" i="5" s="1"/>
  <c r="T31" i="5"/>
  <c r="S16" i="6"/>
  <c r="R16" i="6"/>
  <c r="J31" i="6"/>
  <c r="AD25" i="6"/>
  <c r="AI25" i="6"/>
  <c r="S31" i="6"/>
  <c r="H7" i="8" s="1"/>
  <c r="Z32" i="6"/>
  <c r="Z33" i="6" s="1"/>
  <c r="T31" i="6"/>
  <c r="H34" i="8"/>
  <c r="H32" i="8"/>
  <c r="H27" i="8"/>
  <c r="H17" i="8"/>
  <c r="H12" i="8"/>
  <c r="L36" i="8"/>
  <c r="L31" i="8"/>
  <c r="L26" i="8"/>
  <c r="L21" i="8"/>
  <c r="L16" i="8"/>
  <c r="L11" i="8"/>
  <c r="L6" i="8"/>
  <c r="E36" i="8"/>
  <c r="E31" i="8"/>
  <c r="E2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4" i="7"/>
  <c r="J94" i="7"/>
  <c r="M62" i="7"/>
  <c r="L62" i="7"/>
  <c r="I62" i="7"/>
  <c r="H62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38" i="7"/>
  <c r="A37" i="7"/>
  <c r="T34" i="7"/>
  <c r="T66" i="7" s="1"/>
  <c r="O34" i="7"/>
  <c r="O66" i="7" s="1"/>
  <c r="J34" i="7"/>
  <c r="J66" i="7" s="1"/>
  <c r="H32" i="7"/>
  <c r="Z31" i="7"/>
  <c r="O39" i="8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AH25" i="7"/>
  <c r="T25" i="7"/>
  <c r="T26" i="7" s="1"/>
  <c r="S25" i="7"/>
  <c r="S26" i="7" s="1"/>
  <c r="R25" i="7"/>
  <c r="R26" i="7" s="1"/>
  <c r="AR22" i="7"/>
  <c r="AQ22" i="7"/>
  <c r="AG25" i="7" s="1"/>
  <c r="AP22" i="7"/>
  <c r="AF25" i="7" s="1"/>
  <c r="AG22" i="7"/>
  <c r="AF22" i="7"/>
  <c r="AE22" i="7"/>
  <c r="AE25" i="7" s="1"/>
  <c r="U15" i="7"/>
  <c r="U14" i="7"/>
  <c r="U13" i="7"/>
  <c r="U12" i="7"/>
  <c r="U11" i="7"/>
  <c r="U10" i="7"/>
  <c r="U9" i="7"/>
  <c r="U8" i="7"/>
  <c r="U7" i="7"/>
  <c r="U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1" l="1"/>
  <c r="O32" i="1" s="1"/>
  <c r="C32" i="5"/>
  <c r="C32" i="3"/>
  <c r="O32" i="3" s="1"/>
  <c r="H35" i="8"/>
  <c r="V32" i="8" s="1"/>
  <c r="C32" i="2"/>
  <c r="O32" i="2" s="1"/>
  <c r="L33" i="8" s="1"/>
  <c r="C32" i="4"/>
  <c r="K32" i="4" s="1"/>
  <c r="P32" i="5"/>
  <c r="O32" i="5"/>
  <c r="U25" i="3"/>
  <c r="T16" i="3"/>
  <c r="N32" i="3"/>
  <c r="U25" i="5"/>
  <c r="K32" i="5"/>
  <c r="T16" i="5"/>
  <c r="N32" i="5"/>
  <c r="Q32" i="5"/>
  <c r="C32" i="6"/>
  <c r="P32" i="6" s="1"/>
  <c r="Q32" i="6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T16" i="1"/>
  <c r="K32" i="1"/>
  <c r="Q32" i="1"/>
  <c r="U25" i="1"/>
  <c r="N32" i="1"/>
  <c r="P32" i="1"/>
  <c r="Q32" i="3"/>
  <c r="P32" i="3"/>
  <c r="K32" i="3"/>
  <c r="U25" i="4"/>
  <c r="Q32" i="2"/>
  <c r="L35" i="8" s="1"/>
  <c r="N32" i="2"/>
  <c r="L32" i="8" s="1"/>
  <c r="T16" i="2"/>
  <c r="P32" i="2"/>
  <c r="L34" i="8" s="1"/>
  <c r="K32" i="2"/>
  <c r="O32" i="4"/>
  <c r="P32" i="4"/>
  <c r="Q32" i="4"/>
  <c r="T16" i="4"/>
  <c r="N32" i="4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<sst xmlns="http://schemas.openxmlformats.org/spreadsheetml/2006/main" count="1788" uniqueCount="452">
  <si>
    <t>B2 Daily Report</t>
    <phoneticPr fontId="3" type="noConversion"/>
  </si>
  <si>
    <t>WEATHER</t>
    <phoneticPr fontId="3" type="noConversion"/>
  </si>
  <si>
    <t>MIX</t>
  </si>
  <si>
    <t>REPORT BY</t>
    <phoneticPr fontId="3" type="noConversion"/>
  </si>
  <si>
    <t>SURESH</t>
  </si>
  <si>
    <t>TOTAL STAFF</t>
    <phoneticPr fontId="3" type="noConversion"/>
  </si>
  <si>
    <t>Merchant machine usage at B2</t>
  </si>
  <si>
    <t>Settle amount</t>
  </si>
  <si>
    <t>Merchant machine usage at GA</t>
  </si>
  <si>
    <t xml:space="preserve"> </t>
  </si>
  <si>
    <t>No</t>
  </si>
  <si>
    <t>Docket No</t>
    <phoneticPr fontId="3" type="noConversion"/>
  </si>
  <si>
    <t>Reg No</t>
  </si>
  <si>
    <t>Mobile</t>
    <phoneticPr fontId="3" type="noConversion"/>
  </si>
  <si>
    <t>Gender</t>
    <phoneticPr fontId="3" type="noConversion"/>
  </si>
  <si>
    <t>TIME</t>
    <phoneticPr fontId="3" type="noConversion"/>
  </si>
  <si>
    <t>Service</t>
  </si>
  <si>
    <t>CASH</t>
    <phoneticPr fontId="3" type="noConversion"/>
  </si>
  <si>
    <t>CARD</t>
    <phoneticPr fontId="3" type="noConversion"/>
  </si>
  <si>
    <t>RSL</t>
    <phoneticPr fontId="3" type="noConversion"/>
  </si>
  <si>
    <t>GV</t>
    <phoneticPr fontId="3" type="noConversion"/>
  </si>
  <si>
    <t>GV CASH</t>
    <phoneticPr fontId="3" type="noConversion"/>
  </si>
  <si>
    <t>GV CARD</t>
    <phoneticPr fontId="3" type="noConversion"/>
  </si>
  <si>
    <t>O/Taker</t>
  </si>
  <si>
    <t xml:space="preserve"> Comment</t>
  </si>
  <si>
    <t>NAME</t>
    <phoneticPr fontId="3" type="noConversion"/>
  </si>
  <si>
    <t>Time In</t>
  </si>
  <si>
    <t>Time out</t>
  </si>
  <si>
    <t>Total Hours</t>
    <phoneticPr fontId="3" type="noConversion"/>
  </si>
  <si>
    <t>B2 machine</t>
  </si>
  <si>
    <t>BLH machine</t>
  </si>
  <si>
    <t>Wongo</t>
  </si>
  <si>
    <t>GA machine</t>
  </si>
  <si>
    <t>CNW91H</t>
  </si>
  <si>
    <t>045326823</t>
  </si>
  <si>
    <t>F</t>
  </si>
  <si>
    <t>RSL</t>
  </si>
  <si>
    <t>CRSL20-5187,5182,5075</t>
  </si>
  <si>
    <t>NOV</t>
    <phoneticPr fontId="3" type="noConversion"/>
  </si>
  <si>
    <t>CDS63N</t>
  </si>
  <si>
    <t>0410611740</t>
  </si>
  <si>
    <t>X</t>
  </si>
  <si>
    <t>SAFAL</t>
  </si>
  <si>
    <t>M</t>
    <phoneticPr fontId="3" type="noConversion"/>
  </si>
  <si>
    <t>DE79AM</t>
  </si>
  <si>
    <t>0450804912</t>
  </si>
  <si>
    <t>F</t>
    <phoneticPr fontId="3" type="noConversion"/>
  </si>
  <si>
    <t>EUX71U</t>
  </si>
  <si>
    <t>0430158566</t>
  </si>
  <si>
    <t>PCL/X</t>
  </si>
  <si>
    <t>B2PCL24593($475)3/6</t>
  </si>
  <si>
    <t>FHZ18A</t>
  </si>
  <si>
    <t>0434369230</t>
  </si>
  <si>
    <t>M</t>
  </si>
  <si>
    <t>GV/X</t>
  </si>
  <si>
    <t>XD503-913(BAL165)</t>
  </si>
  <si>
    <t>EXCL RSL</t>
    <phoneticPr fontId="3" type="noConversion"/>
  </si>
  <si>
    <t>CTC97S</t>
  </si>
  <si>
    <t>0417043431</t>
  </si>
  <si>
    <t>HP</t>
  </si>
  <si>
    <t>DWK07V</t>
  </si>
  <si>
    <t>0424680866</t>
  </si>
  <si>
    <t>CRSL20-1172,1791,1940</t>
  </si>
  <si>
    <t>EQ130W</t>
  </si>
  <si>
    <t>0418432402</t>
  </si>
  <si>
    <t>RSL/HP</t>
  </si>
  <si>
    <t>CRSL20-5472,5430,5431,5429,5428,5485</t>
  </si>
  <si>
    <t>YML59C</t>
  </si>
  <si>
    <t>0451236879</t>
  </si>
  <si>
    <t>B2PCL24528($474)5/6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</si>
  <si>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</si>
  <si>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</si>
  <si>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</si>
  <si>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</si>
  <si>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ITEM</t>
    <phoneticPr fontId="3" type="noConversion"/>
  </si>
  <si>
    <t>QTY</t>
  </si>
  <si>
    <t>AMT</t>
  </si>
  <si>
    <t>RMKS</t>
    <phoneticPr fontId="3" type="noConversion"/>
  </si>
  <si>
    <t>Total</t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</si>
  <si>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</si>
  <si>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</si>
  <si>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</si>
  <si>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</si>
  <si>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B2/GA TOTAL</t>
  </si>
  <si>
    <t>Wongo machine</t>
  </si>
  <si>
    <t>Sub total</t>
  </si>
  <si>
    <t>Branch cards</t>
  </si>
  <si>
    <t>Expense</t>
    <phoneticPr fontId="3" type="noConversion"/>
  </si>
  <si>
    <t xml:space="preserve"> </t>
    <phoneticPr fontId="3" type="noConversion"/>
  </si>
  <si>
    <t>Page total</t>
    <phoneticPr fontId="3" type="noConversion"/>
  </si>
  <si>
    <t>CASH</t>
  </si>
  <si>
    <t>Daily Total</t>
  </si>
  <si>
    <t>CASH CLOSING</t>
    <phoneticPr fontId="3" type="noConversion"/>
  </si>
  <si>
    <t>Subtotal</t>
    <phoneticPr fontId="3" type="noConversion"/>
  </si>
  <si>
    <t>TOTAL SALES</t>
    <phoneticPr fontId="3" type="noConversion"/>
  </si>
  <si>
    <t>No of Cars</t>
    <phoneticPr fontId="3" type="noConversion"/>
  </si>
  <si>
    <t>Average</t>
    <phoneticPr fontId="3" type="noConversion"/>
  </si>
  <si>
    <t>CARD CLOSING</t>
    <phoneticPr fontId="3" type="noConversion"/>
  </si>
  <si>
    <t>B2 card</t>
    <phoneticPr fontId="3" type="noConversion"/>
  </si>
  <si>
    <t>Daily Report</t>
    <phoneticPr fontId="3" type="noConversion"/>
  </si>
  <si>
    <t>Settlement</t>
    <phoneticPr fontId="3" type="noConversion"/>
  </si>
  <si>
    <t>REPORT by</t>
    <phoneticPr fontId="3" type="noConversion"/>
  </si>
  <si>
    <t>Page: 2</t>
  </si>
  <si>
    <t>Page: 3</t>
    <phoneticPr fontId="3" type="noConversion"/>
  </si>
  <si>
    <t>RAIN</t>
  </si>
  <si>
    <t>BWIP6Z</t>
  </si>
  <si>
    <t>0415466575</t>
  </si>
  <si>
    <t>XD503-789(BAL225)</t>
  </si>
  <si>
    <t>CK95RL</t>
  </si>
  <si>
    <t>0476125731</t>
  </si>
  <si>
    <t>TAX</t>
  </si>
  <si>
    <t>EAP95Q</t>
  </si>
  <si>
    <t>0410403603</t>
  </si>
  <si>
    <t>X/ST</t>
  </si>
  <si>
    <t>BCQ85U</t>
  </si>
  <si>
    <t>0447450447</t>
  </si>
  <si>
    <t>EW</t>
  </si>
  <si>
    <t>FND35C</t>
  </si>
  <si>
    <t>0417155268</t>
  </si>
  <si>
    <t>NEW B2PCL25708($475)1/6</t>
  </si>
  <si>
    <t>CHZ16J</t>
  </si>
  <si>
    <t>0410208598</t>
  </si>
  <si>
    <t>ID</t>
  </si>
  <si>
    <t>BXC11N</t>
  </si>
  <si>
    <t>0402208264</t>
  </si>
  <si>
    <t>EWU58X</t>
  </si>
  <si>
    <t>0412248060</t>
  </si>
  <si>
    <t>CLOUDY</t>
  </si>
  <si>
    <t>HENDRA</t>
  </si>
  <si>
    <t>FBA73U</t>
  </si>
  <si>
    <t>0488741742</t>
  </si>
  <si>
    <t>GV/SD</t>
  </si>
  <si>
    <t>XD503-702(BAL0)</t>
  </si>
  <si>
    <t>CTG58M</t>
  </si>
  <si>
    <t>0401699464</t>
  </si>
  <si>
    <t>SUPER</t>
  </si>
  <si>
    <t>YBH15V</t>
  </si>
  <si>
    <t>0433917209</t>
  </si>
  <si>
    <t>KUROSH</t>
  </si>
  <si>
    <t>EPK76Q</t>
  </si>
  <si>
    <t>0410338611</t>
  </si>
  <si>
    <t>B2 23450(6/6)$475</t>
  </si>
  <si>
    <t>DLT68T</t>
  </si>
  <si>
    <t>0427397768</t>
  </si>
  <si>
    <t xml:space="preserve">ST BABY SEAT </t>
  </si>
  <si>
    <t>XD50-1715(BAL0)</t>
  </si>
  <si>
    <t>MONA(OFFICE)</t>
  </si>
  <si>
    <t>NBK89J</t>
  </si>
  <si>
    <t>0416086312</t>
  </si>
  <si>
    <t>CRSL20-3750,3757,3826</t>
  </si>
  <si>
    <t>BGP93R</t>
  </si>
  <si>
    <t>0422944577</t>
  </si>
  <si>
    <t>EHU87A</t>
  </si>
  <si>
    <t>0450437668</t>
  </si>
  <si>
    <t>B2 25702(1/6)$475</t>
  </si>
  <si>
    <t>FMC78G</t>
  </si>
  <si>
    <t>0430316562</t>
  </si>
  <si>
    <t>EEW81S</t>
  </si>
  <si>
    <t>0409748881</t>
  </si>
  <si>
    <t>XD503-549(B.0), XD503-917,XD501-495,496(NEW)</t>
  </si>
  <si>
    <t>FGT32D</t>
  </si>
  <si>
    <t>0412947880</t>
  </si>
  <si>
    <t>DMW12V</t>
  </si>
  <si>
    <t>0433923876</t>
  </si>
  <si>
    <t>CRSL20-5416,5438,5451</t>
  </si>
  <si>
    <t>SUNNY</t>
  </si>
  <si>
    <t>EIQ21V</t>
  </si>
  <si>
    <t>0414376669</t>
  </si>
  <si>
    <t>LEATHER</t>
  </si>
  <si>
    <t>CMV76U</t>
  </si>
  <si>
    <t>0420724707</t>
  </si>
  <si>
    <t>ERT66D</t>
  </si>
  <si>
    <t>0404125119</t>
  </si>
  <si>
    <t>PCL/HP</t>
  </si>
  <si>
    <t>B2PCL23459($750)4/6</t>
  </si>
  <si>
    <t>MUNAL</t>
  </si>
  <si>
    <t>EB595</t>
  </si>
  <si>
    <t>0408116398</t>
  </si>
  <si>
    <t>SHIVA</t>
  </si>
  <si>
    <t>EK88EK</t>
  </si>
  <si>
    <t>0410181408</t>
  </si>
  <si>
    <t>CRSL20-3968,3972,3875</t>
  </si>
  <si>
    <t>CQD39N</t>
  </si>
  <si>
    <t>0404197139</t>
  </si>
  <si>
    <t>B2PCL24503($475)6/6, NEW B2PCL25709($475)\</t>
  </si>
  <si>
    <t>EZE26W</t>
  </si>
  <si>
    <t>0406770517</t>
  </si>
  <si>
    <t>FZY88V</t>
  </si>
  <si>
    <t>0416916666</t>
  </si>
  <si>
    <t>BEL368</t>
  </si>
  <si>
    <t>0404038783</t>
  </si>
  <si>
    <t>EWPA0Y</t>
  </si>
  <si>
    <t>0481553313</t>
  </si>
  <si>
    <t>GAPCL23241($474)6/6</t>
  </si>
  <si>
    <t>FFV91B</t>
  </si>
  <si>
    <t>0457222222</t>
  </si>
  <si>
    <t>ERG19A</t>
  </si>
  <si>
    <t>04048685705</t>
  </si>
  <si>
    <t>LCPCL23010($600)3/6</t>
  </si>
  <si>
    <t>SV212</t>
  </si>
  <si>
    <t>0403257868</t>
  </si>
  <si>
    <t>D</t>
  </si>
  <si>
    <t>EIU13C</t>
  </si>
  <si>
    <t>0414665774</t>
  </si>
  <si>
    <t>LP127</t>
  </si>
  <si>
    <t>0419417672</t>
  </si>
  <si>
    <t>NCJ90L</t>
  </si>
  <si>
    <t>0408913836</t>
  </si>
  <si>
    <t>ERF67G</t>
  </si>
  <si>
    <t>0410667547</t>
  </si>
  <si>
    <t>CRSL20-1108,1702,1790</t>
  </si>
  <si>
    <t>EVC58T</t>
  </si>
  <si>
    <t>04023733728</t>
  </si>
  <si>
    <t>DPK34H</t>
  </si>
  <si>
    <t>0404029883</t>
  </si>
  <si>
    <t>PF888</t>
  </si>
  <si>
    <t>0400167996</t>
  </si>
  <si>
    <t>PCS/HP</t>
  </si>
  <si>
    <t>B2PCS24231($550)1/6</t>
  </si>
  <si>
    <t>YKG80C</t>
  </si>
  <si>
    <t>0468470183</t>
  </si>
  <si>
    <t>B2PCL23272($475)6/6, NEW B2PCL25710($700)</t>
  </si>
  <si>
    <t>YDX57F</t>
  </si>
  <si>
    <t>04663967824</t>
  </si>
  <si>
    <t>LAXMAN</t>
  </si>
  <si>
    <t>G3590</t>
  </si>
  <si>
    <t>0412866075</t>
  </si>
  <si>
    <t>MEGA99</t>
  </si>
  <si>
    <t>0426255458</t>
  </si>
  <si>
    <t>PCS/X</t>
  </si>
  <si>
    <t>B2PCS23214($378)6/6</t>
  </si>
  <si>
    <t>CDTJ0Q</t>
  </si>
  <si>
    <t>0409712285</t>
  </si>
  <si>
    <t>GAPCS22128($474)6/6</t>
  </si>
  <si>
    <t>MONA (OFFICE)</t>
  </si>
  <si>
    <t>ERR852</t>
  </si>
  <si>
    <t>0418634823</t>
  </si>
  <si>
    <t>FHS37V</t>
  </si>
  <si>
    <t>0421036626</t>
  </si>
  <si>
    <t>FCX85H</t>
  </si>
  <si>
    <t>0431640483</t>
  </si>
  <si>
    <t>BUFF</t>
  </si>
  <si>
    <t>AKB88A</t>
  </si>
  <si>
    <t>0414883455</t>
  </si>
  <si>
    <t>B2PCL23409($450)2/6</t>
  </si>
  <si>
    <t>FGY10B</t>
  </si>
  <si>
    <t>0450123350</t>
  </si>
  <si>
    <t>CRSL20-5253,4964,5294,5005,5036,5092</t>
  </si>
  <si>
    <t>EYD97W</t>
  </si>
  <si>
    <t>0417652063</t>
  </si>
  <si>
    <t>CVO60P</t>
  </si>
  <si>
    <t>0408315956</t>
  </si>
  <si>
    <t>NBV70R</t>
  </si>
  <si>
    <t>0410949619</t>
  </si>
  <si>
    <t>B2PCL24659($650)3/6</t>
  </si>
  <si>
    <t>EVU20M</t>
  </si>
  <si>
    <t>0416047085</t>
  </si>
  <si>
    <t>EZC97F</t>
  </si>
  <si>
    <t>0466222870</t>
  </si>
  <si>
    <t>B2PCL24638($475)2/6</t>
  </si>
  <si>
    <t>DCJ96J</t>
  </si>
  <si>
    <t>0410051551</t>
  </si>
  <si>
    <t>FEM89M</t>
  </si>
  <si>
    <t>0416660066</t>
  </si>
  <si>
    <t>CA86SN</t>
  </si>
  <si>
    <t>0403630008</t>
  </si>
  <si>
    <t>NXX086</t>
  </si>
  <si>
    <t>0408270930</t>
  </si>
  <si>
    <t>NBV65W</t>
  </si>
  <si>
    <t>0432713177</t>
  </si>
  <si>
    <t>CRSL20-4241,3669,3560,3869</t>
  </si>
  <si>
    <t>ATET</t>
  </si>
  <si>
    <t>HON23A</t>
  </si>
  <si>
    <t>0419406873</t>
  </si>
  <si>
    <t>XD501-488(BAL5)</t>
  </si>
  <si>
    <t>EVE851</t>
  </si>
  <si>
    <t>0415848152</t>
  </si>
  <si>
    <t>RAMESH</t>
  </si>
  <si>
    <t>ECB91A</t>
  </si>
  <si>
    <t>0452583378</t>
  </si>
  <si>
    <t>GV/EW</t>
  </si>
  <si>
    <t>XD503-785(BAL25)</t>
  </si>
  <si>
    <t>EWM60D</t>
  </si>
  <si>
    <t>0438041788</t>
  </si>
  <si>
    <t>XD503-792(BAL225),XD501-486(BAL0)</t>
  </si>
  <si>
    <t>FEW97M</t>
  </si>
  <si>
    <t>04305780380</t>
  </si>
  <si>
    <t>ISS111</t>
  </si>
  <si>
    <t>0404038589</t>
  </si>
  <si>
    <t>PCS/VIP/HP</t>
  </si>
  <si>
    <t>B2VIP003-24($2500)8/26</t>
  </si>
  <si>
    <t>VV2888</t>
  </si>
  <si>
    <t>0408844728</t>
  </si>
  <si>
    <t>B2PCL24639($600)4/6</t>
  </si>
  <si>
    <t>DMZ93B</t>
  </si>
  <si>
    <t>0430335999</t>
  </si>
  <si>
    <t>XD501-622(BAL65), XD501-612(BAL0)</t>
  </si>
  <si>
    <t>BB2233</t>
  </si>
  <si>
    <t>0411393272</t>
  </si>
  <si>
    <t>B2PCS23203($475)5/6</t>
  </si>
  <si>
    <t>??</t>
  </si>
  <si>
    <t>0430176775</t>
  </si>
  <si>
    <t>GV/HP</t>
  </si>
  <si>
    <t>XD503-915(BAL0)</t>
  </si>
  <si>
    <t>DPS63J</t>
  </si>
  <si>
    <t>04102428880</t>
  </si>
  <si>
    <t>B2PCS23193($375)3/6</t>
  </si>
  <si>
    <t>EA0596</t>
  </si>
  <si>
    <t>0451374668</t>
  </si>
  <si>
    <t>B2PCS23202($375)4/6</t>
  </si>
  <si>
    <t>EAK09N</t>
  </si>
  <si>
    <t>0418489992</t>
  </si>
  <si>
    <t>CZG81H</t>
  </si>
  <si>
    <t>0412236138</t>
  </si>
  <si>
    <t>B2PCL24644($475)3/6</t>
  </si>
  <si>
    <t>DSM87T</t>
  </si>
  <si>
    <t>0411352252</t>
  </si>
  <si>
    <t>EZJ55K</t>
  </si>
  <si>
    <t>0420639393</t>
  </si>
  <si>
    <t>XD503-538(BAL0)</t>
  </si>
  <si>
    <t>JC3328</t>
  </si>
  <si>
    <t>0414615104</t>
  </si>
  <si>
    <t>DHG92L</t>
  </si>
  <si>
    <t>0420815778</t>
  </si>
  <si>
    <t>B2PCL24602(4600)5/6</t>
  </si>
  <si>
    <t>77MAI</t>
  </si>
  <si>
    <t>0433392282</t>
  </si>
  <si>
    <t>B2PCL24622($475)2/6</t>
  </si>
  <si>
    <t>EXO33T</t>
  </si>
  <si>
    <t>0431083945</t>
  </si>
  <si>
    <t>DK50PA</t>
  </si>
  <si>
    <t>0466482348</t>
  </si>
  <si>
    <t>B2PCL24636($475)4/6</t>
  </si>
  <si>
    <t>FMQ982</t>
  </si>
  <si>
    <t>0421029835</t>
  </si>
  <si>
    <t>CRSL20-5282,5279,5288</t>
  </si>
  <si>
    <t>ES229J</t>
  </si>
  <si>
    <t>.0412020432</t>
  </si>
  <si>
    <t>DQF60C</t>
  </si>
  <si>
    <t>0433258692</t>
  </si>
  <si>
    <t>CRSL20-3715,3629,4176</t>
  </si>
  <si>
    <t>ETD67A</t>
  </si>
  <si>
    <t>0416878627</t>
  </si>
  <si>
    <t>BMV93C</t>
  </si>
  <si>
    <t>0400223679</t>
  </si>
  <si>
    <t>AWV17K</t>
  </si>
  <si>
    <t>0408316889</t>
  </si>
  <si>
    <t>DPP85L</t>
  </si>
  <si>
    <t>0406662338</t>
  </si>
  <si>
    <t>GAPCL23226($474)6/6, NEW B2PCL25711($600)</t>
  </si>
  <si>
    <t>ELP62Y</t>
  </si>
  <si>
    <t>0424368299</t>
  </si>
  <si>
    <t>EW/HP</t>
  </si>
  <si>
    <t>T9023</t>
  </si>
  <si>
    <t>0452341626</t>
  </si>
  <si>
    <t>CRSL20-5214,5158,5353</t>
  </si>
  <si>
    <t>W92</t>
  </si>
  <si>
    <t>0415499292</t>
  </si>
  <si>
    <t>EWPCL24469($475)5/6</t>
  </si>
  <si>
    <t>FGB81E</t>
  </si>
  <si>
    <t>0413998382</t>
  </si>
  <si>
    <t>FD</t>
  </si>
  <si>
    <t>EJO88U</t>
  </si>
  <si>
    <t>0491126888</t>
  </si>
  <si>
    <t>SHUBHAM</t>
  </si>
  <si>
    <t>NCL10L</t>
  </si>
  <si>
    <t>045045337</t>
  </si>
  <si>
    <t>LEXUS20-60</t>
  </si>
  <si>
    <t>EFA83S</t>
  </si>
  <si>
    <t>0466679477</t>
  </si>
  <si>
    <t>EWN89X</t>
  </si>
  <si>
    <t>0455301968</t>
  </si>
  <si>
    <t>FFH64B</t>
  </si>
  <si>
    <t>0411207416</t>
  </si>
  <si>
    <t>MM0706</t>
  </si>
  <si>
    <t>0408417447</t>
  </si>
  <si>
    <t>DD3333</t>
  </si>
  <si>
    <t>0413098073</t>
  </si>
  <si>
    <t>B2PCS24236($475)1/6</t>
  </si>
  <si>
    <t>EWE834</t>
  </si>
  <si>
    <t>0417738188</t>
  </si>
  <si>
    <t>PCL/VIP/HP</t>
  </si>
  <si>
    <t>B2VIP004-24($3000)8/26</t>
  </si>
  <si>
    <t>DM77EE</t>
  </si>
  <si>
    <t>0405856603</t>
  </si>
  <si>
    <t>CRSL20-5489,5357,5350</t>
  </si>
  <si>
    <t>IE8888</t>
  </si>
  <si>
    <t>0406646578</t>
  </si>
  <si>
    <t>CTY91A</t>
  </si>
  <si>
    <t>EHU83R</t>
  </si>
  <si>
    <t>0408995699</t>
  </si>
  <si>
    <t>17PIA</t>
  </si>
  <si>
    <t>0403003636</t>
  </si>
  <si>
    <t>GT7</t>
  </si>
  <si>
    <t>EHW72A</t>
  </si>
  <si>
    <t>0468958884</t>
  </si>
  <si>
    <t>B2PCL24619($600)3/6</t>
  </si>
  <si>
    <t>FLW021</t>
  </si>
  <si>
    <t>0451540515</t>
  </si>
  <si>
    <t>XD503-795(4300)BAL140</t>
  </si>
  <si>
    <t>CRR68A</t>
  </si>
  <si>
    <t>0413880622</t>
  </si>
  <si>
    <t>EXV76Q</t>
  </si>
  <si>
    <t>0418844491</t>
  </si>
  <si>
    <t>YJK68D</t>
  </si>
  <si>
    <t>0450071803</t>
  </si>
  <si>
    <t>NCB67Y</t>
  </si>
  <si>
    <t>0499700008</t>
  </si>
  <si>
    <t>NCN87T</t>
  </si>
  <si>
    <t>0466763385</t>
  </si>
  <si>
    <t>BZD29T</t>
  </si>
  <si>
    <t>0412373911</t>
  </si>
  <si>
    <t>EYN84L</t>
  </si>
  <si>
    <t>0437188178</t>
  </si>
  <si>
    <t>XD50-1695(BAL10), XD501-418(BAL0)</t>
  </si>
  <si>
    <t>OBSIDN</t>
  </si>
  <si>
    <t>0408998998</t>
  </si>
  <si>
    <t>B2PCL24637($475)4/6</t>
  </si>
  <si>
    <t>EZV75U</t>
  </si>
  <si>
    <t>0428106040</t>
  </si>
  <si>
    <t>B2PCL24594($630)4/6</t>
  </si>
  <si>
    <t>EIE60L</t>
  </si>
  <si>
    <t>04100200994</t>
  </si>
  <si>
    <t>ERY90H</t>
  </si>
  <si>
    <t>0413870353</t>
  </si>
  <si>
    <t>313CT7</t>
  </si>
  <si>
    <t>0405608773</t>
  </si>
  <si>
    <t>CRSL20-5097,5045,5237</t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</si>
  <si>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</si>
  <si>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</si>
  <si>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</si>
  <si>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</si>
  <si>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</si>
  <si>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</si>
  <si>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MON</t>
    <phoneticPr fontId="3" type="noConversion"/>
  </si>
  <si>
    <t>Cash</t>
    <phoneticPr fontId="3" type="noConversion"/>
  </si>
  <si>
    <t>Card</t>
    <phoneticPr fontId="3" type="noConversion"/>
  </si>
  <si>
    <t xml:space="preserve">hrs </t>
    <phoneticPr fontId="3" type="noConversion"/>
  </si>
  <si>
    <t>no. staff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</si>
  <si>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</si>
  <si>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</si>
  <si>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</si>
  <si>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FR I</t>
    <phoneticPr fontId="3" type="noConversion"/>
  </si>
  <si>
    <t>SAT</t>
    <phoneticPr fontId="3" type="noConversion"/>
  </si>
  <si>
    <t>SUN</t>
    <phoneticPr fontId="3" type="noConversion"/>
  </si>
  <si>
    <t>TOTAL CARS</t>
  </si>
  <si>
    <t>GV SOLD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</si>
  <si>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</si>
  <si>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</si>
  <si>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</si>
  <si>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</si>
  <si>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STAFF HRS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</si>
</sst>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&quot;₩&quot;* #,##0_-;\-&quot;₩&quot;* #,##0_-;_-&quot;₩&quot;* &quot;-&quot;_-;_-@_-"/>
    <numFmt numFmtId="165" formatCode="\$#,##0_);[Red]\(\$#,##0\)"/>
    <numFmt numFmtId="166" formatCode="\$#,##0.00_);[Red]\(\$#,##0.00\)"/>
    <numFmt numFmtId="167" formatCode="\$#,##0.00"/>
    <numFmt numFmtId="168" formatCode="h:mm;@"/>
    <numFmt numFmtId="169" formatCode="0.00_);[Red]\(0.00\)"/>
    <numFmt numFmtId="170" formatCode="0_);[Red]\(0\)"/>
    <numFmt numFmtId="171" formatCode="0.00_ "/>
    <numFmt numFmtId="172" formatCode="#,##0.0;[Red]#,##0.0"/>
    <numFmt numFmtId="173" formatCode="[$$-C09]#,##0.00"/>
    <numFmt numFmtId="174" formatCode="_-\$* #,##0.00_ ;_-\$* \-#,##0.00\ ;_-\$* &quot;-&quot;??_ ;_-@_ "/>
    <numFmt numFmtId="175" formatCode="[$-F800]dddd\,\ mmmm\ dd\,\ yyyy"/>
  </numFmts>
  <fonts count="3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0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sz val="11"/>
      <name val="Calibri"/>
      <family val="2"/>
      <scheme val="minor"/>
    </font>
    <font>
      <b/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"/>
      <color theme="0"/>
      <name val="Calibri"/>
      <family val="3"/>
      <charset val="129"/>
      <scheme val="minor"/>
    </font>
    <font>
      <b/>
      <sz val="28"/>
      <color theme="1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b/>
      <sz val="18"/>
      <color theme="0"/>
      <name val="Calibri"/>
      <family val="3"/>
      <charset val="129"/>
      <scheme val="minor"/>
    </font>
    <font>
      <sz val="8"/>
      <color theme="1"/>
      <name val="Calibri"/>
      <family val="2"/>
      <charset val="129"/>
      <scheme val="minor"/>
    </font>
    <font>
      <sz val="18"/>
      <color theme="0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570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3" borderId="33" applyNumberFormat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8" fillId="14" borderId="0" applyNumberFormat="0" applyBorder="0" applyAlignment="0" applyProtection="0"/>
    <xf numFmtId="0" fontId="29" fillId="15" borderId="0" applyNumberFormat="0" applyBorder="0" applyAlignment="0" applyProtection="0"/>
  </cellStyleXfs>
  <cellXfs count="764">
    <xf numFmtId="0" fontId="0" fillId="0" borderId="0" xfId="0"/>
    <xf numFmtId="0" fontId="0" fillId="0" borderId="10" xfId="0" applyBorder="1"/>
    <xf numFmtId="168" fontId="0" fillId="0" borderId="3" xfId="0" applyNumberFormat="1" applyBorder="1"/>
    <xf numFmtId="168" fontId="0" fillId="0" borderId="5" xfId="0" applyNumberFormat="1" applyBorder="1"/>
    <xf numFmtId="169" fontId="0" fillId="0" borderId="16" xfId="0" applyNumberFormat="1" applyBorder="1"/>
    <xf numFmtId="0" fontId="0" fillId="0" borderId="9" xfId="0" applyBorder="1"/>
    <xf numFmtId="168" fontId="0" fillId="0" borderId="1" xfId="0" applyNumberFormat="1" applyBorder="1"/>
    <xf numFmtId="168" fontId="0" fillId="0" borderId="2" xfId="0" applyNumberFormat="1" applyBorder="1"/>
    <xf numFmtId="169" fontId="0" fillId="0" borderId="15" xfId="0" applyNumberFormat="1" applyBorder="1"/>
    <xf numFmtId="0" fontId="0" fillId="0" borderId="25" xfId="0" applyBorder="1" applyAlignment="1">
      <alignment shrinkToFit="1"/>
    </xf>
    <xf numFmtId="168" fontId="0" fillId="0" borderId="25" xfId="0" applyNumberFormat="1" applyBorder="1" applyAlignment="1">
      <alignment shrinkToFit="1"/>
    </xf>
    <xf numFmtId="169" fontId="0" fillId="0" borderId="24" xfId="0" applyNumberFormat="1" applyBorder="1" applyAlignment="1">
      <alignment shrinkToFit="1"/>
    </xf>
    <xf numFmtId="166" fontId="0" fillId="2" borderId="4" xfId="0" applyNumberFormat="1" applyFill="1" applyBorder="1" applyAlignment="1">
      <alignment horizontal="center" shrinkToFit="1"/>
    </xf>
    <xf numFmtId="17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64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7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7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7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16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68" fontId="0" fillId="2" borderId="4" xfId="0" applyNumberFormat="1" applyFill="1" applyBorder="1" applyAlignment="1">
      <alignment horizontal="center" shrinkToFit="1"/>
    </xf>
    <xf numFmtId="16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73" fontId="0" fillId="0" borderId="0" xfId="0" applyNumberFormat="1" applyAlignment="1">
      <alignment shrinkToFit="1"/>
    </xf>
    <xf numFmtId="16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67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71" fontId="0" fillId="2" borderId="0" xfId="0" applyNumberFormat="1" applyFill="1" applyAlignment="1">
      <alignment shrinkToFit="1"/>
    </xf>
    <xf numFmtId="166" fontId="0" fillId="2" borderId="0" xfId="0" applyNumberFormat="1" applyFill="1" applyAlignment="1">
      <alignment shrinkToFit="1"/>
    </xf>
    <xf numFmtId="173" fontId="0" fillId="2" borderId="0" xfId="0" applyNumberFormat="1" applyFill="1" applyAlignment="1">
      <alignment shrinkToFit="1"/>
    </xf>
    <xf numFmtId="166" fontId="0" fillId="5" borderId="1" xfId="0" applyNumberFormat="1" applyFill="1" applyBorder="1" applyAlignment="1">
      <alignment shrinkToFit="1"/>
    </xf>
    <xf numFmtId="172" fontId="0" fillId="0" borderId="0" xfId="0" applyNumberFormat="1" applyAlignment="1">
      <alignment shrinkToFit="1"/>
    </xf>
    <xf numFmtId="166" fontId="0" fillId="0" borderId="1" xfId="0" applyNumberFormat="1" applyBorder="1" applyAlignment="1">
      <alignment shrinkToFit="1"/>
    </xf>
    <xf numFmtId="171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16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68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28" xfId="0" applyFont="1" applyBorder="1" applyAlignment="1">
      <alignment shrinkToFit="1"/>
    </xf>
    <xf numFmtId="167" fontId="6" fillId="0" borderId="1" xfId="0" applyNumberFormat="1" applyFont="1" applyBorder="1" applyAlignment="1">
      <alignment vertical="center" shrinkToFit="1"/>
    </xf>
    <xf numFmtId="167" fontId="6" fillId="0" borderId="15" xfId="0" applyNumberFormat="1" applyFont="1" applyBorder="1" applyAlignment="1">
      <alignment vertical="center" shrinkToFit="1"/>
    </xf>
    <xf numFmtId="166" fontId="6" fillId="0" borderId="1" xfId="0" applyNumberFormat="1" applyFont="1" applyBorder="1" applyAlignment="1">
      <alignment vertical="center" shrinkToFit="1"/>
    </xf>
    <xf numFmtId="166" fontId="6" fillId="0" borderId="15" xfId="0" applyNumberFormat="1" applyFont="1" applyBorder="1" applyAlignment="1">
      <alignment vertical="center" shrinkToFit="1"/>
    </xf>
    <xf numFmtId="165" fontId="6" fillId="0" borderId="1" xfId="0" applyNumberFormat="1" applyFont="1" applyBorder="1" applyAlignment="1">
      <alignment vertical="center" shrinkToFit="1"/>
    </xf>
    <xf numFmtId="165" fontId="0" fillId="0" borderId="1" xfId="0" applyNumberFormat="1" applyBorder="1"/>
    <xf numFmtId="0" fontId="0" fillId="0" borderId="17" xfId="0" applyBorder="1"/>
    <xf numFmtId="16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16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69" fontId="4" fillId="6" borderId="12" xfId="0" applyNumberFormat="1" applyFont="1" applyFill="1" applyBorder="1" applyAlignment="1">
      <alignment shrinkToFit="1"/>
    </xf>
    <xf numFmtId="169" fontId="4" fillId="6" borderId="12" xfId="0" applyNumberFormat="1" applyFont="1" applyFill="1" applyBorder="1" applyAlignment="1">
      <alignment horizontal="center" shrinkToFit="1"/>
    </xf>
    <xf numFmtId="168" fontId="4" fillId="6" borderId="12" xfId="0" applyNumberFormat="1" applyFont="1" applyFill="1" applyBorder="1" applyAlignment="1">
      <alignment shrinkToFit="1"/>
    </xf>
    <xf numFmtId="168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68" fontId="4" fillId="6" borderId="41" xfId="0" applyNumberFormat="1" applyFont="1" applyFill="1" applyBorder="1" applyAlignment="1">
      <alignment horizontal="center" shrinkToFit="1"/>
    </xf>
    <xf numFmtId="169" fontId="4" fillId="6" borderId="41" xfId="0" applyNumberFormat="1" applyFont="1" applyFill="1" applyBorder="1" applyAlignment="1">
      <alignment horizontal="center" shrinkToFit="1"/>
    </xf>
    <xf numFmtId="169" fontId="15" fillId="2" borderId="1" xfId="3" applyNumberFormat="1" applyFont="1" applyFill="1" applyBorder="1" applyAlignment="1">
      <alignment horizontal="center" shrinkToFit="1"/>
    </xf>
    <xf numFmtId="169" fontId="0" fillId="2" borderId="1" xfId="0" applyNumberFormat="1" applyFill="1" applyBorder="1" applyAlignment="1">
      <alignment horizontal="center" shrinkToFit="1"/>
    </xf>
    <xf numFmtId="169" fontId="13" fillId="0" borderId="4" xfId="0" applyNumberFormat="1" applyFont="1" applyBorder="1" applyAlignment="1">
      <alignment horizontal="center" shrinkToFit="1"/>
    </xf>
    <xf numFmtId="169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0" fontId="13" fillId="6" borderId="50" xfId="0" applyNumberFormat="1" applyFont="1" applyFill="1" applyBorder="1" applyAlignment="1">
      <alignment horizontal="center" vertical="center" shrinkToFit="1"/>
    </xf>
    <xf numFmtId="170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69" fontId="4" fillId="6" borderId="1" xfId="0" applyNumberFormat="1" applyFont="1" applyFill="1" applyBorder="1" applyAlignment="1">
      <alignment horizontal="center" shrinkToFit="1"/>
    </xf>
    <xf numFmtId="167" fontId="4" fillId="6" borderId="13" xfId="0" applyNumberFormat="1" applyFont="1" applyFill="1" applyBorder="1" applyAlignment="1">
      <alignment horizontal="center" vertical="center" shrinkToFit="1"/>
    </xf>
    <xf numFmtId="167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71" fontId="4" fillId="6" borderId="1" xfId="0" applyNumberFormat="1" applyFont="1" applyFill="1" applyBorder="1" applyAlignment="1">
      <alignment horizontal="center" shrinkToFit="1"/>
    </xf>
    <xf numFmtId="170" fontId="4" fillId="6" borderId="1" xfId="0" applyNumberFormat="1" applyFont="1" applyFill="1" applyBorder="1" applyAlignment="1">
      <alignment horizontal="center" shrinkToFit="1"/>
    </xf>
    <xf numFmtId="171" fontId="4" fillId="6" borderId="14" xfId="0" applyNumberFormat="1" applyFont="1" applyFill="1" applyBorder="1" applyAlignment="1">
      <alignment horizontal="center" shrinkToFit="1"/>
    </xf>
    <xf numFmtId="169" fontId="4" fillId="6" borderId="14" xfId="0" applyNumberFormat="1" applyFont="1" applyFill="1" applyBorder="1" applyAlignment="1">
      <alignment horizontal="center" shrinkToFit="1"/>
    </xf>
    <xf numFmtId="167" fontId="4" fillId="6" borderId="3" xfId="0" applyNumberFormat="1" applyFont="1" applyFill="1" applyBorder="1" applyAlignment="1">
      <alignment horizontal="center" shrinkToFit="1"/>
    </xf>
    <xf numFmtId="171" fontId="4" fillId="6" borderId="3" xfId="0" applyNumberFormat="1" applyFont="1" applyFill="1" applyBorder="1" applyAlignment="1">
      <alignment horizontal="center" shrinkToFit="1"/>
    </xf>
    <xf numFmtId="170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69" fontId="16" fillId="6" borderId="28" xfId="0" applyNumberFormat="1" applyFont="1" applyFill="1" applyBorder="1" applyAlignment="1">
      <alignment horizontal="center" vertical="center" shrinkToFit="1"/>
    </xf>
    <xf numFmtId="171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68" fontId="0" fillId="0" borderId="11" xfId="0" applyNumberFormat="1" applyBorder="1" applyAlignment="1">
      <alignment shrinkToFit="1"/>
    </xf>
    <xf numFmtId="169" fontId="0" fillId="0" borderId="38" xfId="0" applyNumberFormat="1" applyBorder="1" applyAlignment="1">
      <alignment shrinkToFit="1"/>
    </xf>
    <xf numFmtId="40" fontId="13" fillId="6" borderId="50" xfId="0" applyNumberFormat="1" applyFont="1" applyFill="1" applyBorder="1" applyAlignment="1">
      <alignment shrinkToFit="1"/>
    </xf>
    <xf numFmtId="170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69" fontId="15" fillId="0" borderId="1" xfId="3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13" fillId="0" borderId="13" xfId="0" applyFont="1" applyBorder="1" applyAlignment="1">
      <alignment horizontal="left" shrinkToFit="1"/>
    </xf>
    <xf numFmtId="170" fontId="13" fillId="0" borderId="14" xfId="0" applyNumberFormat="1" applyFont="1" applyBorder="1" applyAlignment="1">
      <alignment horizontal="center" vertical="center" shrinkToFit="1"/>
    </xf>
    <xf numFmtId="166" fontId="13" fillId="0" borderId="14" xfId="0" applyNumberFormat="1" applyFont="1" applyBorder="1" applyAlignment="1">
      <alignment shrinkToFit="1"/>
    </xf>
    <xf numFmtId="170" fontId="6" fillId="0" borderId="28" xfId="0" applyNumberFormat="1" applyFont="1" applyBorder="1" applyAlignment="1">
      <alignment vertic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69" fontId="4" fillId="6" borderId="48" xfId="0" applyNumberFormat="1" applyFont="1" applyFill="1" applyBorder="1" applyAlignment="1">
      <alignment vertical="center" shrinkToFit="1"/>
    </xf>
    <xf numFmtId="169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69" fontId="0" fillId="2" borderId="11" xfId="0" applyNumberFormat="1" applyFill="1" applyBorder="1" applyAlignment="1">
      <alignment horizontal="center" shrinkToFit="1"/>
    </xf>
    <xf numFmtId="169" fontId="13" fillId="0" borderId="17" xfId="0" applyNumberFormat="1" applyFont="1" applyBorder="1" applyAlignment="1">
      <alignment shrinkToFit="1"/>
    </xf>
    <xf numFmtId="169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68" fontId="16" fillId="13" borderId="8" xfId="0" applyNumberFormat="1" applyFont="1" applyFill="1" applyBorder="1" applyAlignment="1">
      <alignment horizontal="center" shrinkToFit="1"/>
    </xf>
    <xf numFmtId="169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73" fontId="0" fillId="13" borderId="1" xfId="0" applyNumberFormat="1" applyFill="1" applyBorder="1" applyAlignment="1">
      <alignment shrinkToFit="1"/>
    </xf>
    <xf numFmtId="166" fontId="0" fillId="0" borderId="11" xfId="0" applyNumberFormat="1" applyBorder="1" applyAlignment="1">
      <alignment shrinkToFit="1"/>
    </xf>
    <xf numFmtId="17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0" fontId="6" fillId="0" borderId="39" xfId="0" applyNumberFormat="1" applyFont="1" applyBorder="1" applyAlignment="1">
      <alignment horizontal="left"/>
    </xf>
    <xf numFmtId="170" fontId="6" fillId="0" borderId="26" xfId="0" applyNumberFormat="1" applyFont="1" applyBorder="1" applyAlignment="1">
      <alignment horizontal="left"/>
    </xf>
    <xf numFmtId="170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1" xfId="0" applyBorder="1" applyAlignment="1">
      <alignment horizontal="center" shrinkToFit="1"/>
    </xf>
    <xf numFmtId="0" fontId="0" fillId="0" borderId="62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49" fontId="25" fillId="0" borderId="2" xfId="0" applyNumberFormat="1" applyFont="1" applyBorder="1"/>
    <xf numFmtId="0" fontId="4" fillId="6" borderId="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169" fontId="1" fillId="2" borderId="1" xfId="0" applyNumberFormat="1" applyFont="1" applyFill="1" applyBorder="1" applyAlignment="1">
      <alignment horizontal="center" shrinkToFit="1"/>
    </xf>
    <xf numFmtId="0" fontId="1" fillId="2" borderId="1" xfId="0" applyFont="1" applyFill="1" applyBorder="1" applyAlignment="1">
      <alignment shrinkToFi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5" fillId="2" borderId="1" xfId="3" applyFont="1" applyFill="1" applyBorder="1" applyAlignment="1">
      <alignment horizontal="left" shrinkToFit="1"/>
    </xf>
    <xf numFmtId="0" fontId="15" fillId="2" borderId="1" xfId="0" applyFont="1" applyFill="1" applyBorder="1" applyAlignment="1">
      <alignment horizontal="left" shrinkToFit="1"/>
    </xf>
    <xf numFmtId="0" fontId="15" fillId="2" borderId="1" xfId="0" applyFont="1" applyFill="1" applyBorder="1" applyAlignment="1">
      <alignment horizontal="center" shrinkToFit="1"/>
    </xf>
    <xf numFmtId="0" fontId="15" fillId="2" borderId="1" xfId="3" applyFont="1" applyFill="1" applyBorder="1" applyAlignment="1">
      <alignment shrinkToFit="1"/>
    </xf>
    <xf numFmtId="0" fontId="15" fillId="2" borderId="1" xfId="3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shrinkToFit="1"/>
    </xf>
    <xf numFmtId="0" fontId="15" fillId="2" borderId="1" xfId="3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left" shrinkToFit="1"/>
    </xf>
    <xf numFmtId="171" fontId="4" fillId="6" borderId="4" xfId="0" applyNumberFormat="1" applyFont="1" applyFill="1" applyBorder="1" applyAlignment="1">
      <alignment horizontal="center" shrinkToFit="1"/>
    </xf>
    <xf numFmtId="49" fontId="26" fillId="2" borderId="1" xfId="0" applyNumberFormat="1" applyFont="1" applyFill="1" applyBorder="1" applyAlignment="1">
      <alignment horizontal="left"/>
    </xf>
    <xf numFmtId="170" fontId="1" fillId="2" borderId="1" xfId="0" applyNumberFormat="1" applyFont="1" applyFill="1" applyBorder="1" applyAlignment="1">
      <alignment horizontal="left"/>
    </xf>
    <xf numFmtId="169" fontId="15" fillId="2" borderId="1" xfId="0" applyNumberFormat="1" applyFont="1" applyFill="1" applyBorder="1" applyAlignment="1">
      <alignment horizontal="center" shrinkToFit="1"/>
    </xf>
    <xf numFmtId="49" fontId="27" fillId="2" borderId="1" xfId="0" applyNumberFormat="1" applyFont="1" applyFill="1" applyBorder="1" applyAlignment="1">
      <alignment horizontal="left" shrinkToFit="1"/>
    </xf>
    <xf numFmtId="170" fontId="15" fillId="2" borderId="1" xfId="0" applyNumberFormat="1" applyFont="1" applyFill="1" applyBorder="1" applyAlignment="1">
      <alignment horizontal="left"/>
    </xf>
    <xf numFmtId="49" fontId="27" fillId="2" borderId="1" xfId="3" applyNumberFormat="1" applyFont="1" applyFill="1" applyBorder="1" applyAlignment="1">
      <alignment shrinkToFit="1"/>
    </xf>
    <xf numFmtId="49" fontId="26" fillId="2" borderId="1" xfId="0" applyNumberFormat="1" applyFont="1" applyFill="1" applyBorder="1"/>
    <xf numFmtId="49" fontId="27" fillId="2" borderId="1" xfId="0" applyNumberFormat="1" applyFont="1" applyFill="1" applyBorder="1" applyAlignment="1">
      <alignment shrinkToFit="1"/>
    </xf>
    <xf numFmtId="49" fontId="26" fillId="2" borderId="1" xfId="0" applyNumberFormat="1" applyFont="1" applyFill="1" applyBorder="1" applyAlignment="1">
      <alignment horizontal="left" shrinkToFit="1"/>
    </xf>
    <xf numFmtId="49" fontId="26" fillId="2" borderId="1" xfId="0" applyNumberFormat="1" applyFont="1" applyFill="1" applyBorder="1" applyAlignment="1">
      <alignment shrinkToFit="1"/>
    </xf>
    <xf numFmtId="49" fontId="27" fillId="2" borderId="1" xfId="3" applyNumberFormat="1" applyFont="1" applyFill="1" applyBorder="1" applyAlignment="1">
      <alignment horizontal="left" shrinkToFit="1"/>
    </xf>
    <xf numFmtId="0" fontId="0" fillId="2" borderId="39" xfId="0" applyFill="1" applyBorder="1" applyAlignment="1">
      <alignment shrinkToFit="1"/>
    </xf>
    <xf numFmtId="0" fontId="6" fillId="2" borderId="26" xfId="0" applyFont="1" applyFill="1" applyBorder="1" applyAlignment="1">
      <alignment horizontal="left" shrinkToFit="1"/>
    </xf>
    <xf numFmtId="0" fontId="0" fillId="2" borderId="26" xfId="0" applyFill="1" applyBorder="1" applyAlignment="1">
      <alignment shrinkToFit="1"/>
    </xf>
    <xf numFmtId="169" fontId="4" fillId="6" borderId="18" xfId="0" applyNumberFormat="1" applyFont="1" applyFill="1" applyBorder="1" applyAlignment="1">
      <alignment shrinkToFit="1"/>
    </xf>
    <xf numFmtId="168" fontId="4" fillId="6" borderId="18" xfId="0" applyNumberFormat="1" applyFont="1" applyFill="1" applyBorder="1" applyAlignment="1">
      <alignment shrinkToFit="1"/>
    </xf>
    <xf numFmtId="0" fontId="4" fillId="6" borderId="24" xfId="0" applyFont="1" applyFill="1" applyBorder="1" applyAlignment="1">
      <alignment horizontal="center" shrinkToFit="1"/>
    </xf>
    <xf numFmtId="0" fontId="13" fillId="6" borderId="57" xfId="0" applyFont="1" applyFill="1" applyBorder="1" applyAlignment="1">
      <alignment horizontal="left" shrinkToFit="1"/>
    </xf>
    <xf numFmtId="0" fontId="13" fillId="0" borderId="64" xfId="0" applyFont="1" applyBorder="1" applyAlignment="1">
      <alignment horizontal="left" shrinkToFit="1"/>
    </xf>
    <xf numFmtId="0" fontId="0" fillId="0" borderId="44" xfId="0" applyBorder="1" applyAlignment="1">
      <alignment shrinkToFit="1"/>
    </xf>
    <xf numFmtId="0" fontId="16" fillId="6" borderId="65" xfId="0" applyFont="1" applyFill="1" applyBorder="1" applyAlignment="1">
      <alignment horizontal="center" shrinkToFit="1"/>
    </xf>
    <xf numFmtId="0" fontId="13" fillId="6" borderId="39" xfId="0" applyFont="1" applyFill="1" applyBorder="1" applyAlignment="1">
      <alignment horizontal="center" shrinkToFit="1"/>
    </xf>
    <xf numFmtId="171" fontId="14" fillId="6" borderId="63" xfId="0" applyNumberFormat="1" applyFont="1" applyFill="1" applyBorder="1" applyAlignment="1">
      <alignment horizontal="center" shrinkToFit="1"/>
    </xf>
    <xf numFmtId="169" fontId="4" fillId="6" borderId="4" xfId="0" applyNumberFormat="1" applyFont="1" applyFill="1" applyBorder="1" applyAlignment="1">
      <alignment horizontal="center" shrinkToFit="1"/>
    </xf>
    <xf numFmtId="0" fontId="4" fillId="6" borderId="20" xfId="0" applyFont="1" applyFill="1" applyBorder="1" applyAlignment="1">
      <alignment horizontal="center" shrinkToFit="1"/>
    </xf>
    <xf numFmtId="169" fontId="1" fillId="6" borderId="4" xfId="0" applyNumberFormat="1" applyFont="1" applyFill="1" applyBorder="1" applyAlignment="1">
      <alignment horizontal="center" shrinkToFit="1"/>
    </xf>
    <xf numFmtId="169" fontId="1" fillId="0" borderId="4" xfId="0" applyNumberFormat="1" applyFont="1" applyBorder="1" applyAlignment="1">
      <alignment horizontal="center" shrinkToFit="1"/>
    </xf>
    <xf numFmtId="169" fontId="1" fillId="0" borderId="1" xfId="0" applyNumberFormat="1" applyFont="1" applyBorder="1" applyAlignment="1">
      <alignment horizontal="center" shrinkToFit="1"/>
    </xf>
    <xf numFmtId="0" fontId="28" fillId="14" borderId="1" xfId="4" applyBorder="1" applyAlignment="1">
      <alignment horizontal="center" shrinkToFit="1"/>
    </xf>
    <xf numFmtId="0" fontId="28" fillId="14" borderId="1" xfId="4" applyBorder="1" applyAlignment="1">
      <alignment horizontal="left" shrinkToFit="1"/>
    </xf>
    <xf numFmtId="49" fontId="28" fillId="14" borderId="1" xfId="4" applyNumberFormat="1" applyBorder="1" applyAlignment="1">
      <alignment horizontal="left"/>
    </xf>
    <xf numFmtId="170" fontId="28" fillId="14" borderId="1" xfId="4" applyNumberFormat="1" applyBorder="1" applyAlignment="1">
      <alignment horizontal="left"/>
    </xf>
    <xf numFmtId="169" fontId="28" fillId="14" borderId="1" xfId="4" applyNumberFormat="1" applyBorder="1" applyAlignment="1">
      <alignment horizontal="center" shrinkToFit="1"/>
    </xf>
    <xf numFmtId="169" fontId="28" fillId="14" borderId="4" xfId="4" applyNumberFormat="1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49" fontId="29" fillId="15" borderId="1" xfId="5" applyNumberFormat="1" applyBorder="1" applyAlignment="1">
      <alignment horizontal="left" shrinkToFit="1"/>
    </xf>
    <xf numFmtId="170" fontId="29" fillId="15" borderId="1" xfId="5" applyNumberFormat="1" applyBorder="1" applyAlignment="1">
      <alignment horizontal="left"/>
    </xf>
    <xf numFmtId="169" fontId="29" fillId="15" borderId="1" xfId="5" applyNumberFormat="1" applyBorder="1" applyAlignment="1">
      <alignment horizontal="center" shrinkToFit="1"/>
    </xf>
    <xf numFmtId="169" fontId="29" fillId="15" borderId="4" xfId="5" applyNumberFormat="1" applyBorder="1" applyAlignment="1">
      <alignment horizontal="center" shrinkToFit="1"/>
    </xf>
    <xf numFmtId="0" fontId="2" fillId="16" borderId="19" xfId="0" applyFont="1" applyFill="1" applyBorder="1" applyAlignment="1">
      <alignment horizontal="center" shrinkToFit="1"/>
    </xf>
    <xf numFmtId="0" fontId="1" fillId="16" borderId="1" xfId="0" applyFont="1" applyFill="1" applyBorder="1" applyAlignment="1">
      <alignment horizontal="center" shrinkToFit="1"/>
    </xf>
    <xf numFmtId="0" fontId="1" fillId="16" borderId="1" xfId="0" applyFont="1" applyFill="1" applyBorder="1"/>
    <xf numFmtId="49" fontId="26" fillId="16" borderId="1" xfId="0" applyNumberFormat="1" applyFont="1" applyFill="1" applyBorder="1" applyAlignment="1">
      <alignment horizontal="left"/>
    </xf>
    <xf numFmtId="170" fontId="1" fillId="16" borderId="1" xfId="0" applyNumberFormat="1" applyFont="1" applyFill="1" applyBorder="1" applyAlignment="1">
      <alignment horizontal="left"/>
    </xf>
    <xf numFmtId="169" fontId="15" fillId="16" borderId="1" xfId="0" applyNumberFormat="1" applyFont="1" applyFill="1" applyBorder="1" applyAlignment="1">
      <alignment horizontal="center" shrinkToFit="1"/>
    </xf>
    <xf numFmtId="169" fontId="1" fillId="16" borderId="1" xfId="0" applyNumberFormat="1" applyFont="1" applyFill="1" applyBorder="1" applyAlignment="1">
      <alignment horizontal="center" shrinkToFit="1"/>
    </xf>
    <xf numFmtId="169" fontId="1" fillId="16" borderId="4" xfId="0" applyNumberFormat="1" applyFont="1" applyFill="1" applyBorder="1" applyAlignment="1">
      <alignment horizontal="center" shrinkToFit="1"/>
    </xf>
    <xf numFmtId="0" fontId="1" fillId="16" borderId="1" xfId="0" applyFont="1" applyFill="1" applyBorder="1" applyAlignment="1">
      <alignment horizontal="left" shrinkToFit="1"/>
    </xf>
    <xf numFmtId="0" fontId="1" fillId="16" borderId="1" xfId="0" applyFont="1" applyFill="1" applyBorder="1" applyAlignment="1">
      <alignment horizontal="left"/>
    </xf>
    <xf numFmtId="0" fontId="2" fillId="16" borderId="9" xfId="0" applyFont="1" applyFill="1" applyBorder="1" applyAlignment="1">
      <alignment horizontal="center" shrinkToFit="1"/>
    </xf>
    <xf numFmtId="49" fontId="26" fillId="16" borderId="1" xfId="0" applyNumberFormat="1" applyFont="1" applyFill="1" applyBorder="1"/>
    <xf numFmtId="0" fontId="1" fillId="16" borderId="1" xfId="0" applyFont="1" applyFill="1" applyBorder="1" applyAlignment="1">
      <alignment horizontal="center"/>
    </xf>
    <xf numFmtId="169" fontId="15" fillId="16" borderId="1" xfId="3" applyNumberFormat="1" applyFont="1" applyFill="1" applyBorder="1" applyAlignment="1">
      <alignment horizontal="center" shrinkToFit="1"/>
    </xf>
    <xf numFmtId="0" fontId="2" fillId="17" borderId="9" xfId="0" applyFont="1" applyFill="1" applyBorder="1" applyAlignment="1">
      <alignment horizontal="center" shrinkToFit="1"/>
    </xf>
    <xf numFmtId="0" fontId="1" fillId="17" borderId="1" xfId="0" applyFont="1" applyFill="1" applyBorder="1" applyAlignment="1">
      <alignment horizontal="center" shrinkToFit="1"/>
    </xf>
    <xf numFmtId="0" fontId="1" fillId="17" borderId="1" xfId="0" applyFont="1" applyFill="1" applyBorder="1" applyAlignment="1">
      <alignment horizontal="left" shrinkToFit="1"/>
    </xf>
    <xf numFmtId="49" fontId="26" fillId="17" borderId="1" xfId="0" applyNumberFormat="1" applyFont="1" applyFill="1" applyBorder="1" applyAlignment="1">
      <alignment horizontal="left" shrinkToFit="1"/>
    </xf>
    <xf numFmtId="0" fontId="1" fillId="17" borderId="1" xfId="0" applyFont="1" applyFill="1" applyBorder="1" applyAlignment="1">
      <alignment horizontal="left"/>
    </xf>
    <xf numFmtId="0" fontId="15" fillId="17" borderId="1" xfId="0" applyFont="1" applyFill="1" applyBorder="1" applyAlignment="1">
      <alignment horizontal="center" shrinkToFit="1"/>
    </xf>
    <xf numFmtId="169" fontId="15" fillId="17" borderId="1" xfId="3" applyNumberFormat="1" applyFont="1" applyFill="1" applyBorder="1" applyAlignment="1">
      <alignment horizontal="center" shrinkToFit="1"/>
    </xf>
    <xf numFmtId="169" fontId="1" fillId="17" borderId="1" xfId="0" applyNumberFormat="1" applyFont="1" applyFill="1" applyBorder="1" applyAlignment="1">
      <alignment horizontal="center" shrinkToFit="1"/>
    </xf>
    <xf numFmtId="169" fontId="1" fillId="17" borderId="4" xfId="0" applyNumberFormat="1" applyFont="1" applyFill="1" applyBorder="1" applyAlignment="1">
      <alignment horizontal="center" shrinkToFit="1"/>
    </xf>
    <xf numFmtId="169" fontId="15" fillId="17" borderId="1" xfId="0" applyNumberFormat="1" applyFont="1" applyFill="1" applyBorder="1" applyAlignment="1">
      <alignment horizontal="center" shrinkToFit="1"/>
    </xf>
    <xf numFmtId="0" fontId="29" fillId="15" borderId="19" xfId="5" applyBorder="1" applyAlignment="1">
      <alignment horizontal="center" shrinkToFit="1"/>
    </xf>
    <xf numFmtId="0" fontId="29" fillId="15" borderId="1" xfId="5" applyBorder="1"/>
    <xf numFmtId="49" fontId="29" fillId="15" borderId="1" xfId="5" applyNumberFormat="1" applyBorder="1" applyAlignment="1">
      <alignment horizontal="left"/>
    </xf>
    <xf numFmtId="0" fontId="28" fillId="14" borderId="9" xfId="4" applyBorder="1" applyAlignment="1">
      <alignment horizontal="center" shrinkToFit="1"/>
    </xf>
    <xf numFmtId="0" fontId="28" fillId="14" borderId="1" xfId="4" applyBorder="1" applyAlignment="1">
      <alignment shrinkToFit="1"/>
    </xf>
    <xf numFmtId="49" fontId="28" fillId="14" borderId="1" xfId="4" applyNumberFormat="1" applyBorder="1" applyAlignment="1">
      <alignment shrinkToFit="1"/>
    </xf>
    <xf numFmtId="0" fontId="28" fillId="14" borderId="1" xfId="4" applyBorder="1" applyAlignment="1">
      <alignment horizontal="center" vertical="center" shrinkToFit="1"/>
    </xf>
    <xf numFmtId="0" fontId="28" fillId="14" borderId="19" xfId="4" applyBorder="1" applyAlignment="1">
      <alignment horizontal="center" shrinkToFit="1"/>
    </xf>
    <xf numFmtId="0" fontId="28" fillId="14" borderId="1" xfId="4" applyBorder="1" applyAlignment="1">
      <alignment horizontal="left"/>
    </xf>
    <xf numFmtId="0" fontId="29" fillId="15" borderId="9" xfId="5" applyBorder="1" applyAlignment="1">
      <alignment horizontal="center" shrinkToFit="1"/>
    </xf>
    <xf numFmtId="0" fontId="29" fillId="15" borderId="1" xfId="5" applyBorder="1" applyAlignment="1">
      <alignment shrinkToFit="1"/>
    </xf>
    <xf numFmtId="49" fontId="29" fillId="15" borderId="1" xfId="5" applyNumberFormat="1" applyBorder="1" applyAlignment="1">
      <alignment shrinkToFit="1"/>
    </xf>
    <xf numFmtId="0" fontId="28" fillId="14" borderId="4" xfId="4" applyBorder="1" applyAlignment="1">
      <alignment horizontal="center" shrinkToFit="1"/>
    </xf>
    <xf numFmtId="49" fontId="28" fillId="14" borderId="2" xfId="4" applyNumberFormat="1" applyBorder="1" applyAlignment="1">
      <alignment horizontal="left" shrinkToFit="1"/>
    </xf>
    <xf numFmtId="0" fontId="28" fillId="14" borderId="61" xfId="4" applyBorder="1" applyAlignment="1">
      <alignment horizontal="center" shrinkToFit="1"/>
    </xf>
    <xf numFmtId="0" fontId="28" fillId="14" borderId="26" xfId="4" applyBorder="1" applyAlignment="1">
      <alignment horizontal="left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71" fontId="4" fillId="6" borderId="14" xfId="0" applyNumberFormat="1" applyFont="1" applyFill="1" applyBorder="1" applyAlignment="1">
      <alignment horizontal="center" vertical="center" shrinkToFit="1"/>
    </xf>
    <xf numFmtId="171" fontId="4" fillId="6" borderId="1" xfId="0" applyNumberFormat="1" applyFont="1" applyFill="1" applyBorder="1" applyAlignment="1">
      <alignment horizontal="center" vertical="center" shrinkToFit="1"/>
    </xf>
    <xf numFmtId="171" fontId="4" fillId="6" borderId="3" xfId="0" applyNumberFormat="1" applyFont="1" applyFill="1" applyBorder="1" applyAlignment="1">
      <alignment horizontal="center" vertical="center" shrinkToFit="1"/>
    </xf>
    <xf numFmtId="169" fontId="4" fillId="6" borderId="14" xfId="0" applyNumberFormat="1" applyFont="1" applyFill="1" applyBorder="1" applyAlignment="1">
      <alignment horizontal="center" vertical="center" shrinkToFit="1"/>
    </xf>
    <xf numFmtId="169" fontId="4" fillId="6" borderId="1" xfId="0" applyNumberFormat="1" applyFont="1" applyFill="1" applyBorder="1" applyAlignment="1">
      <alignment horizontal="center" vertical="center" shrinkToFit="1"/>
    </xf>
    <xf numFmtId="169" fontId="4" fillId="6" borderId="3" xfId="0" applyNumberFormat="1" applyFont="1" applyFill="1" applyBorder="1" applyAlignment="1">
      <alignment horizontal="center" vertical="center" shrinkToFit="1"/>
    </xf>
    <xf numFmtId="169" fontId="4" fillId="6" borderId="28" xfId="0" applyNumberFormat="1" applyFont="1" applyFill="1" applyBorder="1" applyAlignment="1">
      <alignment horizontal="center" vertical="center" shrinkToFit="1"/>
    </xf>
    <xf numFmtId="169" fontId="4" fillId="6" borderId="15" xfId="0" applyNumberFormat="1" applyFont="1" applyFill="1" applyBorder="1" applyAlignment="1">
      <alignment horizontal="center" vertical="center" shrinkToFit="1"/>
    </xf>
    <xf numFmtId="169" fontId="4" fillId="6" borderId="16" xfId="0" applyNumberFormat="1" applyFont="1" applyFill="1" applyBorder="1" applyAlignment="1">
      <alignment horizontal="center" vertical="center" shrinkToFit="1"/>
    </xf>
    <xf numFmtId="170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69" fontId="16" fillId="6" borderId="25" xfId="0" applyNumberFormat="1" applyFont="1" applyFill="1" applyBorder="1" applyAlignment="1">
      <alignment horizontal="center" vertical="center" shrinkToFit="1"/>
    </xf>
    <xf numFmtId="169" fontId="16" fillId="6" borderId="24" xfId="0" applyNumberFormat="1" applyFont="1" applyFill="1" applyBorder="1" applyAlignment="1">
      <alignment horizontal="center" vertical="center" shrinkToFit="1"/>
    </xf>
    <xf numFmtId="169" fontId="16" fillId="6" borderId="22" xfId="0" applyNumberFormat="1" applyFont="1" applyFill="1" applyBorder="1" applyAlignment="1">
      <alignment horizontal="center" vertical="center" shrinkToFit="1"/>
    </xf>
    <xf numFmtId="169" fontId="16" fillId="6" borderId="23" xfId="0" applyNumberFormat="1" applyFont="1" applyFill="1" applyBorder="1" applyAlignment="1">
      <alignment horizontal="center" vertical="center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0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67" fontId="13" fillId="0" borderId="0" xfId="0" applyNumberFormat="1" applyFont="1" applyAlignment="1">
      <alignment horizontal="center" shrinkToFit="1"/>
    </xf>
    <xf numFmtId="166" fontId="13" fillId="0" borderId="0" xfId="0" applyNumberFormat="1" applyFont="1" applyAlignment="1">
      <alignment horizontal="center" shrinkToFit="1"/>
    </xf>
    <xf numFmtId="170" fontId="4" fillId="6" borderId="53" xfId="0" applyNumberFormat="1" applyFont="1" applyFill="1" applyBorder="1" applyAlignment="1">
      <alignment horizontal="center" vertical="center" shrinkToFit="1"/>
    </xf>
    <xf numFmtId="170" fontId="4" fillId="6" borderId="55" xfId="0" applyNumberFormat="1" applyFont="1" applyFill="1" applyBorder="1" applyAlignment="1">
      <alignment horizontal="center" vertical="center" shrinkToFit="1"/>
    </xf>
    <xf numFmtId="175" fontId="4" fillId="0" borderId="34" xfId="0" applyNumberFormat="1" applyFont="1" applyBorder="1" applyAlignment="1">
      <alignment horizontal="center" shrinkToFit="1"/>
    </xf>
    <xf numFmtId="175" fontId="4" fillId="0" borderId="35" xfId="0" applyNumberFormat="1" applyFont="1" applyBorder="1" applyAlignment="1">
      <alignment horizontal="center" shrinkToFit="1"/>
    </xf>
    <xf numFmtId="175" fontId="4" fillId="0" borderId="18" xfId="0" applyNumberFormat="1" applyFont="1" applyBorder="1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0" fontId="28" fillId="14" borderId="2" xfId="4" applyBorder="1" applyAlignment="1">
      <alignment horizontal="center" shrinkToFit="1"/>
    </xf>
    <xf numFmtId="0" fontId="28" fillId="14" borderId="29" xfId="4" applyBorder="1" applyAlignment="1">
      <alignment horizontal="center" shrinkToFit="1"/>
    </xf>
    <xf numFmtId="0" fontId="28" fillId="14" borderId="17" xfId="4" applyBorder="1" applyAlignment="1">
      <alignment horizontal="center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42" xfId="0" applyFont="1" applyBorder="1" applyAlignment="1">
      <alignment horizontal="left" shrinkToFit="1"/>
    </xf>
    <xf numFmtId="0" fontId="1" fillId="17" borderId="1" xfId="0" applyFont="1" applyFill="1" applyBorder="1" applyAlignment="1">
      <alignment horizontal="center" shrinkToFit="1"/>
    </xf>
    <xf numFmtId="0" fontId="1" fillId="16" borderId="1" xfId="0" applyFont="1" applyFill="1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8" fillId="14" borderId="1" xfId="4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74" fontId="20" fillId="0" borderId="1" xfId="0" applyNumberFormat="1" applyFont="1" applyBorder="1" applyAlignment="1">
      <alignment horizontal="center" vertical="center" shrinkToFit="1"/>
    </xf>
    <xf numFmtId="174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3" xfId="0" applyFont="1" applyFill="1" applyBorder="1" applyAlignment="1">
      <alignment horizontal="center" vertical="center" shrinkToFit="1"/>
    </xf>
    <xf numFmtId="174" fontId="20" fillId="12" borderId="5" xfId="0" applyNumberFormat="1" applyFont="1" applyFill="1" applyBorder="1" applyAlignment="1">
      <alignment horizontal="center" vertical="center" shrinkToFit="1"/>
    </xf>
    <xf numFmtId="174" fontId="20" fillId="12" borderId="56" xfId="0" applyNumberFormat="1" applyFont="1" applyFill="1" applyBorder="1" applyAlignment="1">
      <alignment horizontal="center" vertical="center" shrinkToFit="1"/>
    </xf>
    <xf numFmtId="174" fontId="20" fillId="12" borderId="63" xfId="0" applyNumberFormat="1" applyFont="1" applyFill="1" applyBorder="1" applyAlignment="1">
      <alignment horizontal="center" vertical="center" shrinkToFit="1"/>
    </xf>
    <xf numFmtId="166" fontId="20" fillId="12" borderId="5" xfId="0" applyNumberFormat="1" applyFont="1" applyFill="1" applyBorder="1" applyAlignment="1">
      <alignment horizontal="center" vertical="center" shrinkToFit="1"/>
    </xf>
    <xf numFmtId="166" fontId="20" fillId="12" borderId="56" xfId="0" applyNumberFormat="1" applyFont="1" applyFill="1" applyBorder="1" applyAlignment="1">
      <alignment horizontal="center" vertical="center" shrinkToFit="1"/>
    </xf>
    <xf numFmtId="166" fontId="20" fillId="12" borderId="63" xfId="0" applyNumberFormat="1" applyFont="1" applyFill="1" applyBorder="1" applyAlignment="1">
      <alignment horizontal="center" vertical="center" shrinkToFit="1"/>
    </xf>
    <xf numFmtId="167" fontId="20" fillId="0" borderId="1" xfId="0" applyNumberFormat="1" applyFont="1" applyBorder="1" applyAlignment="1">
      <alignment horizontal="center" vertical="center" shrinkToFit="1"/>
    </xf>
    <xf numFmtId="167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67" fontId="20" fillId="0" borderId="15" xfId="0" applyNumberFormat="1" applyFont="1" applyBorder="1" applyAlignment="1">
      <alignment horizontal="center" vertical="center" shrinkToFit="1"/>
    </xf>
    <xf numFmtId="167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166" fontId="20" fillId="12" borderId="1" xfId="0" applyNumberFormat="1" applyFont="1" applyFill="1" applyBorder="1" applyAlignment="1">
      <alignment horizontal="center" vertical="center" shrinkToFit="1"/>
    </xf>
    <xf numFmtId="0" fontId="24" fillId="12" borderId="5" xfId="0" applyFont="1" applyFill="1" applyBorder="1" applyAlignment="1">
      <alignment horizontal="center" vertical="center" shrinkToFit="1"/>
    </xf>
    <xf numFmtId="0" fontId="24" fillId="12" borderId="56" xfId="0" applyFont="1" applyFill="1" applyBorder="1" applyAlignment="1">
      <alignment horizontal="center" vertical="center" shrinkToFit="1"/>
    </xf>
    <xf numFmtId="0" fontId="24" fillId="12" borderId="63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3" xfId="0" applyFont="1" applyFill="1" applyBorder="1" applyAlignment="1">
      <alignment horizontal="center" vertical="center" shrinkToFit="1"/>
    </xf>
    <xf numFmtId="167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4" fillId="10" borderId="2" xfId="0" applyFont="1" applyFill="1" applyBorder="1" applyAlignment="1">
      <alignment horizontal="center" vertical="center" shrinkToFit="1"/>
    </xf>
    <xf numFmtId="0" fontId="24" fillId="10" borderId="29" xfId="0" applyFont="1" applyFill="1" applyBorder="1" applyAlignment="1">
      <alignment horizontal="center" vertical="center" shrinkToFit="1"/>
    </xf>
    <xf numFmtId="0" fontId="24" fillId="10" borderId="26" xfId="0" applyFont="1" applyFill="1" applyBorder="1" applyAlignment="1">
      <alignment horizontal="center" vertical="center" shrinkToFit="1"/>
    </xf>
    <xf numFmtId="0" fontId="24" fillId="7" borderId="2" xfId="0" applyFont="1" applyFill="1" applyBorder="1" applyAlignment="1">
      <alignment horizontal="center" vertical="center" shrinkToFit="1"/>
    </xf>
    <xf numFmtId="0" fontId="24" fillId="7" borderId="29" xfId="0" applyFont="1" applyFill="1" applyBorder="1" applyAlignment="1">
      <alignment horizontal="center" vertical="center" shrinkToFit="1"/>
    </xf>
    <xf numFmtId="0" fontId="24" fillId="7" borderId="26" xfId="0" applyFont="1" applyFill="1" applyBorder="1" applyAlignment="1">
      <alignment horizontal="center" vertical="center" shrinkToFit="1"/>
    </xf>
    <xf numFmtId="166" fontId="20" fillId="7" borderId="30" xfId="0" applyNumberFormat="1" applyFont="1" applyFill="1" applyBorder="1" applyAlignment="1">
      <alignment horizontal="center" vertical="center" shrinkToFit="1"/>
    </xf>
    <xf numFmtId="166" fontId="20" fillId="7" borderId="43" xfId="0" applyNumberFormat="1" applyFont="1" applyFill="1" applyBorder="1" applyAlignment="1">
      <alignment horizontal="center" vertical="center" shrinkToFit="1"/>
    </xf>
    <xf numFmtId="166" fontId="20" fillId="7" borderId="44" xfId="0" applyNumberFormat="1" applyFont="1" applyFill="1" applyBorder="1" applyAlignment="1">
      <alignment horizontal="center" vertical="center" shrinkToFit="1"/>
    </xf>
    <xf numFmtId="166" fontId="20" fillId="7" borderId="45" xfId="0" applyNumberFormat="1" applyFont="1" applyFill="1" applyBorder="1" applyAlignment="1">
      <alignment horizontal="center" vertical="center" shrinkToFit="1"/>
    </xf>
    <xf numFmtId="166" fontId="20" fillId="7" borderId="0" xfId="0" applyNumberFormat="1" applyFont="1" applyFill="1" applyAlignment="1">
      <alignment horizontal="center" vertical="center" shrinkToFit="1"/>
    </xf>
    <xf numFmtId="166" fontId="20" fillId="7" borderId="46" xfId="0" applyNumberFormat="1" applyFont="1" applyFill="1" applyBorder="1" applyAlignment="1">
      <alignment horizontal="center" vertical="center" shrinkToFit="1"/>
    </xf>
    <xf numFmtId="166" fontId="20" fillId="7" borderId="6" xfId="0" applyNumberFormat="1" applyFont="1" applyFill="1" applyBorder="1" applyAlignment="1">
      <alignment horizontal="center" vertical="center" shrinkToFit="1"/>
    </xf>
    <xf numFmtId="166" fontId="20" fillId="7" borderId="37" xfId="0" applyNumberFormat="1" applyFont="1" applyFill="1" applyBorder="1" applyAlignment="1">
      <alignment horizontal="center" vertical="center" shrinkToFit="1"/>
    </xf>
    <xf numFmtId="166" fontId="20" fillId="7" borderId="39" xfId="0" applyNumberFormat="1" applyFont="1" applyFill="1" applyBorder="1" applyAlignment="1">
      <alignment horizontal="center" vertical="center" shrinkToFit="1"/>
    </xf>
    <xf numFmtId="166" fontId="20" fillId="11" borderId="30" xfId="0" applyNumberFormat="1" applyFont="1" applyFill="1" applyBorder="1" applyAlignment="1">
      <alignment horizontal="center" vertical="center" shrinkToFit="1"/>
    </xf>
    <xf numFmtId="166" fontId="20" fillId="11" borderId="43" xfId="0" applyNumberFormat="1" applyFont="1" applyFill="1" applyBorder="1" applyAlignment="1">
      <alignment horizontal="center" vertical="center" shrinkToFit="1"/>
    </xf>
    <xf numFmtId="166" fontId="20" fillId="11" borderId="44" xfId="0" applyNumberFormat="1" applyFont="1" applyFill="1" applyBorder="1" applyAlignment="1">
      <alignment horizontal="center" vertical="center" shrinkToFit="1"/>
    </xf>
    <xf numFmtId="166" fontId="20" fillId="11" borderId="45" xfId="0" applyNumberFormat="1" applyFont="1" applyFill="1" applyBorder="1" applyAlignment="1">
      <alignment horizontal="center" vertical="center" shrinkToFit="1"/>
    </xf>
    <xf numFmtId="166" fontId="20" fillId="11" borderId="0" xfId="0" applyNumberFormat="1" applyFont="1" applyFill="1" applyAlignment="1">
      <alignment horizontal="center" vertical="center" shrinkToFit="1"/>
    </xf>
    <xf numFmtId="166" fontId="20" fillId="11" borderId="46" xfId="0" applyNumberFormat="1" applyFont="1" applyFill="1" applyBorder="1" applyAlignment="1">
      <alignment horizontal="center" vertical="center" shrinkToFit="1"/>
    </xf>
    <xf numFmtId="166" fontId="20" fillId="11" borderId="6" xfId="0" applyNumberFormat="1" applyFont="1" applyFill="1" applyBorder="1" applyAlignment="1">
      <alignment horizontal="center" vertical="center" shrinkToFit="1"/>
    </xf>
    <xf numFmtId="166" fontId="20" fillId="11" borderId="37" xfId="0" applyNumberFormat="1" applyFont="1" applyFill="1" applyBorder="1" applyAlignment="1">
      <alignment horizontal="center" vertical="center" shrinkToFit="1"/>
    </xf>
    <xf numFmtId="166" fontId="20" fillId="11" borderId="39" xfId="0" applyNumberFormat="1" applyFont="1" applyFill="1" applyBorder="1" applyAlignment="1">
      <alignment horizontal="center" vertical="center" shrinkToFit="1"/>
    </xf>
    <xf numFmtId="174" fontId="20" fillId="11" borderId="30" xfId="0" applyNumberFormat="1" applyFont="1" applyFill="1" applyBorder="1" applyAlignment="1">
      <alignment horizontal="center" vertical="center" shrinkToFit="1"/>
    </xf>
    <xf numFmtId="174" fontId="20" fillId="11" borderId="43" xfId="0" applyNumberFormat="1" applyFont="1" applyFill="1" applyBorder="1" applyAlignment="1">
      <alignment horizontal="center" vertical="center" shrinkToFit="1"/>
    </xf>
    <xf numFmtId="174" fontId="20" fillId="11" borderId="44" xfId="0" applyNumberFormat="1" applyFont="1" applyFill="1" applyBorder="1" applyAlignment="1">
      <alignment horizontal="center" vertical="center" shrinkToFit="1"/>
    </xf>
    <xf numFmtId="174" fontId="20" fillId="11" borderId="45" xfId="0" applyNumberFormat="1" applyFont="1" applyFill="1" applyBorder="1" applyAlignment="1">
      <alignment horizontal="center" vertical="center" shrinkToFit="1"/>
    </xf>
    <xf numFmtId="174" fontId="20" fillId="11" borderId="0" xfId="0" applyNumberFormat="1" applyFont="1" applyFill="1" applyAlignment="1">
      <alignment horizontal="center" vertical="center" shrinkToFit="1"/>
    </xf>
    <xf numFmtId="174" fontId="20" fillId="11" borderId="46" xfId="0" applyNumberFormat="1" applyFont="1" applyFill="1" applyBorder="1" applyAlignment="1">
      <alignment horizontal="center" vertical="center" shrinkToFit="1"/>
    </xf>
    <xf numFmtId="174" fontId="20" fillId="11" borderId="6" xfId="0" applyNumberFormat="1" applyFont="1" applyFill="1" applyBorder="1" applyAlignment="1">
      <alignment horizontal="center" vertical="center" shrinkToFit="1"/>
    </xf>
    <xf numFmtId="174" fontId="20" fillId="11" borderId="37" xfId="0" applyNumberFormat="1" applyFont="1" applyFill="1" applyBorder="1" applyAlignment="1">
      <alignment horizontal="center" vertical="center" shrinkToFit="1"/>
    </xf>
    <xf numFmtId="174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67" fontId="4" fillId="11" borderId="1" xfId="0" applyNumberFormat="1" applyFont="1" applyFill="1" applyBorder="1" applyAlignment="1">
      <alignment horizontal="center" vertical="center" shrinkToFit="1"/>
    </xf>
    <xf numFmtId="167" fontId="4" fillId="10" borderId="2" xfId="0" applyNumberFormat="1" applyFont="1" applyFill="1" applyBorder="1" applyAlignment="1">
      <alignment horizontal="center" vertical="center" shrinkToFit="1"/>
    </xf>
    <xf numFmtId="167" fontId="4" fillId="10" borderId="29" xfId="0" applyNumberFormat="1" applyFont="1" applyFill="1" applyBorder="1" applyAlignment="1">
      <alignment horizontal="center" vertical="center" shrinkToFit="1"/>
    </xf>
    <xf numFmtId="167" fontId="4" fillId="10" borderId="26" xfId="0" applyNumberFormat="1" applyFont="1" applyFill="1" applyBorder="1" applyAlignment="1">
      <alignment horizontal="center" vertical="center" shrinkToFit="1"/>
    </xf>
    <xf numFmtId="167" fontId="4" fillId="7" borderId="2" xfId="0" applyNumberFormat="1" applyFont="1" applyFill="1" applyBorder="1" applyAlignment="1">
      <alignment horizontal="center" vertical="center" shrinkToFit="1"/>
    </xf>
    <xf numFmtId="167" fontId="4" fillId="7" borderId="29" xfId="0" applyNumberFormat="1" applyFont="1" applyFill="1" applyBorder="1" applyAlignment="1">
      <alignment horizontal="center" vertical="center" shrinkToFit="1"/>
    </xf>
    <xf numFmtId="167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74" fontId="20" fillId="7" borderId="30" xfId="0" applyNumberFormat="1" applyFont="1" applyFill="1" applyBorder="1" applyAlignment="1">
      <alignment horizontal="center" vertical="center" shrinkToFit="1"/>
    </xf>
    <xf numFmtId="174" fontId="20" fillId="7" borderId="43" xfId="0" applyNumberFormat="1" applyFont="1" applyFill="1" applyBorder="1" applyAlignment="1">
      <alignment horizontal="center" vertical="center" shrinkToFit="1"/>
    </xf>
    <xf numFmtId="174" fontId="20" fillId="7" borderId="44" xfId="0" applyNumberFormat="1" applyFont="1" applyFill="1" applyBorder="1" applyAlignment="1">
      <alignment horizontal="center" vertical="center" shrinkToFit="1"/>
    </xf>
    <xf numFmtId="174" fontId="20" fillId="7" borderId="45" xfId="0" applyNumberFormat="1" applyFont="1" applyFill="1" applyBorder="1" applyAlignment="1">
      <alignment horizontal="center" vertical="center" shrinkToFit="1"/>
    </xf>
    <xf numFmtId="174" fontId="20" fillId="7" borderId="0" xfId="0" applyNumberFormat="1" applyFont="1" applyFill="1" applyAlignment="1">
      <alignment horizontal="center" vertical="center" shrinkToFit="1"/>
    </xf>
    <xf numFmtId="174" fontId="20" fillId="7" borderId="46" xfId="0" applyNumberFormat="1" applyFont="1" applyFill="1" applyBorder="1" applyAlignment="1">
      <alignment horizontal="center" vertical="center" shrinkToFit="1"/>
    </xf>
    <xf numFmtId="174" fontId="20" fillId="7" borderId="6" xfId="0" applyNumberFormat="1" applyFont="1" applyFill="1" applyBorder="1" applyAlignment="1">
      <alignment horizontal="center" vertical="center" shrinkToFit="1"/>
    </xf>
    <xf numFmtId="174" fontId="20" fillId="7" borderId="37" xfId="0" applyNumberFormat="1" applyFont="1" applyFill="1" applyBorder="1" applyAlignment="1">
      <alignment horizontal="center" vertical="center" shrinkToFit="1"/>
    </xf>
    <xf numFmtId="174" fontId="20" fillId="7" borderId="39" xfId="0" applyNumberFormat="1" applyFont="1" applyFill="1" applyBorder="1" applyAlignment="1">
      <alignment horizontal="center" vertical="center" shrinkToFit="1"/>
    </xf>
    <xf numFmtId="167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67" fontId="4" fillId="5" borderId="1" xfId="0" applyNumberFormat="1" applyFont="1" applyFill="1" applyBorder="1" applyAlignment="1">
      <alignment horizontal="center" vertical="center" shrinkToFit="1"/>
    </xf>
    <xf numFmtId="167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67" fontId="4" fillId="6" borderId="2" xfId="0" applyNumberFormat="1" applyFont="1" applyFill="1" applyBorder="1" applyAlignment="1">
      <alignment horizontal="center" vertical="center" shrinkToFit="1"/>
    </xf>
    <xf numFmtId="167" fontId="4" fillId="6" borderId="29" xfId="0" applyNumberFormat="1" applyFont="1" applyFill="1" applyBorder="1" applyAlignment="1">
      <alignment horizontal="center" vertical="center" shrinkToFit="1"/>
    </xf>
    <xf numFmtId="167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67" fontId="4" fillId="10" borderId="1" xfId="0" applyNumberFormat="1" applyFont="1" applyFill="1" applyBorder="1" applyAlignment="1">
      <alignment horizontal="center" vertical="center" shrinkToFit="1"/>
    </xf>
    <xf numFmtId="0" fontId="24" fillId="6" borderId="2" xfId="0" applyFont="1" applyFill="1" applyBorder="1" applyAlignment="1">
      <alignment horizontal="center" vertical="center" shrinkToFit="1"/>
    </xf>
    <xf numFmtId="0" fontId="24" fillId="6" borderId="29" xfId="0" applyFont="1" applyFill="1" applyBorder="1" applyAlignment="1">
      <alignment horizontal="center" vertical="center" shrinkToFit="1"/>
    </xf>
    <xf numFmtId="0" fontId="24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67" fontId="4" fillId="5" borderId="2" xfId="0" applyNumberFormat="1" applyFont="1" applyFill="1" applyBorder="1" applyAlignment="1">
      <alignment horizontal="center" vertical="center" shrinkToFit="1"/>
    </xf>
    <xf numFmtId="167" fontId="4" fillId="5" borderId="29" xfId="0" applyNumberFormat="1" applyFont="1" applyFill="1" applyBorder="1" applyAlignment="1">
      <alignment horizontal="center" vertical="center" shrinkToFit="1"/>
    </xf>
    <xf numFmtId="167" fontId="4" fillId="5" borderId="26" xfId="0" applyNumberFormat="1" applyFont="1" applyFill="1" applyBorder="1" applyAlignment="1">
      <alignment horizontal="center" vertical="center" shrinkToFit="1"/>
    </xf>
    <xf numFmtId="166" fontId="20" fillId="10" borderId="30" xfId="0" applyNumberFormat="1" applyFont="1" applyFill="1" applyBorder="1" applyAlignment="1">
      <alignment horizontal="center" vertical="center" shrinkToFit="1"/>
    </xf>
    <xf numFmtId="166" fontId="20" fillId="10" borderId="43" xfId="0" applyNumberFormat="1" applyFont="1" applyFill="1" applyBorder="1" applyAlignment="1">
      <alignment horizontal="center" vertical="center" shrinkToFit="1"/>
    </xf>
    <xf numFmtId="166" fontId="20" fillId="10" borderId="44" xfId="0" applyNumberFormat="1" applyFont="1" applyFill="1" applyBorder="1" applyAlignment="1">
      <alignment horizontal="center" vertical="center" shrinkToFit="1"/>
    </xf>
    <xf numFmtId="166" fontId="20" fillId="10" borderId="45" xfId="0" applyNumberFormat="1" applyFont="1" applyFill="1" applyBorder="1" applyAlignment="1">
      <alignment horizontal="center" vertical="center" shrinkToFit="1"/>
    </xf>
    <xf numFmtId="166" fontId="20" fillId="10" borderId="0" xfId="0" applyNumberFormat="1" applyFont="1" applyFill="1" applyAlignment="1">
      <alignment horizontal="center" vertical="center" shrinkToFit="1"/>
    </xf>
    <xf numFmtId="166" fontId="20" fillId="10" borderId="46" xfId="0" applyNumberFormat="1" applyFont="1" applyFill="1" applyBorder="1" applyAlignment="1">
      <alignment horizontal="center" vertical="center" shrinkToFit="1"/>
    </xf>
    <xf numFmtId="166" fontId="20" fillId="10" borderId="6" xfId="0" applyNumberFormat="1" applyFont="1" applyFill="1" applyBorder="1" applyAlignment="1">
      <alignment horizontal="center" vertical="center" shrinkToFit="1"/>
    </xf>
    <xf numFmtId="166" fontId="20" fillId="10" borderId="37" xfId="0" applyNumberFormat="1" applyFont="1" applyFill="1" applyBorder="1" applyAlignment="1">
      <alignment horizontal="center" vertical="center" shrinkToFit="1"/>
    </xf>
    <xf numFmtId="166" fontId="20" fillId="10" borderId="39" xfId="0" applyNumberFormat="1" applyFont="1" applyFill="1" applyBorder="1" applyAlignment="1">
      <alignment horizontal="center" vertical="center" shrinkToFit="1"/>
    </xf>
    <xf numFmtId="174" fontId="20" fillId="10" borderId="30" xfId="0" applyNumberFormat="1" applyFont="1" applyFill="1" applyBorder="1" applyAlignment="1">
      <alignment horizontal="center" vertical="center" shrinkToFit="1"/>
    </xf>
    <xf numFmtId="174" fontId="20" fillId="10" borderId="43" xfId="0" applyNumberFormat="1" applyFont="1" applyFill="1" applyBorder="1" applyAlignment="1">
      <alignment horizontal="center" vertical="center" shrinkToFit="1"/>
    </xf>
    <xf numFmtId="174" fontId="20" fillId="10" borderId="44" xfId="0" applyNumberFormat="1" applyFont="1" applyFill="1" applyBorder="1" applyAlignment="1">
      <alignment horizontal="center" vertical="center" shrinkToFit="1"/>
    </xf>
    <xf numFmtId="174" fontId="20" fillId="10" borderId="45" xfId="0" applyNumberFormat="1" applyFont="1" applyFill="1" applyBorder="1" applyAlignment="1">
      <alignment horizontal="center" vertical="center" shrinkToFit="1"/>
    </xf>
    <xf numFmtId="174" fontId="20" fillId="10" borderId="0" xfId="0" applyNumberFormat="1" applyFont="1" applyFill="1" applyAlignment="1">
      <alignment horizontal="center" vertical="center" shrinkToFit="1"/>
    </xf>
    <xf numFmtId="174" fontId="20" fillId="10" borderId="46" xfId="0" applyNumberFormat="1" applyFont="1" applyFill="1" applyBorder="1" applyAlignment="1">
      <alignment horizontal="center" vertical="center" shrinkToFit="1"/>
    </xf>
    <xf numFmtId="174" fontId="20" fillId="10" borderId="6" xfId="0" applyNumberFormat="1" applyFont="1" applyFill="1" applyBorder="1" applyAlignment="1">
      <alignment horizontal="center" vertical="center" shrinkToFit="1"/>
    </xf>
    <xf numFmtId="174" fontId="20" fillId="10" borderId="37" xfId="0" applyNumberFormat="1" applyFont="1" applyFill="1" applyBorder="1" applyAlignment="1">
      <alignment horizontal="center" vertical="center" shrinkToFit="1"/>
    </xf>
    <xf numFmtId="174" fontId="20" fillId="10" borderId="39" xfId="0" applyNumberFormat="1" applyFont="1" applyFill="1" applyBorder="1" applyAlignment="1">
      <alignment horizontal="center" vertical="center" shrinkToFit="1"/>
    </xf>
    <xf numFmtId="167" fontId="4" fillId="9" borderId="2" xfId="0" applyNumberFormat="1" applyFont="1" applyFill="1" applyBorder="1" applyAlignment="1">
      <alignment horizontal="center" vertical="center" shrinkToFit="1"/>
    </xf>
    <xf numFmtId="167" fontId="4" fillId="9" borderId="29" xfId="0" applyNumberFormat="1" applyFont="1" applyFill="1" applyBorder="1" applyAlignment="1">
      <alignment horizontal="center" vertical="center" shrinkToFit="1"/>
    </xf>
    <xf numFmtId="167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4" fillId="9" borderId="2" xfId="0" applyFont="1" applyFill="1" applyBorder="1" applyAlignment="1">
      <alignment horizontal="center" vertical="center" shrinkToFit="1"/>
    </xf>
    <xf numFmtId="0" fontId="24" fillId="9" borderId="29" xfId="0" applyFont="1" applyFill="1" applyBorder="1" applyAlignment="1">
      <alignment horizontal="center" vertical="center" shrinkToFit="1"/>
    </xf>
    <xf numFmtId="0" fontId="24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4" fontId="20" fillId="5" borderId="30" xfId="0" applyNumberFormat="1" applyFont="1" applyFill="1" applyBorder="1" applyAlignment="1">
      <alignment horizontal="center" vertical="center" shrinkToFit="1"/>
    </xf>
    <xf numFmtId="174" fontId="20" fillId="5" borderId="43" xfId="0" applyNumberFormat="1" applyFont="1" applyFill="1" applyBorder="1" applyAlignment="1">
      <alignment horizontal="center" vertical="center" shrinkToFit="1"/>
    </xf>
    <xf numFmtId="174" fontId="20" fillId="5" borderId="44" xfId="0" applyNumberFormat="1" applyFont="1" applyFill="1" applyBorder="1" applyAlignment="1">
      <alignment horizontal="center" vertical="center" shrinkToFit="1"/>
    </xf>
    <xf numFmtId="174" fontId="20" fillId="5" borderId="45" xfId="0" applyNumberFormat="1" applyFont="1" applyFill="1" applyBorder="1" applyAlignment="1">
      <alignment horizontal="center" vertical="center" shrinkToFit="1"/>
    </xf>
    <xf numFmtId="174" fontId="20" fillId="5" borderId="0" xfId="0" applyNumberFormat="1" applyFont="1" applyFill="1" applyAlignment="1">
      <alignment horizontal="center" vertical="center" shrinkToFit="1"/>
    </xf>
    <xf numFmtId="174" fontId="20" fillId="5" borderId="46" xfId="0" applyNumberFormat="1" applyFont="1" applyFill="1" applyBorder="1" applyAlignment="1">
      <alignment horizontal="center" vertical="center" shrinkToFit="1"/>
    </xf>
    <xf numFmtId="174" fontId="20" fillId="5" borderId="6" xfId="0" applyNumberFormat="1" applyFont="1" applyFill="1" applyBorder="1" applyAlignment="1">
      <alignment horizontal="center" vertical="center" shrinkToFit="1"/>
    </xf>
    <xf numFmtId="174" fontId="20" fillId="5" borderId="37" xfId="0" applyNumberFormat="1" applyFont="1" applyFill="1" applyBorder="1" applyAlignment="1">
      <alignment horizontal="center" vertical="center" shrinkToFit="1"/>
    </xf>
    <xf numFmtId="174" fontId="20" fillId="5" borderId="39" xfId="0" applyNumberFormat="1" applyFont="1" applyFill="1" applyBorder="1" applyAlignment="1">
      <alignment horizontal="center" vertical="center" shrinkToFit="1"/>
    </xf>
    <xf numFmtId="174" fontId="20" fillId="9" borderId="30" xfId="0" applyNumberFormat="1" applyFont="1" applyFill="1" applyBorder="1" applyAlignment="1">
      <alignment horizontal="center" vertical="center" shrinkToFit="1"/>
    </xf>
    <xf numFmtId="174" fontId="20" fillId="9" borderId="43" xfId="0" applyNumberFormat="1" applyFont="1" applyFill="1" applyBorder="1" applyAlignment="1">
      <alignment horizontal="center" vertical="center" shrinkToFit="1"/>
    </xf>
    <xf numFmtId="174" fontId="20" fillId="9" borderId="44" xfId="0" applyNumberFormat="1" applyFont="1" applyFill="1" applyBorder="1" applyAlignment="1">
      <alignment horizontal="center" vertical="center" shrinkToFit="1"/>
    </xf>
    <xf numFmtId="174" fontId="20" fillId="9" borderId="45" xfId="0" applyNumberFormat="1" applyFont="1" applyFill="1" applyBorder="1" applyAlignment="1">
      <alignment horizontal="center" vertical="center" shrinkToFit="1"/>
    </xf>
    <xf numFmtId="174" fontId="20" fillId="9" borderId="0" xfId="0" applyNumberFormat="1" applyFont="1" applyFill="1" applyAlignment="1">
      <alignment horizontal="center" vertical="center" shrinkToFit="1"/>
    </xf>
    <xf numFmtId="174" fontId="20" fillId="9" borderId="46" xfId="0" applyNumberFormat="1" applyFont="1" applyFill="1" applyBorder="1" applyAlignment="1">
      <alignment horizontal="center" vertical="center" shrinkToFit="1"/>
    </xf>
    <xf numFmtId="174" fontId="20" fillId="9" borderId="6" xfId="0" applyNumberFormat="1" applyFont="1" applyFill="1" applyBorder="1" applyAlignment="1">
      <alignment horizontal="center" vertical="center" shrinkToFit="1"/>
    </xf>
    <xf numFmtId="174" fontId="20" fillId="9" borderId="37" xfId="0" applyNumberFormat="1" applyFont="1" applyFill="1" applyBorder="1" applyAlignment="1">
      <alignment horizontal="center" vertical="center" shrinkToFit="1"/>
    </xf>
    <xf numFmtId="174" fontId="20" fillId="9" borderId="39" xfId="0" applyNumberFormat="1" applyFont="1" applyFill="1" applyBorder="1" applyAlignment="1">
      <alignment horizontal="center" vertical="center" shrinkToFit="1"/>
    </xf>
    <xf numFmtId="166" fontId="20" fillId="9" borderId="30" xfId="0" applyNumberFormat="1" applyFont="1" applyFill="1" applyBorder="1" applyAlignment="1">
      <alignment horizontal="center" vertical="center" shrinkToFit="1"/>
    </xf>
    <xf numFmtId="166" fontId="20" fillId="9" borderId="43" xfId="0" applyNumberFormat="1" applyFont="1" applyFill="1" applyBorder="1" applyAlignment="1">
      <alignment horizontal="center" vertical="center" shrinkToFit="1"/>
    </xf>
    <xf numFmtId="166" fontId="20" fillId="9" borderId="44" xfId="0" applyNumberFormat="1" applyFont="1" applyFill="1" applyBorder="1" applyAlignment="1">
      <alignment horizontal="center" vertical="center" shrinkToFit="1"/>
    </xf>
    <xf numFmtId="166" fontId="20" fillId="9" borderId="45" xfId="0" applyNumberFormat="1" applyFont="1" applyFill="1" applyBorder="1" applyAlignment="1">
      <alignment horizontal="center" vertical="center" shrinkToFit="1"/>
    </xf>
    <xf numFmtId="166" fontId="20" fillId="9" borderId="0" xfId="0" applyNumberFormat="1" applyFont="1" applyFill="1" applyAlignment="1">
      <alignment horizontal="center" vertical="center" shrinkToFit="1"/>
    </xf>
    <xf numFmtId="166" fontId="20" fillId="9" borderId="46" xfId="0" applyNumberFormat="1" applyFont="1" applyFill="1" applyBorder="1" applyAlignment="1">
      <alignment horizontal="center" vertical="center" shrinkToFit="1"/>
    </xf>
    <xf numFmtId="166" fontId="20" fillId="9" borderId="6" xfId="0" applyNumberFormat="1" applyFont="1" applyFill="1" applyBorder="1" applyAlignment="1">
      <alignment horizontal="center" vertical="center" shrinkToFit="1"/>
    </xf>
    <xf numFmtId="166" fontId="20" fillId="9" borderId="37" xfId="0" applyNumberFormat="1" applyFont="1" applyFill="1" applyBorder="1" applyAlignment="1">
      <alignment horizontal="center" vertical="center" shrinkToFit="1"/>
    </xf>
    <xf numFmtId="166" fontId="20" fillId="9" borderId="39" xfId="0" applyNumberFormat="1" applyFont="1" applyFill="1" applyBorder="1" applyAlignment="1">
      <alignment horizontal="center" vertical="center" shrinkToFit="1"/>
    </xf>
    <xf numFmtId="166" fontId="20" fillId="5" borderId="30" xfId="0" applyNumberFormat="1" applyFont="1" applyFill="1" applyBorder="1" applyAlignment="1">
      <alignment horizontal="center" vertical="center" shrinkToFit="1"/>
    </xf>
    <xf numFmtId="166" fontId="20" fillId="5" borderId="43" xfId="0" applyNumberFormat="1" applyFont="1" applyFill="1" applyBorder="1" applyAlignment="1">
      <alignment horizontal="center" vertical="center" shrinkToFit="1"/>
    </xf>
    <xf numFmtId="166" fontId="20" fillId="5" borderId="44" xfId="0" applyNumberFormat="1" applyFont="1" applyFill="1" applyBorder="1" applyAlignment="1">
      <alignment horizontal="center" vertical="center" shrinkToFit="1"/>
    </xf>
    <xf numFmtId="166" fontId="20" fillId="5" borderId="45" xfId="0" applyNumberFormat="1" applyFont="1" applyFill="1" applyBorder="1" applyAlignment="1">
      <alignment horizontal="center" vertical="center" shrinkToFit="1"/>
    </xf>
    <xf numFmtId="166" fontId="20" fillId="5" borderId="0" xfId="0" applyNumberFormat="1" applyFont="1" applyFill="1" applyAlignment="1">
      <alignment horizontal="center" vertical="center" shrinkToFit="1"/>
    </xf>
    <xf numFmtId="166" fontId="20" fillId="5" borderId="46" xfId="0" applyNumberFormat="1" applyFont="1" applyFill="1" applyBorder="1" applyAlignment="1">
      <alignment horizontal="center" vertical="center" shrinkToFit="1"/>
    </xf>
    <xf numFmtId="166" fontId="20" fillId="5" borderId="6" xfId="0" applyNumberFormat="1" applyFont="1" applyFill="1" applyBorder="1" applyAlignment="1">
      <alignment horizontal="center" vertical="center" shrinkToFit="1"/>
    </xf>
    <xf numFmtId="166" fontId="20" fillId="5" borderId="37" xfId="0" applyNumberFormat="1" applyFont="1" applyFill="1" applyBorder="1" applyAlignment="1">
      <alignment horizontal="center" vertical="center" shrinkToFit="1"/>
    </xf>
    <xf numFmtId="16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71" fontId="20" fillId="0" borderId="58" xfId="0" applyNumberFormat="1" applyFont="1" applyBorder="1" applyAlignment="1">
      <alignment horizontal="center" vertical="center" shrinkToFit="1"/>
    </xf>
    <xf numFmtId="171" fontId="20" fillId="0" borderId="43" xfId="0" applyNumberFormat="1" applyFont="1" applyBorder="1" applyAlignment="1">
      <alignment horizontal="center" vertical="center" shrinkToFit="1"/>
    </xf>
    <xf numFmtId="171" fontId="20" fillId="0" borderId="59" xfId="0" applyNumberFormat="1" applyFont="1" applyBorder="1" applyAlignment="1">
      <alignment horizontal="center" vertical="center" shrinkToFit="1"/>
    </xf>
    <xf numFmtId="171" fontId="20" fillId="0" borderId="31" xfId="0" applyNumberFormat="1" applyFont="1" applyBorder="1" applyAlignment="1">
      <alignment horizontal="center" vertical="center" shrinkToFit="1"/>
    </xf>
    <xf numFmtId="171" fontId="20" fillId="0" borderId="0" xfId="0" applyNumberFormat="1" applyFont="1" applyAlignment="1">
      <alignment horizontal="center" vertical="center" shrinkToFit="1"/>
    </xf>
    <xf numFmtId="171" fontId="20" fillId="0" borderId="32" xfId="0" applyNumberFormat="1" applyFont="1" applyBorder="1" applyAlignment="1">
      <alignment horizontal="center" vertical="center" shrinkToFit="1"/>
    </xf>
    <xf numFmtId="171" fontId="20" fillId="0" borderId="21" xfId="0" applyNumberFormat="1" applyFont="1" applyBorder="1" applyAlignment="1">
      <alignment horizontal="center" vertical="center" shrinkToFit="1"/>
    </xf>
    <xf numFmtId="171" fontId="20" fillId="0" borderId="22" xfId="0" applyNumberFormat="1" applyFont="1" applyBorder="1" applyAlignment="1">
      <alignment horizontal="center" vertical="center" shrinkToFit="1"/>
    </xf>
    <xf numFmtId="171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24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47" xfId="0" applyFont="1" applyFill="1" applyBorder="1" applyAlignment="1">
      <alignment horizontal="center" vertical="center" shrinkToFit="1"/>
    </xf>
    <xf numFmtId="167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74" fontId="20" fillId="9" borderId="2" xfId="0" applyNumberFormat="1" applyFont="1" applyFill="1" applyBorder="1" applyAlignment="1">
      <alignment horizontal="center" vertical="center" shrinkToFit="1"/>
    </xf>
    <xf numFmtId="174" fontId="20" fillId="9" borderId="29" xfId="0" applyNumberFormat="1" applyFont="1" applyFill="1" applyBorder="1" applyAlignment="1">
      <alignment horizontal="center" vertical="center" shrinkToFit="1"/>
    </xf>
    <xf numFmtId="174" fontId="20" fillId="9" borderId="26" xfId="0" applyNumberFormat="1" applyFont="1" applyFill="1" applyBorder="1" applyAlignment="1">
      <alignment horizontal="center" vertical="center" shrinkToFit="1"/>
    </xf>
    <xf numFmtId="166" fontId="20" fillId="9" borderId="2" xfId="0" applyNumberFormat="1" applyFont="1" applyFill="1" applyBorder="1" applyAlignment="1">
      <alignment horizontal="center" vertical="center" shrinkToFit="1"/>
    </xf>
    <xf numFmtId="166" fontId="20" fillId="9" borderId="29" xfId="0" applyNumberFormat="1" applyFont="1" applyFill="1" applyBorder="1" applyAlignment="1">
      <alignment horizontal="center" vertical="center" shrinkToFit="1"/>
    </xf>
    <xf numFmtId="166" fontId="20" fillId="9" borderId="26" xfId="0" applyNumberFormat="1" applyFont="1" applyFill="1" applyBorder="1" applyAlignment="1">
      <alignment horizontal="center" vertical="center" shrinkToFit="1"/>
    </xf>
    <xf numFmtId="0" fontId="24" fillId="5" borderId="2" xfId="0" applyFont="1" applyFill="1" applyBorder="1" applyAlignment="1">
      <alignment horizontal="center" vertical="center" shrinkToFit="1"/>
    </xf>
    <xf numFmtId="0" fontId="24" fillId="5" borderId="29" xfId="0" applyFont="1" applyFill="1" applyBorder="1" applyAlignment="1">
      <alignment horizontal="center" vertical="center" shrinkToFit="1"/>
    </xf>
    <xf numFmtId="0" fontId="24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74" fontId="20" fillId="5" borderId="2" xfId="0" applyNumberFormat="1" applyFont="1" applyFill="1" applyBorder="1" applyAlignment="1">
      <alignment horizontal="center" vertical="center" shrinkToFit="1"/>
    </xf>
    <xf numFmtId="174" fontId="20" fillId="5" borderId="29" xfId="0" applyNumberFormat="1" applyFont="1" applyFill="1" applyBorder="1" applyAlignment="1">
      <alignment horizontal="center" vertical="center" shrinkToFit="1"/>
    </xf>
    <xf numFmtId="174" fontId="20" fillId="5" borderId="26" xfId="0" applyNumberFormat="1" applyFont="1" applyFill="1" applyBorder="1" applyAlignment="1">
      <alignment horizontal="center" vertical="center" shrinkToFit="1"/>
    </xf>
    <xf numFmtId="166" fontId="20" fillId="5" borderId="2" xfId="0" applyNumberFormat="1" applyFont="1" applyFill="1" applyBorder="1" applyAlignment="1">
      <alignment horizontal="center" vertical="center" shrinkToFit="1"/>
    </xf>
    <xf numFmtId="166" fontId="20" fillId="5" borderId="29" xfId="0" applyNumberFormat="1" applyFont="1" applyFill="1" applyBorder="1" applyAlignment="1">
      <alignment horizontal="center" vertical="center" shrinkToFit="1"/>
    </xf>
    <xf numFmtId="166" fontId="20" fillId="5" borderId="26" xfId="0" applyNumberFormat="1" applyFont="1" applyFill="1" applyBorder="1" applyAlignment="1">
      <alignment horizontal="center" vertical="center" shrinkToFit="1"/>
    </xf>
    <xf numFmtId="166" fontId="20" fillId="6" borderId="30" xfId="0" applyNumberFormat="1" applyFont="1" applyFill="1" applyBorder="1" applyAlignment="1">
      <alignment horizontal="center" vertical="center" shrinkToFit="1"/>
    </xf>
    <xf numFmtId="166" fontId="20" fillId="6" borderId="43" xfId="0" applyNumberFormat="1" applyFont="1" applyFill="1" applyBorder="1" applyAlignment="1">
      <alignment horizontal="center" vertical="center" shrinkToFit="1"/>
    </xf>
    <xf numFmtId="166" fontId="20" fillId="6" borderId="44" xfId="0" applyNumberFormat="1" applyFont="1" applyFill="1" applyBorder="1" applyAlignment="1">
      <alignment horizontal="center" vertical="center" shrinkToFit="1"/>
    </xf>
    <xf numFmtId="166" fontId="20" fillId="6" borderId="45" xfId="0" applyNumberFormat="1" applyFont="1" applyFill="1" applyBorder="1" applyAlignment="1">
      <alignment horizontal="center" vertical="center" shrinkToFit="1"/>
    </xf>
    <xf numFmtId="166" fontId="20" fillId="6" borderId="0" xfId="0" applyNumberFormat="1" applyFont="1" applyFill="1" applyAlignment="1">
      <alignment horizontal="center" vertical="center" shrinkToFit="1"/>
    </xf>
    <xf numFmtId="166" fontId="20" fillId="6" borderId="46" xfId="0" applyNumberFormat="1" applyFont="1" applyFill="1" applyBorder="1" applyAlignment="1">
      <alignment horizontal="center" vertical="center" shrinkToFit="1"/>
    </xf>
    <xf numFmtId="166" fontId="20" fillId="6" borderId="6" xfId="0" applyNumberFormat="1" applyFont="1" applyFill="1" applyBorder="1" applyAlignment="1">
      <alignment horizontal="center" vertical="center" shrinkToFit="1"/>
    </xf>
    <xf numFmtId="166" fontId="20" fillId="6" borderId="37" xfId="0" applyNumberFormat="1" applyFont="1" applyFill="1" applyBorder="1" applyAlignment="1">
      <alignment horizontal="center" vertical="center" shrinkToFit="1"/>
    </xf>
    <xf numFmtId="166" fontId="20" fillId="6" borderId="39" xfId="0" applyNumberFormat="1" applyFont="1" applyFill="1" applyBorder="1" applyAlignment="1">
      <alignment horizontal="center" vertical="center" shrinkToFit="1"/>
    </xf>
    <xf numFmtId="174" fontId="20" fillId="6" borderId="30" xfId="0" applyNumberFormat="1" applyFont="1" applyFill="1" applyBorder="1" applyAlignment="1">
      <alignment horizontal="center" vertical="center" shrinkToFit="1"/>
    </xf>
    <xf numFmtId="174" fontId="20" fillId="6" borderId="43" xfId="0" applyNumberFormat="1" applyFont="1" applyFill="1" applyBorder="1" applyAlignment="1">
      <alignment horizontal="center" vertical="center" shrinkToFit="1"/>
    </xf>
    <xf numFmtId="174" fontId="20" fillId="6" borderId="44" xfId="0" applyNumberFormat="1" applyFont="1" applyFill="1" applyBorder="1" applyAlignment="1">
      <alignment horizontal="center" vertical="center" shrinkToFit="1"/>
    </xf>
    <xf numFmtId="174" fontId="20" fillId="6" borderId="45" xfId="0" applyNumberFormat="1" applyFont="1" applyFill="1" applyBorder="1" applyAlignment="1">
      <alignment horizontal="center" vertical="center" shrinkToFit="1"/>
    </xf>
    <xf numFmtId="174" fontId="20" fillId="6" borderId="0" xfId="0" applyNumberFormat="1" applyFont="1" applyFill="1" applyAlignment="1">
      <alignment horizontal="center" vertical="center" shrinkToFit="1"/>
    </xf>
    <xf numFmtId="174" fontId="20" fillId="6" borderId="46" xfId="0" applyNumberFormat="1" applyFont="1" applyFill="1" applyBorder="1" applyAlignment="1">
      <alignment horizontal="center" vertical="center" shrinkToFit="1"/>
    </xf>
    <xf numFmtId="174" fontId="20" fillId="6" borderId="6" xfId="0" applyNumberFormat="1" applyFont="1" applyFill="1" applyBorder="1" applyAlignment="1">
      <alignment horizontal="center" vertical="center" shrinkToFit="1"/>
    </xf>
    <xf numFmtId="174" fontId="20" fillId="6" borderId="37" xfId="0" applyNumberFormat="1" applyFont="1" applyFill="1" applyBorder="1" applyAlignment="1">
      <alignment horizontal="center" vertical="center" shrinkToFit="1"/>
    </xf>
    <xf numFmtId="174" fontId="20" fillId="6" borderId="39" xfId="0" applyNumberFormat="1" applyFont="1" applyFill="1" applyBorder="1" applyAlignment="1">
      <alignment horizontal="center" vertical="center" shrinkToFit="1"/>
    </xf>
    <xf numFmtId="0" fontId="24" fillId="11" borderId="2" xfId="0" applyFont="1" applyFill="1" applyBorder="1" applyAlignment="1">
      <alignment horizontal="center" vertical="center" shrinkToFit="1"/>
    </xf>
    <xf numFmtId="0" fontId="24" fillId="11" borderId="29" xfId="0" applyFont="1" applyFill="1" applyBorder="1" applyAlignment="1">
      <alignment horizontal="center" vertical="center" shrinkToFit="1"/>
    </xf>
    <xf numFmtId="0" fontId="24" fillId="11" borderId="26" xfId="0" applyFont="1" applyFill="1" applyBorder="1" applyAlignment="1">
      <alignment horizontal="center" vertical="center" shrinkToFit="1"/>
    </xf>
    <xf numFmtId="167" fontId="4" fillId="11" borderId="2" xfId="0" applyNumberFormat="1" applyFont="1" applyFill="1" applyBorder="1" applyAlignment="1">
      <alignment horizontal="center" vertical="center" shrinkToFit="1"/>
    </xf>
    <xf numFmtId="167" fontId="4" fillId="11" borderId="29" xfId="0" applyNumberFormat="1" applyFont="1" applyFill="1" applyBorder="1" applyAlignment="1">
      <alignment horizontal="center" vertical="center" shrinkToFit="1"/>
    </xf>
    <xf numFmtId="167" fontId="4" fillId="11" borderId="26" xfId="0" applyNumberFormat="1" applyFont="1" applyFill="1" applyBorder="1" applyAlignment="1">
      <alignment horizontal="center" vertical="center" shrinkToFit="1"/>
    </xf>
  </cellXfs>
  <cellStyles count="6">
    <cellStyle name="보통" xfId="5" builtinId="28"/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Normal="100" zoomScaleSheetLayoutView="100" workbookViewId="0">
      <selection activeCell="A2" sqref="A2:G2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7" width="4.62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45726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2</v>
      </c>
      <c r="K2" s="347"/>
      <c r="L2" s="349" t="s">
        <v>3</v>
      </c>
      <c r="M2" s="350"/>
      <c r="N2" s="348"/>
      <c r="O2" s="346" t="s">
        <v>4</v>
      </c>
      <c r="P2" s="346"/>
      <c r="Q2" s="347"/>
      <c r="R2" s="349" t="s">
        <v>5</v>
      </c>
      <c r="S2" s="348"/>
      <c r="T2" s="343">
        <v>2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5.75" thickBot="1">
      <c r="A4" s="133" t="s">
        <v>10</v>
      </c>
      <c r="B4" s="142" t="s">
        <v>11</v>
      </c>
      <c r="C4" s="142" t="s">
        <v>12</v>
      </c>
      <c r="D4" s="166" t="s">
        <v>13</v>
      </c>
      <c r="E4" s="142" t="s">
        <v>14</v>
      </c>
      <c r="F4" s="142" t="s">
        <v>15</v>
      </c>
      <c r="G4" s="142" t="s">
        <v>16</v>
      </c>
      <c r="H4" s="142" t="s">
        <v>17</v>
      </c>
      <c r="I4" s="142" t="s">
        <v>18</v>
      </c>
      <c r="J4" s="176" t="s">
        <v>19</v>
      </c>
      <c r="K4" s="176" t="s">
        <v>20</v>
      </c>
      <c r="L4" s="142" t="s">
        <v>21</v>
      </c>
      <c r="M4" s="142" t="s">
        <v>22</v>
      </c>
      <c r="N4" s="142" t="s">
        <v>23</v>
      </c>
      <c r="O4" s="378" t="s">
        <v>24</v>
      </c>
      <c r="P4" s="378"/>
      <c r="Q4" s="378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114">
        <v>1</v>
      </c>
      <c r="B5" s="219">
        <v>23215</v>
      </c>
      <c r="C5" s="222" t="s">
        <v>33</v>
      </c>
      <c r="D5" s="234" t="s">
        <v>34</v>
      </c>
      <c r="E5" s="219" t="s">
        <v>35</v>
      </c>
      <c r="F5" s="235">
        <v>820</v>
      </c>
      <c r="G5" s="219" t="s">
        <v>36</v>
      </c>
      <c r="H5" s="236"/>
      <c r="I5" s="220"/>
      <c r="J5" s="259" t="str">
        <f>IF(G5="RSL","60.00","0")</f>
        <v>60.00</v>
      </c>
      <c r="K5" s="259" t="str">
        <f>IF(G5="GVS","37.5",IF(G5="GVM","41.5",IF(G5="GVL","50",IF(G5="PCS/X","62.5",IF(G5="PCS/HP","79.16",IF(G5="PCL/X","79.16",IF(G5="PCL/HP","100.00","0")))))))</f>
        <v>0</v>
      </c>
      <c r="L5" s="236"/>
      <c r="M5" s="236"/>
      <c r="N5" s="232" t="s">
        <v>4</v>
      </c>
      <c r="O5" s="326" t="s">
        <v>37</v>
      </c>
      <c r="P5" s="326"/>
      <c r="Q5" s="326"/>
      <c r="R5" s="245" t="s">
        <v>4</v>
      </c>
      <c r="S5" s="30">
        <v>0.32291666666666669</v>
      </c>
      <c r="T5" s="31">
        <v>0.70833333333333337</v>
      </c>
      <c r="U5" s="82">
        <f t="shared" ref="U5:U15" si="0">(T5-S5)*24</f>
        <v>9.25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114">
        <v>2</v>
      </c>
      <c r="B6" s="219">
        <v>23216</v>
      </c>
      <c r="C6" s="223" t="s">
        <v>39</v>
      </c>
      <c r="D6" s="234" t="s">
        <v>40</v>
      </c>
      <c r="E6" s="219" t="s">
        <v>35</v>
      </c>
      <c r="F6" s="235">
        <v>900</v>
      </c>
      <c r="G6" s="219" t="s">
        <v>41</v>
      </c>
      <c r="H6" s="236"/>
      <c r="I6" s="220">
        <v>75</v>
      </c>
      <c r="J6" s="259" t="str">
        <f t="shared" ref="J6:J29" si="1">IF(G6="RSL","60.00","0")</f>
        <v>0</v>
      </c>
      <c r="K6" s="259" t="str">
        <f t="shared" ref="K6:K29" si="2">IF(G6="GVS","37.5",IF(G6="GVM","41.5",IF(G6="GVL","50",IF(G6="PCS/X","62.5",IF(G6="PCS/HP","79.16",IF(G6="PCL/X","79.16",IF(G6="PCL/HP","100.00","0")))))))</f>
        <v>0</v>
      </c>
      <c r="L6" s="236"/>
      <c r="M6" s="236"/>
      <c r="N6" s="232" t="s">
        <v>4</v>
      </c>
      <c r="O6" s="326"/>
      <c r="P6" s="326"/>
      <c r="Q6" s="326"/>
      <c r="R6" s="148" t="s">
        <v>42</v>
      </c>
      <c r="S6" s="30">
        <v>0.375</v>
      </c>
      <c r="T6" s="31">
        <v>0.6875</v>
      </c>
      <c r="U6" s="82">
        <f t="shared" si="0"/>
        <v>7.5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114">
        <v>3</v>
      </c>
      <c r="B7" s="219">
        <v>23217</v>
      </c>
      <c r="C7" s="223" t="s">
        <v>44</v>
      </c>
      <c r="D7" s="234" t="s">
        <v>45</v>
      </c>
      <c r="E7" s="219" t="s">
        <v>35</v>
      </c>
      <c r="F7" s="235">
        <v>910</v>
      </c>
      <c r="G7" s="219" t="s">
        <v>41</v>
      </c>
      <c r="H7" s="236"/>
      <c r="I7" s="220">
        <v>75</v>
      </c>
      <c r="J7" s="259" t="str">
        <f t="shared" si="1"/>
        <v>0</v>
      </c>
      <c r="K7" s="259" t="str">
        <f t="shared" si="2"/>
        <v>0</v>
      </c>
      <c r="L7" s="236"/>
      <c r="M7" s="236"/>
      <c r="N7" s="232" t="s">
        <v>4</v>
      </c>
      <c r="O7" s="326"/>
      <c r="P7" s="326"/>
      <c r="Q7" s="326"/>
      <c r="R7" s="246"/>
      <c r="S7" s="30"/>
      <c r="T7" s="31"/>
      <c r="U7" s="82">
        <f t="shared" si="0"/>
        <v>0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114">
        <v>4</v>
      </c>
      <c r="B8" s="219">
        <v>23218</v>
      </c>
      <c r="C8" s="224" t="s">
        <v>47</v>
      </c>
      <c r="D8" s="234" t="s">
        <v>48</v>
      </c>
      <c r="E8" s="219" t="s">
        <v>35</v>
      </c>
      <c r="F8" s="235">
        <v>955</v>
      </c>
      <c r="G8" s="219" t="s">
        <v>49</v>
      </c>
      <c r="H8" s="236"/>
      <c r="I8" s="220"/>
      <c r="J8" s="259" t="str">
        <f t="shared" si="1"/>
        <v>0</v>
      </c>
      <c r="K8" s="259" t="str">
        <f t="shared" si="2"/>
        <v>79.16</v>
      </c>
      <c r="L8" s="236"/>
      <c r="M8" s="236"/>
      <c r="N8" s="232" t="s">
        <v>4</v>
      </c>
      <c r="O8" s="326" t="s">
        <v>50</v>
      </c>
      <c r="P8" s="326"/>
      <c r="Q8" s="326"/>
      <c r="R8" s="247"/>
      <c r="S8" s="30"/>
      <c r="T8" s="31"/>
      <c r="U8" s="82">
        <f t="shared" si="0"/>
        <v>0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117">
        <v>5</v>
      </c>
      <c r="B9" s="219">
        <v>23219</v>
      </c>
      <c r="C9" s="225" t="s">
        <v>51</v>
      </c>
      <c r="D9" s="237" t="s">
        <v>52</v>
      </c>
      <c r="E9" s="219" t="s">
        <v>53</v>
      </c>
      <c r="F9" s="238">
        <v>1000</v>
      </c>
      <c r="G9" s="226" t="s">
        <v>54</v>
      </c>
      <c r="H9" s="236"/>
      <c r="I9" s="220"/>
      <c r="J9" s="259" t="str">
        <f t="shared" si="1"/>
        <v>0</v>
      </c>
      <c r="K9" s="259">
        <v>95</v>
      </c>
      <c r="L9" s="236"/>
      <c r="M9" s="236"/>
      <c r="N9" s="232" t="s">
        <v>4</v>
      </c>
      <c r="O9" s="326" t="s">
        <v>55</v>
      </c>
      <c r="P9" s="326"/>
      <c r="Q9" s="326"/>
      <c r="R9" s="247"/>
      <c r="S9" s="30"/>
      <c r="T9" s="31"/>
      <c r="U9" s="82">
        <f t="shared" si="0"/>
        <v>0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117">
        <v>6</v>
      </c>
      <c r="B10" s="219">
        <v>23220</v>
      </c>
      <c r="C10" s="227" t="s">
        <v>57</v>
      </c>
      <c r="D10" s="239" t="s">
        <v>58</v>
      </c>
      <c r="E10" s="219" t="s">
        <v>53</v>
      </c>
      <c r="F10" s="225">
        <v>1145</v>
      </c>
      <c r="G10" s="228" t="s">
        <v>59</v>
      </c>
      <c r="H10" s="79">
        <v>150</v>
      </c>
      <c r="I10" s="220"/>
      <c r="J10" s="259" t="str">
        <f t="shared" si="1"/>
        <v>0</v>
      </c>
      <c r="K10" s="259" t="str">
        <f t="shared" si="2"/>
        <v>0</v>
      </c>
      <c r="L10" s="236"/>
      <c r="M10" s="236"/>
      <c r="N10" s="232" t="s">
        <v>4</v>
      </c>
      <c r="O10" s="326"/>
      <c r="P10" s="326"/>
      <c r="Q10" s="326"/>
      <c r="R10" s="247"/>
      <c r="S10" s="30"/>
      <c r="T10" s="31"/>
      <c r="U10" s="82">
        <f t="shared" si="0"/>
        <v>0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117">
        <v>7</v>
      </c>
      <c r="B11" s="219">
        <v>23221</v>
      </c>
      <c r="C11" s="222" t="s">
        <v>60</v>
      </c>
      <c r="D11" s="240" t="s">
        <v>61</v>
      </c>
      <c r="E11" s="219" t="s">
        <v>35</v>
      </c>
      <c r="F11" s="223">
        <v>1155</v>
      </c>
      <c r="G11" s="229" t="s">
        <v>36</v>
      </c>
      <c r="H11" s="79"/>
      <c r="I11" s="220"/>
      <c r="J11" s="259" t="str">
        <f t="shared" si="1"/>
        <v>60.00</v>
      </c>
      <c r="K11" s="259" t="str">
        <f t="shared" si="2"/>
        <v>0</v>
      </c>
      <c r="L11" s="236"/>
      <c r="M11" s="236"/>
      <c r="N11" s="232" t="s">
        <v>4</v>
      </c>
      <c r="O11" s="326" t="s">
        <v>62</v>
      </c>
      <c r="P11" s="326"/>
      <c r="Q11" s="326"/>
      <c r="R11" s="247"/>
      <c r="S11" s="30"/>
      <c r="T11" s="31"/>
      <c r="U11" s="82">
        <f t="shared" si="0"/>
        <v>0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23222</v>
      </c>
      <c r="C12" s="230" t="s">
        <v>63</v>
      </c>
      <c r="D12" s="241" t="s">
        <v>64</v>
      </c>
      <c r="E12" s="219" t="s">
        <v>53</v>
      </c>
      <c r="F12" s="225">
        <v>1415</v>
      </c>
      <c r="G12" s="226" t="s">
        <v>65</v>
      </c>
      <c r="H12" s="79"/>
      <c r="I12" s="220"/>
      <c r="J12" s="259">
        <v>120</v>
      </c>
      <c r="K12" s="259" t="str">
        <f t="shared" si="2"/>
        <v>0</v>
      </c>
      <c r="L12" s="236"/>
      <c r="M12" s="236"/>
      <c r="N12" s="232" t="s">
        <v>4</v>
      </c>
      <c r="O12" s="326" t="s">
        <v>66</v>
      </c>
      <c r="P12" s="326"/>
      <c r="Q12" s="326"/>
      <c r="R12" s="247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>
        <v>23223</v>
      </c>
      <c r="C13" s="230" t="s">
        <v>67</v>
      </c>
      <c r="D13" s="241" t="s">
        <v>68</v>
      </c>
      <c r="E13" s="219" t="s">
        <v>53</v>
      </c>
      <c r="F13" s="225">
        <v>1500</v>
      </c>
      <c r="G13" s="226" t="s">
        <v>49</v>
      </c>
      <c r="H13" s="79"/>
      <c r="I13" s="220"/>
      <c r="J13" s="259" t="str">
        <f t="shared" si="1"/>
        <v>0</v>
      </c>
      <c r="K13" s="259" t="str">
        <f t="shared" si="2"/>
        <v>79.16</v>
      </c>
      <c r="L13" s="236"/>
      <c r="M13" s="236"/>
      <c r="N13" s="232" t="s">
        <v>4</v>
      </c>
      <c r="O13" s="326" t="s">
        <v>69</v>
      </c>
      <c r="P13" s="326"/>
      <c r="Q13" s="326"/>
      <c r="R13" s="245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117">
        <v>10</v>
      </c>
      <c r="B14" s="219"/>
      <c r="C14" s="232"/>
      <c r="D14" s="242"/>
      <c r="E14" s="219"/>
      <c r="F14" s="223"/>
      <c r="G14" s="226"/>
      <c r="H14" s="79"/>
      <c r="I14" s="220"/>
      <c r="J14" s="259" t="str">
        <f t="shared" si="1"/>
        <v>0</v>
      </c>
      <c r="K14" s="259" t="str">
        <f t="shared" si="2"/>
        <v>0</v>
      </c>
      <c r="L14" s="236"/>
      <c r="M14" s="236"/>
      <c r="N14" s="232"/>
      <c r="O14" s="326"/>
      <c r="P14" s="326"/>
      <c r="Q14" s="326"/>
      <c r="R14" s="247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/>
      <c r="C15" s="232"/>
      <c r="D15" s="242"/>
      <c r="E15" s="219"/>
      <c r="F15" s="223"/>
      <c r="G15" s="226"/>
      <c r="H15" s="79"/>
      <c r="I15" s="220"/>
      <c r="J15" s="259" t="str">
        <f t="shared" si="1"/>
        <v>0</v>
      </c>
      <c r="K15" s="259" t="str">
        <f t="shared" si="2"/>
        <v>0</v>
      </c>
      <c r="L15" s="236"/>
      <c r="M15" s="236"/>
      <c r="N15" s="232"/>
      <c r="O15" s="326"/>
      <c r="P15" s="326"/>
      <c r="Q15" s="326"/>
      <c r="R15" s="247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/>
      <c r="C16" s="232"/>
      <c r="D16" s="242"/>
      <c r="E16" s="219"/>
      <c r="F16" s="223"/>
      <c r="G16" s="226"/>
      <c r="H16" s="79"/>
      <c r="I16" s="220"/>
      <c r="J16" s="259" t="str">
        <f t="shared" si="1"/>
        <v>0</v>
      </c>
      <c r="K16" s="259" t="str">
        <f t="shared" si="2"/>
        <v>0</v>
      </c>
      <c r="L16" s="236"/>
      <c r="M16" s="236"/>
      <c r="N16" s="232"/>
      <c r="O16" s="326"/>
      <c r="P16" s="326"/>
      <c r="Q16" s="326"/>
      <c r="R16" s="248">
        <f>H32/U16</f>
        <v>0.53731343283582089</v>
      </c>
      <c r="S16" s="73">
        <f>H32/(U16-U5)</f>
        <v>1.2</v>
      </c>
      <c r="T16" s="73">
        <f>C32/U16</f>
        <v>47.362388059701487</v>
      </c>
      <c r="U16" s="73">
        <f>SUM(U5:U15)</f>
        <v>16.75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/>
      <c r="C17" s="222"/>
      <c r="D17" s="240"/>
      <c r="E17" s="219"/>
      <c r="F17" s="223"/>
      <c r="G17" s="229"/>
      <c r="H17" s="79"/>
      <c r="I17" s="220"/>
      <c r="J17" s="259" t="str">
        <f t="shared" si="1"/>
        <v>0</v>
      </c>
      <c r="K17" s="259" t="str">
        <f t="shared" si="2"/>
        <v>0</v>
      </c>
      <c r="L17" s="236"/>
      <c r="M17" s="236"/>
      <c r="N17" s="232"/>
      <c r="O17" s="326"/>
      <c r="P17" s="326"/>
      <c r="Q17" s="326"/>
      <c r="R17" s="249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/>
      <c r="C18" s="222"/>
      <c r="D18" s="240"/>
      <c r="E18" s="219"/>
      <c r="F18" s="223"/>
      <c r="G18" s="231"/>
      <c r="H18" s="79"/>
      <c r="I18" s="220"/>
      <c r="J18" s="259" t="str">
        <f t="shared" si="1"/>
        <v>0</v>
      </c>
      <c r="K18" s="259" t="str">
        <f t="shared" si="2"/>
        <v>0</v>
      </c>
      <c r="L18" s="236"/>
      <c r="M18" s="236"/>
      <c r="N18" s="232"/>
      <c r="O18" s="326"/>
      <c r="P18" s="326"/>
      <c r="Q18" s="326"/>
      <c r="R18" s="250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/>
      <c r="C19" s="222"/>
      <c r="D19" s="240"/>
      <c r="E19" s="219"/>
      <c r="F19" s="223"/>
      <c r="G19" s="229"/>
      <c r="H19" s="79"/>
      <c r="I19" s="220"/>
      <c r="J19" s="259" t="str">
        <f t="shared" si="1"/>
        <v>0</v>
      </c>
      <c r="K19" s="259" t="str">
        <f t="shared" si="2"/>
        <v>0</v>
      </c>
      <c r="L19" s="236"/>
      <c r="M19" s="236"/>
      <c r="N19" s="232"/>
      <c r="O19" s="326"/>
      <c r="P19" s="326"/>
      <c r="Q19" s="326"/>
      <c r="R19" s="251" t="s">
        <v>20</v>
      </c>
      <c r="S19" s="84">
        <f>COUNT(L5:M29,L37:M61,L69:M93)</f>
        <v>0</v>
      </c>
      <c r="T19" s="106">
        <f>SUM(L5:M29,L37:M61,L69:M93)</f>
        <v>0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/>
      <c r="C20" s="222"/>
      <c r="D20" s="240"/>
      <c r="E20" s="219"/>
      <c r="F20" s="223"/>
      <c r="G20" s="229"/>
      <c r="H20" s="79"/>
      <c r="I20" s="220"/>
      <c r="J20" s="259" t="str">
        <f t="shared" si="1"/>
        <v>0</v>
      </c>
      <c r="K20" s="259" t="str">
        <f t="shared" si="2"/>
        <v>0</v>
      </c>
      <c r="L20" s="222"/>
      <c r="M20" s="222"/>
      <c r="N20" s="232"/>
      <c r="O20" s="326"/>
      <c r="P20" s="326"/>
      <c r="Q20" s="326"/>
      <c r="R20" s="252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/>
      <c r="C21" s="222"/>
      <c r="D21" s="240"/>
      <c r="E21" s="219"/>
      <c r="F21" s="223"/>
      <c r="G21" s="231"/>
      <c r="H21" s="79"/>
      <c r="I21" s="220"/>
      <c r="J21" s="259" t="str">
        <f t="shared" si="1"/>
        <v>0</v>
      </c>
      <c r="K21" s="259" t="str">
        <f t="shared" si="2"/>
        <v>0</v>
      </c>
      <c r="L21" s="236"/>
      <c r="M21" s="236"/>
      <c r="N21" s="232"/>
      <c r="O21" s="326"/>
      <c r="P21" s="326"/>
      <c r="Q21" s="326"/>
      <c r="R21" s="253"/>
      <c r="S21" s="139"/>
      <c r="T21" s="138"/>
      <c r="U21" s="105"/>
      <c r="X21" s="38"/>
      <c r="Z21" s="39"/>
      <c r="AK21" s="39"/>
    </row>
    <row r="22" spans="1:44" ht="16.5" customHeight="1">
      <c r="A22" s="122">
        <v>18</v>
      </c>
      <c r="B22" s="219"/>
      <c r="C22" s="221"/>
      <c r="D22" s="243"/>
      <c r="E22" s="219"/>
      <c r="F22" s="232"/>
      <c r="G22" s="219"/>
      <c r="H22" s="79"/>
      <c r="I22" s="220"/>
      <c r="J22" s="259" t="str">
        <f t="shared" si="1"/>
        <v>0</v>
      </c>
      <c r="K22" s="259" t="str">
        <f t="shared" si="2"/>
        <v>0</v>
      </c>
      <c r="L22" s="236"/>
      <c r="M22" s="236"/>
      <c r="N22" s="232"/>
      <c r="O22" s="326"/>
      <c r="P22" s="326"/>
      <c r="Q22" s="326"/>
      <c r="R22" s="25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/>
      <c r="C23" s="221"/>
      <c r="D23" s="243"/>
      <c r="E23" s="219"/>
      <c r="F23" s="232"/>
      <c r="G23" s="219"/>
      <c r="H23" s="79"/>
      <c r="I23" s="220"/>
      <c r="J23" s="259" t="str">
        <f t="shared" si="1"/>
        <v>0</v>
      </c>
      <c r="K23" s="259" t="str">
        <f t="shared" si="2"/>
        <v>0</v>
      </c>
      <c r="L23" s="236"/>
      <c r="M23" s="236"/>
      <c r="N23" s="232"/>
      <c r="O23" s="326"/>
      <c r="P23" s="326"/>
      <c r="Q23" s="326"/>
      <c r="R23" s="25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/>
      <c r="C24" s="221"/>
      <c r="D24" s="243"/>
      <c r="E24" s="219"/>
      <c r="F24" s="232"/>
      <c r="G24" s="219"/>
      <c r="H24" s="79"/>
      <c r="I24" s="220"/>
      <c r="J24" s="259" t="str">
        <f t="shared" si="1"/>
        <v>0</v>
      </c>
      <c r="K24" s="259" t="str">
        <f t="shared" si="2"/>
        <v>0</v>
      </c>
      <c r="L24" s="236"/>
      <c r="M24" s="236"/>
      <c r="N24" s="232"/>
      <c r="O24" s="326"/>
      <c r="P24" s="326"/>
      <c r="Q24" s="326"/>
      <c r="R24" s="254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/>
      <c r="C25" s="232"/>
      <c r="D25" s="242"/>
      <c r="E25" s="219"/>
      <c r="F25" s="232"/>
      <c r="G25" s="219"/>
      <c r="H25" s="220"/>
      <c r="I25" s="220"/>
      <c r="J25" s="259" t="str">
        <f t="shared" si="1"/>
        <v>0</v>
      </c>
      <c r="K25" s="259" t="str">
        <f t="shared" si="2"/>
        <v>0</v>
      </c>
      <c r="L25" s="236"/>
      <c r="M25" s="236"/>
      <c r="N25" s="232"/>
      <c r="O25" s="326"/>
      <c r="P25" s="326"/>
      <c r="Q25" s="326"/>
      <c r="R25" s="255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793.31999999999994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/>
      <c r="C26" s="224"/>
      <c r="D26" s="244"/>
      <c r="E26" s="219"/>
      <c r="F26" s="224"/>
      <c r="G26" s="231"/>
      <c r="H26" s="79"/>
      <c r="I26" s="220"/>
      <c r="J26" s="259" t="str">
        <f t="shared" si="1"/>
        <v>0</v>
      </c>
      <c r="K26" s="259" t="str">
        <f t="shared" si="2"/>
        <v>0</v>
      </c>
      <c r="L26" s="236"/>
      <c r="M26" s="236"/>
      <c r="N26" s="232"/>
      <c r="O26" s="326"/>
      <c r="P26" s="326"/>
      <c r="Q26" s="326"/>
      <c r="R26" s="256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/>
      <c r="C27" s="224"/>
      <c r="D27" s="244"/>
      <c r="E27" s="219"/>
      <c r="F27" s="224"/>
      <c r="G27" s="231"/>
      <c r="H27" s="79"/>
      <c r="I27" s="220"/>
      <c r="J27" s="259" t="str">
        <f t="shared" si="1"/>
        <v>0</v>
      </c>
      <c r="K27" s="259" t="str">
        <f t="shared" si="2"/>
        <v>0</v>
      </c>
      <c r="L27" s="236"/>
      <c r="M27" s="236"/>
      <c r="N27" s="232"/>
      <c r="O27" s="326"/>
      <c r="P27" s="326"/>
      <c r="Q27" s="326"/>
      <c r="R27" s="369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/>
      <c r="C28" s="224"/>
      <c r="D28" s="244"/>
      <c r="E28" s="219"/>
      <c r="F28" s="224"/>
      <c r="G28" s="231"/>
      <c r="H28" s="79"/>
      <c r="I28" s="220"/>
      <c r="J28" s="259" t="str">
        <f t="shared" si="1"/>
        <v>0</v>
      </c>
      <c r="K28" s="259" t="str">
        <f t="shared" si="2"/>
        <v>0</v>
      </c>
      <c r="L28" s="236"/>
      <c r="M28" s="236"/>
      <c r="N28" s="232"/>
      <c r="O28" s="326"/>
      <c r="P28" s="326"/>
      <c r="Q28" s="326"/>
      <c r="R28" s="363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/>
      <c r="C29" s="227"/>
      <c r="D29" s="239"/>
      <c r="E29" s="219"/>
      <c r="F29" s="224"/>
      <c r="G29" s="231"/>
      <c r="H29" s="79"/>
      <c r="I29" s="220"/>
      <c r="J29" s="259" t="str">
        <f t="shared" si="1"/>
        <v>0</v>
      </c>
      <c r="K29" s="259" t="str">
        <f t="shared" si="2"/>
        <v>0</v>
      </c>
      <c r="L29" s="236"/>
      <c r="M29" s="236"/>
      <c r="N29" s="232"/>
      <c r="O29" s="326"/>
      <c r="P29" s="326"/>
      <c r="Q29" s="326"/>
      <c r="R29" s="355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58"/>
      <c r="C30" s="358"/>
      <c r="D30" s="358"/>
      <c r="E30" s="358"/>
      <c r="F30" s="358"/>
      <c r="G30" s="358"/>
      <c r="H30" s="217">
        <f t="shared" ref="H30:M30" si="3">SUM(H5:H29)</f>
        <v>150</v>
      </c>
      <c r="I30" s="233">
        <f>SUM(I5:I29)</f>
        <v>150</v>
      </c>
      <c r="J30" s="95">
        <f>J5+J6+J7+J8+J9+J10+J11+J12+J13+J14+J15+J16+J18+J19+J17+J20+J22+J23+J21+J24+J25+J26+J27+J28+J29</f>
        <v>240</v>
      </c>
      <c r="K30" s="95">
        <f>K5+K6+K7+K8+K9+K10+K11+K12+K13+K14+K15+K16+K18+K19+K17+K20+K22+K23+K21+K24+K25+K26+K27+K28+K29</f>
        <v>253.32</v>
      </c>
      <c r="L30" s="257">
        <f t="shared" si="3"/>
        <v>0</v>
      </c>
      <c r="M30" s="257">
        <f t="shared" si="3"/>
        <v>0</v>
      </c>
      <c r="N30" s="218" t="s">
        <v>90</v>
      </c>
      <c r="O30" s="218" t="s">
        <v>18</v>
      </c>
      <c r="P30" s="218" t="s">
        <v>20</v>
      </c>
      <c r="Q30" s="258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4">H30+H62+H94</f>
        <v>150</v>
      </c>
      <c r="I31" s="93">
        <f t="shared" si="4"/>
        <v>150</v>
      </c>
      <c r="J31" s="93">
        <f t="shared" si="4"/>
        <v>240</v>
      </c>
      <c r="K31" s="93">
        <f>K30+K62+K94</f>
        <v>253.32</v>
      </c>
      <c r="L31" s="87">
        <f>L30+L62+L94</f>
        <v>0</v>
      </c>
      <c r="M31" s="87">
        <f>M30+M62+M94</f>
        <v>0</v>
      </c>
      <c r="N31" s="178">
        <f>COUNT(H5:H29,H37:H61,H69:H93)</f>
        <v>1</v>
      </c>
      <c r="O31" s="94">
        <f>COUNT(I5:I29,I37:I61,I69:I93)</f>
        <v>2</v>
      </c>
      <c r="P31" s="94">
        <f>COUNTIF(G5:G29,"G*")+COUNTIF(G37:G61,"G*")+COUNTIF(G69:G93,"G*")+COUNTIF(G5:G29,"P*")+COUNTIF(G37:G61,"P*")+COUNTIF(G69:G93,"P*")</f>
        <v>3</v>
      </c>
      <c r="Q31" s="107">
        <f>COUNTIF(G5:G29,"RSL*")+COUNTIF(G37:G61,"RSL*")+COUNTIF(G69:G93,"RSL*")</f>
        <v>3</v>
      </c>
      <c r="R31" s="88" t="s">
        <v>92</v>
      </c>
      <c r="S31" s="101">
        <f>H31+L31-U28-U29-U30</f>
        <v>150</v>
      </c>
      <c r="T31" s="351">
        <f>H31+I31+L31+M31</f>
        <v>300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793.31999999999994</v>
      </c>
      <c r="D32" s="168"/>
      <c r="E32" s="97"/>
      <c r="F32" s="367" t="s">
        <v>95</v>
      </c>
      <c r="G32" s="367"/>
      <c r="H32" s="99">
        <f>COUNT(B5:B29,B37:B61,B69:B93)</f>
        <v>9</v>
      </c>
      <c r="I32" s="368" t="s">
        <v>96</v>
      </c>
      <c r="J32" s="368"/>
      <c r="K32" s="98">
        <f>C32/H32</f>
        <v>88.146666666666661</v>
      </c>
      <c r="L32" s="179"/>
      <c r="M32" s="179"/>
      <c r="N32" s="179">
        <f>H31/C32</f>
        <v>0.1890788080471941</v>
      </c>
      <c r="O32" s="179">
        <f>I31/C32</f>
        <v>0.1890788080471941</v>
      </c>
      <c r="P32" s="179">
        <f>K31/C32</f>
        <v>0.31931629103010134</v>
      </c>
      <c r="Q32" s="100">
        <f>J31/C32</f>
        <v>0.30252609287551052</v>
      </c>
      <c r="R32" s="89" t="s">
        <v>97</v>
      </c>
      <c r="S32" s="174">
        <f>I31+M31</f>
        <v>150</v>
      </c>
      <c r="T32" s="353"/>
      <c r="U32" s="354"/>
      <c r="V32" s="39"/>
      <c r="W32" s="39"/>
      <c r="X32" s="48" t="s">
        <v>98</v>
      </c>
      <c r="Y32" s="48"/>
      <c r="Z32" s="47">
        <f>I31</f>
        <v>150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-2595</v>
      </c>
      <c r="AG33" s="35"/>
    </row>
    <row r="34" spans="1:33" ht="15.75" thickBot="1">
      <c r="A34" s="345">
        <f>A2</f>
        <v>45726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MIX</v>
      </c>
      <c r="K34" s="347"/>
      <c r="L34" s="349" t="s">
        <v>101</v>
      </c>
      <c r="M34" s="350"/>
      <c r="N34" s="348"/>
      <c r="O34" s="346" t="str">
        <f>O2</f>
        <v>SURESH</v>
      </c>
      <c r="P34" s="346"/>
      <c r="Q34" s="347"/>
      <c r="R34" s="349" t="s">
        <v>5</v>
      </c>
      <c r="S34" s="348"/>
      <c r="T34" s="343">
        <f>T2</f>
        <v>2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/>
      <c r="C37" s="59"/>
      <c r="D37" s="216"/>
      <c r="E37" s="153"/>
      <c r="F37" s="147"/>
      <c r="G37" s="108"/>
      <c r="H37" s="81"/>
      <c r="I37" s="260"/>
      <c r="J37" s="259" t="str">
        <f>IF(G37="RSL","60.00","0")</f>
        <v>0</v>
      </c>
      <c r="K37" s="259" t="str">
        <f>IF(G37="GVS","37.5",IF(G37="GVM","41.5",IF(G37="GVL","50",IF(G37="PCS/X","62.5",IF(G37="PCS/HP","79.16",IF(G37="PCL/X","79.16",IF(G37="PCL/HP","100.00","0")))))))</f>
        <v>0</v>
      </c>
      <c r="L37" s="236"/>
      <c r="M37" s="236"/>
      <c r="N37" s="232"/>
      <c r="O37" s="326"/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/>
      <c r="C38" s="58"/>
      <c r="D38" s="167"/>
      <c r="E38" s="153"/>
      <c r="F38" s="151"/>
      <c r="G38" s="108"/>
      <c r="H38" s="81"/>
      <c r="I38" s="260"/>
      <c r="J38" s="259" t="str">
        <f t="shared" ref="J38:J61" si="5">IF(G38="RSL","60.00","0")</f>
        <v>0</v>
      </c>
      <c r="K38" s="259" t="str">
        <f t="shared" ref="K38:K61" si="6">IF(G38="GVS","37.5",IF(G38="GVM","41.5",IF(G38="GVL","50",IF(G38="PCS/X","62.5",IF(G38="PCS/HP","79.16",IF(G38="PCL/X","79.16",IF(G38="PCL/HP","100.00","0")))))))</f>
        <v>0</v>
      </c>
      <c r="L38" s="236"/>
      <c r="M38" s="236"/>
      <c r="N38" s="232"/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7">A38+1</f>
        <v>28</v>
      </c>
      <c r="B39" s="108"/>
      <c r="C39" s="26"/>
      <c r="D39" s="155"/>
      <c r="E39" s="153"/>
      <c r="F39" s="151"/>
      <c r="G39" s="108"/>
      <c r="H39" s="81"/>
      <c r="I39" s="260"/>
      <c r="J39" s="259" t="str">
        <f t="shared" si="5"/>
        <v>0</v>
      </c>
      <c r="K39" s="259" t="str">
        <f t="shared" si="6"/>
        <v>0</v>
      </c>
      <c r="L39" s="236"/>
      <c r="M39" s="236"/>
      <c r="N39" s="232"/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7"/>
        <v>29</v>
      </c>
      <c r="B40" s="175"/>
      <c r="C40" s="54"/>
      <c r="D40" s="156"/>
      <c r="E40" s="153"/>
      <c r="F40" s="152"/>
      <c r="G40" s="109"/>
      <c r="H40" s="81"/>
      <c r="I40" s="81"/>
      <c r="J40" s="259" t="str">
        <f t="shared" si="5"/>
        <v>0</v>
      </c>
      <c r="K40" s="259" t="str">
        <f t="shared" si="6"/>
        <v>0</v>
      </c>
      <c r="L40" s="236"/>
      <c r="M40" s="236"/>
      <c r="N40" s="232"/>
      <c r="O40" s="326"/>
      <c r="P40" s="326"/>
      <c r="Q40" s="326"/>
      <c r="R40" s="68"/>
      <c r="S40" s="61"/>
      <c r="T40" s="61"/>
      <c r="U40" s="62"/>
    </row>
    <row r="41" spans="1:33">
      <c r="A41" s="114">
        <f t="shared" si="7"/>
        <v>30</v>
      </c>
      <c r="B41" s="108"/>
      <c r="C41" s="54"/>
      <c r="D41" s="156"/>
      <c r="E41" s="153"/>
      <c r="F41" s="152"/>
      <c r="G41" s="109"/>
      <c r="H41" s="81"/>
      <c r="I41" s="81"/>
      <c r="J41" s="259" t="str">
        <f t="shared" si="5"/>
        <v>0</v>
      </c>
      <c r="K41" s="259" t="str">
        <f t="shared" si="6"/>
        <v>0</v>
      </c>
      <c r="L41" s="236"/>
      <c r="M41" s="236"/>
      <c r="N41" s="232"/>
      <c r="O41" s="326"/>
      <c r="P41" s="326"/>
      <c r="Q41" s="326"/>
      <c r="R41" s="70"/>
      <c r="S41" s="63"/>
      <c r="T41" s="63"/>
      <c r="U41" s="64"/>
    </row>
    <row r="42" spans="1:33">
      <c r="A42" s="114">
        <f t="shared" si="7"/>
        <v>31</v>
      </c>
      <c r="B42" s="175"/>
      <c r="C42" s="27"/>
      <c r="D42" s="157"/>
      <c r="E42" s="153"/>
      <c r="F42" s="146"/>
      <c r="G42" s="110"/>
      <c r="H42" s="113"/>
      <c r="I42" s="261"/>
      <c r="J42" s="259" t="str">
        <f t="shared" si="5"/>
        <v>0</v>
      </c>
      <c r="K42" s="259" t="str">
        <f t="shared" si="6"/>
        <v>0</v>
      </c>
      <c r="L42" s="236"/>
      <c r="M42" s="236"/>
      <c r="N42" s="232"/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7"/>
        <v>32</v>
      </c>
      <c r="B43" s="108"/>
      <c r="C43" s="17"/>
      <c r="D43" s="163"/>
      <c r="E43" s="153"/>
      <c r="F43" s="57"/>
      <c r="G43" s="132"/>
      <c r="H43" s="113"/>
      <c r="I43" s="260"/>
      <c r="J43" s="259" t="str">
        <f t="shared" si="5"/>
        <v>0</v>
      </c>
      <c r="K43" s="259" t="str">
        <f t="shared" si="6"/>
        <v>0</v>
      </c>
      <c r="L43" s="236"/>
      <c r="M43" s="236"/>
      <c r="N43" s="232"/>
      <c r="O43" s="326"/>
      <c r="P43" s="326"/>
      <c r="Q43" s="326"/>
      <c r="R43" s="68"/>
      <c r="S43" s="61"/>
      <c r="T43" s="61"/>
      <c r="U43" s="62"/>
    </row>
    <row r="44" spans="1:33">
      <c r="A44" s="114">
        <f t="shared" si="7"/>
        <v>33</v>
      </c>
      <c r="B44" s="175"/>
      <c r="C44" s="55"/>
      <c r="D44" s="158"/>
      <c r="E44" s="153"/>
      <c r="F44" s="146"/>
      <c r="G44" s="109"/>
      <c r="H44" s="113"/>
      <c r="I44" s="261"/>
      <c r="J44" s="259" t="str">
        <f t="shared" si="5"/>
        <v>0</v>
      </c>
      <c r="K44" s="259" t="str">
        <f t="shared" si="6"/>
        <v>0</v>
      </c>
      <c r="L44" s="236"/>
      <c r="M44" s="236"/>
      <c r="N44" s="232"/>
      <c r="O44" s="326"/>
      <c r="P44" s="326"/>
      <c r="Q44" s="326"/>
      <c r="R44" s="5"/>
      <c r="S44" s="61"/>
      <c r="T44" s="61"/>
      <c r="U44" s="62"/>
    </row>
    <row r="45" spans="1:33">
      <c r="A45" s="114">
        <f t="shared" si="7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5"/>
        <v>0</v>
      </c>
      <c r="K45" s="259" t="str">
        <f t="shared" si="6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7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5"/>
        <v>0</v>
      </c>
      <c r="K46" s="259" t="str">
        <f t="shared" si="6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7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5"/>
        <v>0</v>
      </c>
      <c r="K47" s="259" t="str">
        <f t="shared" si="6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7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5"/>
        <v>0</v>
      </c>
      <c r="K48" s="259" t="str">
        <f t="shared" si="6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7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5"/>
        <v>0</v>
      </c>
      <c r="K49" s="259" t="str">
        <f t="shared" si="6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7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5"/>
        <v>0</v>
      </c>
      <c r="K50" s="259" t="str">
        <f t="shared" si="6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7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5"/>
        <v>0</v>
      </c>
      <c r="K51" s="259" t="str">
        <f t="shared" si="6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7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5"/>
        <v>0</v>
      </c>
      <c r="K52" s="259" t="str">
        <f t="shared" si="6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7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5"/>
        <v>0</v>
      </c>
      <c r="K53" s="259" t="str">
        <f t="shared" si="6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7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5"/>
        <v>0</v>
      </c>
      <c r="K54" s="259" t="str">
        <f t="shared" si="6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7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5"/>
        <v>0</v>
      </c>
      <c r="K55" s="259" t="str">
        <f t="shared" si="6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7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5"/>
        <v>0</v>
      </c>
      <c r="K56" s="259" t="str">
        <f t="shared" si="6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7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5"/>
        <v>0</v>
      </c>
      <c r="K57" s="259" t="str">
        <f t="shared" si="6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7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5"/>
        <v>0</v>
      </c>
      <c r="K58" s="259" t="str">
        <f t="shared" si="6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7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5"/>
        <v>0</v>
      </c>
      <c r="K59" s="259" t="str">
        <f t="shared" si="6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7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5"/>
        <v>0</v>
      </c>
      <c r="K60" s="259" t="str">
        <f t="shared" si="6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7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5"/>
        <v>0</v>
      </c>
      <c r="K61" s="259" t="str">
        <f t="shared" si="6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45726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MIX</v>
      </c>
      <c r="K66" s="347"/>
      <c r="L66" s="349" t="s">
        <v>101</v>
      </c>
      <c r="M66" s="350"/>
      <c r="N66" s="348"/>
      <c r="O66" s="346" t="str">
        <f>O34</f>
        <v>SURESH</v>
      </c>
      <c r="P66" s="346"/>
      <c r="Q66" s="347"/>
      <c r="R66" s="349" t="s">
        <v>5</v>
      </c>
      <c r="S66" s="348"/>
      <c r="T66" s="343">
        <f>T34</f>
        <v>2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9">IF(G70="RSL","60.00","0")</f>
        <v>0</v>
      </c>
      <c r="K70" s="259" t="str">
        <f t="shared" ref="K70:K93" si="10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1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9"/>
        <v>0</v>
      </c>
      <c r="K71" s="259" t="str">
        <f t="shared" si="10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1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9"/>
        <v>0</v>
      </c>
      <c r="K72" s="259" t="str">
        <f t="shared" si="10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1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9"/>
        <v>0</v>
      </c>
      <c r="K73" s="259" t="str">
        <f t="shared" si="10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1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9"/>
        <v>0</v>
      </c>
      <c r="K74" s="259" t="str">
        <f t="shared" si="10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1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9"/>
        <v>0</v>
      </c>
      <c r="K75" s="259" t="str">
        <f t="shared" si="10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1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9"/>
        <v>0</v>
      </c>
      <c r="K76" s="259" t="str">
        <f t="shared" si="10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1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9"/>
        <v>0</v>
      </c>
      <c r="K77" s="259" t="str">
        <f t="shared" si="10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1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9"/>
        <v>0</v>
      </c>
      <c r="K78" s="259" t="str">
        <f t="shared" si="10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1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9"/>
        <v>0</v>
      </c>
      <c r="K79" s="259" t="str">
        <f t="shared" si="10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1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9"/>
        <v>0</v>
      </c>
      <c r="K80" s="259" t="str">
        <f t="shared" si="10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1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9"/>
        <v>0</v>
      </c>
      <c r="K81" s="259" t="str">
        <f t="shared" si="10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1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9"/>
        <v>0</v>
      </c>
      <c r="K82" s="259" t="str">
        <f t="shared" si="10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1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9"/>
        <v>0</v>
      </c>
      <c r="K83" s="259" t="str">
        <f t="shared" si="10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1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9"/>
        <v>0</v>
      </c>
      <c r="K84" s="259" t="str">
        <f t="shared" si="10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1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9"/>
        <v>0</v>
      </c>
      <c r="K85" s="259" t="str">
        <f t="shared" si="10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1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9"/>
        <v>0</v>
      </c>
      <c r="K86" s="259" t="str">
        <f t="shared" si="10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1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9"/>
        <v>0</v>
      </c>
      <c r="K87" s="259" t="str">
        <f t="shared" si="10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1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9"/>
        <v>0</v>
      </c>
      <c r="K88" s="259" t="str">
        <f t="shared" si="10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1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9"/>
        <v>0</v>
      </c>
      <c r="K89" s="259" t="str">
        <f t="shared" si="10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1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9"/>
        <v>0</v>
      </c>
      <c r="K90" s="259" t="str">
        <f t="shared" si="10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1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9"/>
        <v>0</v>
      </c>
      <c r="K91" s="259" t="str">
        <f t="shared" si="10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1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9"/>
        <v>0</v>
      </c>
      <c r="K92" s="259" t="str">
        <f t="shared" si="10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1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9"/>
        <v>0</v>
      </c>
      <c r="K93" s="259" t="str">
        <f t="shared" si="10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3:Q23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1" right="1" top="1" bottom="1" header="0.5" footer="0.5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F16" sqref="F16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7" width="4.62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45727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104</v>
      </c>
      <c r="K2" s="347"/>
      <c r="L2" s="349" t="s">
        <v>3</v>
      </c>
      <c r="M2" s="350"/>
      <c r="N2" s="348"/>
      <c r="O2" s="346" t="s">
        <v>4</v>
      </c>
      <c r="P2" s="346"/>
      <c r="Q2" s="347"/>
      <c r="R2" s="349" t="s">
        <v>5</v>
      </c>
      <c r="S2" s="348"/>
      <c r="T2" s="343">
        <v>2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3.5">
      <c r="A4" s="133" t="s">
        <v>10</v>
      </c>
      <c r="B4" s="176" t="s">
        <v>11</v>
      </c>
      <c r="C4" s="142" t="s">
        <v>12</v>
      </c>
      <c r="D4" s="166" t="s">
        <v>13</v>
      </c>
      <c r="E4" s="142" t="s">
        <v>14</v>
      </c>
      <c r="F4" s="176" t="s">
        <v>15</v>
      </c>
      <c r="G4" s="176" t="s">
        <v>16</v>
      </c>
      <c r="H4" s="176" t="s">
        <v>17</v>
      </c>
      <c r="I4" s="176" t="s">
        <v>18</v>
      </c>
      <c r="J4" s="176" t="s">
        <v>19</v>
      </c>
      <c r="K4" s="176" t="s">
        <v>20</v>
      </c>
      <c r="L4" s="176" t="s">
        <v>21</v>
      </c>
      <c r="M4" s="176" t="s">
        <v>22</v>
      </c>
      <c r="N4" s="176" t="s">
        <v>23</v>
      </c>
      <c r="O4" s="344" t="s">
        <v>24</v>
      </c>
      <c r="P4" s="344"/>
      <c r="Q4" s="344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114">
        <v>1</v>
      </c>
      <c r="B5" s="219">
        <v>23224</v>
      </c>
      <c r="C5" s="222" t="s">
        <v>105</v>
      </c>
      <c r="D5" s="234" t="s">
        <v>106</v>
      </c>
      <c r="E5" s="219" t="s">
        <v>53</v>
      </c>
      <c r="F5" s="235">
        <v>915</v>
      </c>
      <c r="G5" s="219" t="s">
        <v>54</v>
      </c>
      <c r="H5" s="236"/>
      <c r="I5" s="220"/>
      <c r="J5" s="259" t="str">
        <f>IF(G5="RSL","60.00","0")</f>
        <v>0</v>
      </c>
      <c r="K5" s="259">
        <v>75</v>
      </c>
      <c r="L5" s="236"/>
      <c r="M5" s="236"/>
      <c r="N5" s="232" t="s">
        <v>4</v>
      </c>
      <c r="O5" s="326" t="s">
        <v>107</v>
      </c>
      <c r="P5" s="326"/>
      <c r="Q5" s="326"/>
      <c r="R5" s="32" t="s">
        <v>4</v>
      </c>
      <c r="S5" s="30">
        <v>0.34375</v>
      </c>
      <c r="T5" s="31">
        <v>0.69791666666666663</v>
      </c>
      <c r="U5" s="82">
        <f t="shared" ref="U5:U15" si="0">(T5-S5)*24</f>
        <v>8.5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114">
        <v>2</v>
      </c>
      <c r="B6" s="219">
        <v>23225</v>
      </c>
      <c r="C6" s="223" t="s">
        <v>108</v>
      </c>
      <c r="D6" s="234" t="s">
        <v>109</v>
      </c>
      <c r="E6" s="219" t="s">
        <v>53</v>
      </c>
      <c r="F6" s="235">
        <v>925</v>
      </c>
      <c r="G6" s="219" t="s">
        <v>41</v>
      </c>
      <c r="H6" s="236"/>
      <c r="I6" s="220">
        <v>75</v>
      </c>
      <c r="J6" s="259" t="str">
        <f t="shared" ref="J6:J29" si="1">IF(G6="RSL","60.00","0")</f>
        <v>0</v>
      </c>
      <c r="K6" s="259" t="str">
        <f t="shared" ref="K6:K29" si="2">IF(G6="GVS","37.5",IF(G6="GVM","41.5",IF(G6="GVL","50",IF(G6="PCS/X","62.5",IF(G6="PCS/HP","79.16",IF(G6="PCL/X","79.16",IF(G6="PCL/HP","100.00","0")))))))</f>
        <v>0</v>
      </c>
      <c r="L6" s="236"/>
      <c r="M6" s="236"/>
      <c r="N6" s="232" t="s">
        <v>4</v>
      </c>
      <c r="O6" s="326" t="s">
        <v>110</v>
      </c>
      <c r="P6" s="326"/>
      <c r="Q6" s="326"/>
      <c r="R6" s="115" t="s">
        <v>42</v>
      </c>
      <c r="S6" s="30">
        <v>0.375</v>
      </c>
      <c r="T6" s="31">
        <v>0.66666666666666663</v>
      </c>
      <c r="U6" s="82">
        <f t="shared" si="0"/>
        <v>6.9999999999999991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114">
        <v>3</v>
      </c>
      <c r="B7" s="219">
        <v>23226</v>
      </c>
      <c r="C7" s="223" t="s">
        <v>111</v>
      </c>
      <c r="D7" s="234" t="s">
        <v>112</v>
      </c>
      <c r="E7" s="219" t="s">
        <v>35</v>
      </c>
      <c r="F7" s="235">
        <v>1005</v>
      </c>
      <c r="G7" s="219" t="s">
        <v>113</v>
      </c>
      <c r="H7" s="236"/>
      <c r="I7" s="220">
        <v>135</v>
      </c>
      <c r="J7" s="259" t="str">
        <f t="shared" si="1"/>
        <v>0</v>
      </c>
      <c r="K7" s="259" t="str">
        <f t="shared" si="2"/>
        <v>0</v>
      </c>
      <c r="L7" s="236"/>
      <c r="M7" s="236"/>
      <c r="N7" s="232" t="s">
        <v>4</v>
      </c>
      <c r="O7" s="326"/>
      <c r="P7" s="326"/>
      <c r="Q7" s="326"/>
      <c r="R7" s="116"/>
      <c r="S7" s="30"/>
      <c r="T7" s="31"/>
      <c r="U7" s="82">
        <f t="shared" si="0"/>
        <v>0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114">
        <v>4</v>
      </c>
      <c r="B8" s="219">
        <v>23227</v>
      </c>
      <c r="C8" s="223" t="s">
        <v>114</v>
      </c>
      <c r="D8" s="234" t="s">
        <v>115</v>
      </c>
      <c r="E8" s="219" t="s">
        <v>53</v>
      </c>
      <c r="F8" s="235">
        <v>1015</v>
      </c>
      <c r="G8" s="219" t="s">
        <v>116</v>
      </c>
      <c r="H8" s="236"/>
      <c r="I8" s="220">
        <v>65</v>
      </c>
      <c r="J8" s="259" t="str">
        <f t="shared" ref="J8:J10" si="3">IF(G8="RSL","60.00","0")</f>
        <v>0</v>
      </c>
      <c r="K8" s="259" t="str">
        <f t="shared" ref="K8:K10" si="4">IF(G8="GVS","37.5",IF(G8="GVM","41.5",IF(G8="GVL","50",IF(G8="PCS/X","62.5",IF(G8="PCS/HP","79.16",IF(G8="PCL/X","79.16",IF(G8="PCL/HP","100.00","0")))))))</f>
        <v>0</v>
      </c>
      <c r="L8" s="236"/>
      <c r="M8" s="236"/>
      <c r="N8" s="232" t="s">
        <v>4</v>
      </c>
      <c r="O8" s="326" t="s">
        <v>110</v>
      </c>
      <c r="P8" s="326"/>
      <c r="Q8" s="326"/>
      <c r="R8" s="25"/>
      <c r="S8" s="30"/>
      <c r="T8" s="31"/>
      <c r="U8" s="82">
        <f t="shared" si="0"/>
        <v>0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117">
        <v>5</v>
      </c>
      <c r="B9" s="262">
        <v>23228</v>
      </c>
      <c r="C9" s="263" t="s">
        <v>117</v>
      </c>
      <c r="D9" s="264" t="s">
        <v>118</v>
      </c>
      <c r="E9" s="262" t="s">
        <v>35</v>
      </c>
      <c r="F9" s="265">
        <v>1040</v>
      </c>
      <c r="G9" s="262" t="s">
        <v>49</v>
      </c>
      <c r="H9" s="266"/>
      <c r="I9" s="266"/>
      <c r="J9" s="267" t="str">
        <f t="shared" si="3"/>
        <v>0</v>
      </c>
      <c r="K9" s="267" t="str">
        <f t="shared" si="4"/>
        <v>79.16</v>
      </c>
      <c r="L9" s="266"/>
      <c r="M9" s="266">
        <v>475</v>
      </c>
      <c r="N9" s="263" t="s">
        <v>4</v>
      </c>
      <c r="O9" s="379" t="s">
        <v>119</v>
      </c>
      <c r="P9" s="380"/>
      <c r="Q9" s="381"/>
      <c r="R9" s="25"/>
      <c r="S9" s="30"/>
      <c r="T9" s="31"/>
      <c r="U9" s="82">
        <f t="shared" si="0"/>
        <v>0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117">
        <v>6</v>
      </c>
      <c r="B10" s="268">
        <v>23229</v>
      </c>
      <c r="C10" s="269" t="s">
        <v>120</v>
      </c>
      <c r="D10" s="270" t="s">
        <v>121</v>
      </c>
      <c r="E10" s="268" t="s">
        <v>53</v>
      </c>
      <c r="F10" s="271">
        <v>1200</v>
      </c>
      <c r="G10" s="268" t="s">
        <v>122</v>
      </c>
      <c r="H10" s="272"/>
      <c r="I10" s="272">
        <v>245</v>
      </c>
      <c r="J10" s="273" t="str">
        <f t="shared" si="3"/>
        <v>0</v>
      </c>
      <c r="K10" s="273" t="str">
        <f t="shared" si="4"/>
        <v>0</v>
      </c>
      <c r="L10" s="272"/>
      <c r="M10" s="272"/>
      <c r="N10" s="269" t="s">
        <v>4</v>
      </c>
      <c r="O10" s="382"/>
      <c r="P10" s="383"/>
      <c r="Q10" s="384"/>
      <c r="R10" s="25"/>
      <c r="S10" s="30"/>
      <c r="T10" s="31"/>
      <c r="U10" s="82">
        <f t="shared" si="0"/>
        <v>0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117">
        <v>7</v>
      </c>
      <c r="B11" s="219">
        <v>23230</v>
      </c>
      <c r="C11" s="222" t="s">
        <v>123</v>
      </c>
      <c r="D11" s="240" t="s">
        <v>124</v>
      </c>
      <c r="E11" s="219" t="s">
        <v>53</v>
      </c>
      <c r="F11" s="223">
        <v>1300</v>
      </c>
      <c r="G11" s="229" t="s">
        <v>59</v>
      </c>
      <c r="H11" s="79"/>
      <c r="I11" s="220">
        <v>100</v>
      </c>
      <c r="J11" s="259" t="str">
        <f t="shared" si="1"/>
        <v>0</v>
      </c>
      <c r="K11" s="259" t="str">
        <f t="shared" si="2"/>
        <v>0</v>
      </c>
      <c r="L11" s="236"/>
      <c r="M11" s="236"/>
      <c r="N11" s="232" t="s">
        <v>4</v>
      </c>
      <c r="O11" s="326"/>
      <c r="P11" s="326"/>
      <c r="Q11" s="326"/>
      <c r="R11" s="25"/>
      <c r="S11" s="30"/>
      <c r="T11" s="31"/>
      <c r="U11" s="82">
        <f t="shared" si="0"/>
        <v>0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22231</v>
      </c>
      <c r="C12" s="230" t="s">
        <v>125</v>
      </c>
      <c r="D12" s="241" t="s">
        <v>126</v>
      </c>
      <c r="E12" s="219" t="s">
        <v>35</v>
      </c>
      <c r="F12" s="225">
        <v>1415</v>
      </c>
      <c r="G12" s="226" t="s">
        <v>41</v>
      </c>
      <c r="H12" s="79">
        <v>95</v>
      </c>
      <c r="I12" s="220"/>
      <c r="J12" s="259" t="str">
        <f t="shared" si="1"/>
        <v>0</v>
      </c>
      <c r="K12" s="259" t="str">
        <f t="shared" si="2"/>
        <v>0</v>
      </c>
      <c r="L12" s="236"/>
      <c r="M12" s="236"/>
      <c r="N12" s="232" t="s">
        <v>4</v>
      </c>
      <c r="O12" s="326"/>
      <c r="P12" s="326"/>
      <c r="Q12" s="326"/>
      <c r="R12" s="25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/>
      <c r="C13" s="230"/>
      <c r="D13" s="241"/>
      <c r="E13" s="219"/>
      <c r="F13" s="225"/>
      <c r="G13" s="226"/>
      <c r="H13" s="79"/>
      <c r="I13" s="220"/>
      <c r="J13" s="259" t="str">
        <f t="shared" si="1"/>
        <v>0</v>
      </c>
      <c r="K13" s="259" t="str">
        <f t="shared" si="2"/>
        <v>0</v>
      </c>
      <c r="L13" s="236"/>
      <c r="M13" s="236"/>
      <c r="N13" s="232"/>
      <c r="O13" s="326"/>
      <c r="P13" s="326"/>
      <c r="Q13" s="326"/>
      <c r="R13" s="32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117">
        <v>10</v>
      </c>
      <c r="B14" s="219"/>
      <c r="C14" s="232"/>
      <c r="D14" s="242"/>
      <c r="E14" s="219"/>
      <c r="F14" s="223"/>
      <c r="G14" s="226"/>
      <c r="H14" s="79"/>
      <c r="I14" s="220"/>
      <c r="J14" s="259" t="str">
        <f t="shared" si="1"/>
        <v>0</v>
      </c>
      <c r="K14" s="259" t="str">
        <f t="shared" si="2"/>
        <v>0</v>
      </c>
      <c r="L14" s="236"/>
      <c r="M14" s="236"/>
      <c r="N14" s="232"/>
      <c r="O14" s="326"/>
      <c r="P14" s="326"/>
      <c r="Q14" s="326"/>
      <c r="R14" s="25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/>
      <c r="C15" s="232"/>
      <c r="D15" s="242"/>
      <c r="E15" s="219"/>
      <c r="F15" s="223"/>
      <c r="G15" s="226"/>
      <c r="H15" s="79"/>
      <c r="I15" s="220"/>
      <c r="J15" s="259" t="str">
        <f t="shared" si="1"/>
        <v>0</v>
      </c>
      <c r="K15" s="259" t="str">
        <f t="shared" si="2"/>
        <v>0</v>
      </c>
      <c r="L15" s="236"/>
      <c r="M15" s="236"/>
      <c r="N15" s="232"/>
      <c r="O15" s="326"/>
      <c r="P15" s="326"/>
      <c r="Q15" s="326"/>
      <c r="R15" s="25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/>
      <c r="C16" s="232"/>
      <c r="D16" s="242"/>
      <c r="E16" s="219"/>
      <c r="F16" s="223"/>
      <c r="G16" s="226"/>
      <c r="H16" s="79"/>
      <c r="I16" s="220"/>
      <c r="J16" s="259" t="str">
        <f t="shared" si="1"/>
        <v>0</v>
      </c>
      <c r="K16" s="259" t="str">
        <f t="shared" si="2"/>
        <v>0</v>
      </c>
      <c r="L16" s="236"/>
      <c r="M16" s="236"/>
      <c r="N16" s="232"/>
      <c r="O16" s="326"/>
      <c r="P16" s="326"/>
      <c r="Q16" s="326"/>
      <c r="R16" s="72">
        <f>H32/U16</f>
        <v>0.5161290322580645</v>
      </c>
      <c r="S16" s="73">
        <f>H32/(U16-U5)</f>
        <v>1.1428571428571428</v>
      </c>
      <c r="T16" s="73">
        <f>C32/U16</f>
        <v>56.074838709677415</v>
      </c>
      <c r="U16" s="73">
        <f>SUM(U5:U15)</f>
        <v>15.5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/>
      <c r="C17" s="222"/>
      <c r="D17" s="240"/>
      <c r="E17" s="219"/>
      <c r="F17" s="223"/>
      <c r="G17" s="229"/>
      <c r="H17" s="79"/>
      <c r="I17" s="220"/>
      <c r="J17" s="259" t="str">
        <f t="shared" si="1"/>
        <v>0</v>
      </c>
      <c r="K17" s="259" t="str">
        <f t="shared" si="2"/>
        <v>0</v>
      </c>
      <c r="L17" s="236"/>
      <c r="M17" s="236"/>
      <c r="N17" s="232"/>
      <c r="O17" s="326"/>
      <c r="P17" s="326"/>
      <c r="Q17" s="326"/>
      <c r="R17" s="74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/>
      <c r="C18" s="222"/>
      <c r="D18" s="240"/>
      <c r="E18" s="219"/>
      <c r="F18" s="223"/>
      <c r="G18" s="231"/>
      <c r="H18" s="79"/>
      <c r="I18" s="220"/>
      <c r="J18" s="259" t="str">
        <f t="shared" si="1"/>
        <v>0</v>
      </c>
      <c r="K18" s="259" t="str">
        <f t="shared" si="2"/>
        <v>0</v>
      </c>
      <c r="L18" s="236"/>
      <c r="M18" s="236"/>
      <c r="N18" s="232"/>
      <c r="O18" s="326"/>
      <c r="P18" s="326"/>
      <c r="Q18" s="326"/>
      <c r="R18" s="76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/>
      <c r="C19" s="222"/>
      <c r="D19" s="240"/>
      <c r="E19" s="219"/>
      <c r="F19" s="223"/>
      <c r="G19" s="229"/>
      <c r="H19" s="79"/>
      <c r="I19" s="220"/>
      <c r="J19" s="259" t="str">
        <f t="shared" si="1"/>
        <v>0</v>
      </c>
      <c r="K19" s="259" t="str">
        <f t="shared" si="2"/>
        <v>0</v>
      </c>
      <c r="L19" s="236"/>
      <c r="M19" s="236"/>
      <c r="N19" s="232"/>
      <c r="O19" s="326"/>
      <c r="P19" s="326"/>
      <c r="Q19" s="326"/>
      <c r="R19" s="83" t="s">
        <v>20</v>
      </c>
      <c r="S19" s="84">
        <f>COUNT(L5:M29,L37:M61,L69:M93)</f>
        <v>1</v>
      </c>
      <c r="T19" s="106">
        <f>SUM(L5:M29,L37:M61,L69:M93)</f>
        <v>475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/>
      <c r="C20" s="222"/>
      <c r="D20" s="240"/>
      <c r="E20" s="219"/>
      <c r="F20" s="223"/>
      <c r="G20" s="229"/>
      <c r="H20" s="79"/>
      <c r="I20" s="220"/>
      <c r="J20" s="259" t="str">
        <f t="shared" si="1"/>
        <v>0</v>
      </c>
      <c r="K20" s="259" t="str">
        <f t="shared" si="2"/>
        <v>0</v>
      </c>
      <c r="L20" s="222"/>
      <c r="M20" s="222"/>
      <c r="N20" s="232"/>
      <c r="O20" s="326"/>
      <c r="P20" s="326"/>
      <c r="Q20" s="326"/>
      <c r="R20" s="118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/>
      <c r="C21" s="222"/>
      <c r="D21" s="240"/>
      <c r="E21" s="219"/>
      <c r="F21" s="223"/>
      <c r="G21" s="231"/>
      <c r="H21" s="79"/>
      <c r="I21" s="220"/>
      <c r="J21" s="259" t="str">
        <f t="shared" si="1"/>
        <v>0</v>
      </c>
      <c r="K21" s="259" t="str">
        <f t="shared" si="2"/>
        <v>0</v>
      </c>
      <c r="L21" s="236"/>
      <c r="M21" s="236"/>
      <c r="N21" s="232"/>
      <c r="O21" s="326"/>
      <c r="P21" s="326"/>
      <c r="Q21" s="326"/>
      <c r="R21" s="103"/>
      <c r="S21" s="139"/>
      <c r="T21" s="138"/>
      <c r="U21" s="105"/>
      <c r="X21" s="38"/>
      <c r="Z21" s="39"/>
      <c r="AK21" s="39"/>
    </row>
    <row r="22" spans="1:44" ht="16.5" customHeight="1">
      <c r="A22" s="122">
        <v>18</v>
      </c>
      <c r="B22" s="219"/>
      <c r="C22" s="221"/>
      <c r="D22" s="243"/>
      <c r="E22" s="219"/>
      <c r="F22" s="232"/>
      <c r="G22" s="219"/>
      <c r="H22" s="79"/>
      <c r="I22" s="220"/>
      <c r="J22" s="259" t="str">
        <f t="shared" si="1"/>
        <v>0</v>
      </c>
      <c r="K22" s="259" t="str">
        <f t="shared" si="2"/>
        <v>0</v>
      </c>
      <c r="L22" s="236"/>
      <c r="M22" s="236"/>
      <c r="N22" s="232"/>
      <c r="O22" s="326"/>
      <c r="P22" s="326"/>
      <c r="Q22" s="326"/>
      <c r="R22" s="10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/>
      <c r="C23" s="221"/>
      <c r="D23" s="243"/>
      <c r="E23" s="219"/>
      <c r="F23" s="232"/>
      <c r="G23" s="219"/>
      <c r="H23" s="79"/>
      <c r="I23" s="220"/>
      <c r="J23" s="259" t="str">
        <f t="shared" si="1"/>
        <v>0</v>
      </c>
      <c r="K23" s="259" t="str">
        <f t="shared" si="2"/>
        <v>0</v>
      </c>
      <c r="L23" s="236"/>
      <c r="M23" s="236"/>
      <c r="N23" s="232"/>
      <c r="O23" s="326"/>
      <c r="P23" s="326"/>
      <c r="Q23" s="326"/>
      <c r="R23" s="10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/>
      <c r="C24" s="221"/>
      <c r="D24" s="243"/>
      <c r="E24" s="219"/>
      <c r="F24" s="232"/>
      <c r="G24" s="219"/>
      <c r="H24" s="79"/>
      <c r="I24" s="220"/>
      <c r="J24" s="259" t="str">
        <f t="shared" si="1"/>
        <v>0</v>
      </c>
      <c r="K24" s="259" t="str">
        <f t="shared" si="2"/>
        <v>0</v>
      </c>
      <c r="L24" s="236"/>
      <c r="M24" s="236"/>
      <c r="N24" s="232"/>
      <c r="O24" s="326"/>
      <c r="P24" s="326"/>
      <c r="Q24" s="326"/>
      <c r="R24" s="123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/>
      <c r="C25" s="232"/>
      <c r="D25" s="242"/>
      <c r="E25" s="219"/>
      <c r="F25" s="232"/>
      <c r="G25" s="219"/>
      <c r="H25" s="220"/>
      <c r="I25" s="220"/>
      <c r="J25" s="259" t="str">
        <f t="shared" si="1"/>
        <v>0</v>
      </c>
      <c r="K25" s="259" t="str">
        <f t="shared" si="2"/>
        <v>0</v>
      </c>
      <c r="L25" s="236"/>
      <c r="M25" s="236"/>
      <c r="N25" s="232"/>
      <c r="O25" s="326"/>
      <c r="P25" s="326"/>
      <c r="Q25" s="326"/>
      <c r="R25" s="90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869.16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/>
      <c r="C26" s="224"/>
      <c r="D26" s="244"/>
      <c r="E26" s="219"/>
      <c r="F26" s="224"/>
      <c r="G26" s="231"/>
      <c r="H26" s="79"/>
      <c r="I26" s="220"/>
      <c r="J26" s="259" t="str">
        <f t="shared" si="1"/>
        <v>0</v>
      </c>
      <c r="K26" s="259" t="str">
        <f t="shared" si="2"/>
        <v>0</v>
      </c>
      <c r="L26" s="236"/>
      <c r="M26" s="236"/>
      <c r="N26" s="232"/>
      <c r="O26" s="326"/>
      <c r="P26" s="326"/>
      <c r="Q26" s="326"/>
      <c r="R26" s="102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/>
      <c r="C27" s="224"/>
      <c r="D27" s="244"/>
      <c r="E27" s="219"/>
      <c r="F27" s="224"/>
      <c r="G27" s="231"/>
      <c r="H27" s="79"/>
      <c r="I27" s="220"/>
      <c r="J27" s="259" t="str">
        <f t="shared" si="1"/>
        <v>0</v>
      </c>
      <c r="K27" s="259" t="str">
        <f t="shared" si="2"/>
        <v>0</v>
      </c>
      <c r="L27" s="236"/>
      <c r="M27" s="236"/>
      <c r="N27" s="232"/>
      <c r="O27" s="326"/>
      <c r="P27" s="326"/>
      <c r="Q27" s="326"/>
      <c r="R27" s="385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/>
      <c r="C28" s="224"/>
      <c r="D28" s="244"/>
      <c r="E28" s="219"/>
      <c r="F28" s="224"/>
      <c r="G28" s="231"/>
      <c r="H28" s="79"/>
      <c r="I28" s="220"/>
      <c r="J28" s="259" t="str">
        <f t="shared" si="1"/>
        <v>0</v>
      </c>
      <c r="K28" s="259" t="str">
        <f t="shared" si="2"/>
        <v>0</v>
      </c>
      <c r="L28" s="236"/>
      <c r="M28" s="236"/>
      <c r="N28" s="232"/>
      <c r="O28" s="326"/>
      <c r="P28" s="326"/>
      <c r="Q28" s="326"/>
      <c r="R28" s="387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/>
      <c r="C29" s="227"/>
      <c r="D29" s="239"/>
      <c r="E29" s="219"/>
      <c r="F29" s="224"/>
      <c r="G29" s="231"/>
      <c r="H29" s="79"/>
      <c r="I29" s="220"/>
      <c r="J29" s="259" t="str">
        <f t="shared" si="1"/>
        <v>0</v>
      </c>
      <c r="K29" s="259" t="str">
        <f t="shared" si="2"/>
        <v>0</v>
      </c>
      <c r="L29" s="236"/>
      <c r="M29" s="236"/>
      <c r="N29" s="232"/>
      <c r="O29" s="326"/>
      <c r="P29" s="326"/>
      <c r="Q29" s="326"/>
      <c r="R29" s="388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86"/>
      <c r="C30" s="386"/>
      <c r="D30" s="386"/>
      <c r="E30" s="358"/>
      <c r="F30" s="386"/>
      <c r="G30" s="386"/>
      <c r="H30" s="172">
        <f t="shared" ref="H30:M30" si="5">SUM(H5:H29)</f>
        <v>95</v>
      </c>
      <c r="I30" s="95">
        <f>SUM(I5:I29)</f>
        <v>620</v>
      </c>
      <c r="J30" s="95">
        <f>J5+J6+J7+J8+J9+J10+J11+J12+J13+J14+J15+J16+J18+J19+J17+J20+J22+J23+J21+J24+J25+J26+J27+J28+J29</f>
        <v>0</v>
      </c>
      <c r="K30" s="95">
        <f>K5+K6+K7+K8+K9+K10+K11+K12+K13+K14+K15+K16+K18+K19+K17+K20+K22+K23+K21+K24+K25+K26+K27+K28+K29</f>
        <v>154.16</v>
      </c>
      <c r="L30" s="96">
        <f t="shared" si="5"/>
        <v>0</v>
      </c>
      <c r="M30" s="96">
        <f t="shared" si="5"/>
        <v>475</v>
      </c>
      <c r="N30" s="177" t="s">
        <v>90</v>
      </c>
      <c r="O30" s="177" t="s">
        <v>18</v>
      </c>
      <c r="P30" s="177" t="s">
        <v>20</v>
      </c>
      <c r="Q30" s="86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6">H30+H62+H94</f>
        <v>95</v>
      </c>
      <c r="I31" s="93">
        <f t="shared" si="6"/>
        <v>620</v>
      </c>
      <c r="J31" s="93">
        <f t="shared" si="6"/>
        <v>0</v>
      </c>
      <c r="K31" s="93">
        <f>K30+K62+K94</f>
        <v>154.16</v>
      </c>
      <c r="L31" s="87">
        <f>L30+L62+L94</f>
        <v>0</v>
      </c>
      <c r="M31" s="87">
        <f>M30+M62+M94</f>
        <v>475</v>
      </c>
      <c r="N31" s="178">
        <f>COUNT(H5:H29,H37:H61,H69:H93)</f>
        <v>1</v>
      </c>
      <c r="O31" s="94">
        <f>COUNT(I5:I29,I37:I61,I69:I93)</f>
        <v>5</v>
      </c>
      <c r="P31" s="94">
        <f>COUNTIF(G5:G29,"G*")+COUNTIF(G37:G61,"G*")+COUNTIF(G69:G93,"G*")+COUNTIF(G5:G29,"P*")+COUNTIF(G37:G61,"P*")+COUNTIF(G69:G93,"P*")</f>
        <v>2</v>
      </c>
      <c r="Q31" s="107">
        <f>COUNTIF(G5:G29,"RSL*")+COUNTIF(G37:G61,"RSL*")+COUNTIF(G69:G93,"RSL*")</f>
        <v>0</v>
      </c>
      <c r="R31" s="88" t="s">
        <v>92</v>
      </c>
      <c r="S31" s="101">
        <f>H31+L31-U28-U29-U30</f>
        <v>95</v>
      </c>
      <c r="T31" s="351">
        <f>H31+I31+L31+M31</f>
        <v>1190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869.16</v>
      </c>
      <c r="D32" s="168"/>
      <c r="E32" s="97"/>
      <c r="F32" s="367" t="s">
        <v>95</v>
      </c>
      <c r="G32" s="367"/>
      <c r="H32" s="99">
        <f>COUNT(B5:B29,B37:B61,B69:B93)</f>
        <v>8</v>
      </c>
      <c r="I32" s="368" t="s">
        <v>96</v>
      </c>
      <c r="J32" s="368"/>
      <c r="K32" s="98">
        <f>C32/H32</f>
        <v>108.645</v>
      </c>
      <c r="L32" s="179"/>
      <c r="M32" s="179"/>
      <c r="N32" s="179">
        <f>H31/C32</f>
        <v>0.10930093423535368</v>
      </c>
      <c r="O32" s="179">
        <f>I31/C32</f>
        <v>0.71333241290441352</v>
      </c>
      <c r="P32" s="179">
        <f>K31/C32</f>
        <v>0.17736665286023287</v>
      </c>
      <c r="Q32" s="100">
        <f>J31/C32</f>
        <v>0</v>
      </c>
      <c r="R32" s="89" t="s">
        <v>97</v>
      </c>
      <c r="S32" s="174">
        <f>I31+M31</f>
        <v>1095</v>
      </c>
      <c r="T32" s="353"/>
      <c r="U32" s="354"/>
      <c r="V32" s="39"/>
      <c r="W32" s="39"/>
      <c r="X32" s="48" t="s">
        <v>98</v>
      </c>
      <c r="Y32" s="48"/>
      <c r="Z32" s="47">
        <f>I31</f>
        <v>620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-2125</v>
      </c>
      <c r="AG33" s="35"/>
    </row>
    <row r="34" spans="1:33" ht="15.75" thickBot="1">
      <c r="A34" s="345">
        <f>A2</f>
        <v>45727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RAIN</v>
      </c>
      <c r="K34" s="347"/>
      <c r="L34" s="349" t="s">
        <v>101</v>
      </c>
      <c r="M34" s="350"/>
      <c r="N34" s="348"/>
      <c r="O34" s="346" t="str">
        <f>O2</f>
        <v>SURESH</v>
      </c>
      <c r="P34" s="346"/>
      <c r="Q34" s="347"/>
      <c r="R34" s="349" t="s">
        <v>5</v>
      </c>
      <c r="S34" s="348"/>
      <c r="T34" s="343">
        <f>T2</f>
        <v>2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/>
      <c r="C37" s="59"/>
      <c r="D37" s="216"/>
      <c r="E37" s="153"/>
      <c r="F37" s="147"/>
      <c r="G37" s="108"/>
      <c r="H37" s="81"/>
      <c r="I37" s="260"/>
      <c r="J37" s="259" t="str">
        <f>IF(G37="RSL","60.00","0")</f>
        <v>0</v>
      </c>
      <c r="K37" s="259" t="str">
        <f>IF(G37="GVS","37.5",IF(G37="GVM","41.5",IF(G37="GVL","50",IF(G37="PCS/X","62.5",IF(G37="PCS/HP","79.16",IF(G37="PCL/X","79.16",IF(G37="PCL/HP","100.00","0")))))))</f>
        <v>0</v>
      </c>
      <c r="L37" s="236"/>
      <c r="M37" s="236"/>
      <c r="N37" s="232"/>
      <c r="O37" s="326"/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/>
      <c r="C38" s="58"/>
      <c r="D38" s="167"/>
      <c r="E38" s="153"/>
      <c r="F38" s="151"/>
      <c r="G38" s="108"/>
      <c r="H38" s="81"/>
      <c r="I38" s="260"/>
      <c r="J38" s="259" t="str">
        <f t="shared" ref="J38:J61" si="7">IF(G38="RSL","60.00","0")</f>
        <v>0</v>
      </c>
      <c r="K38" s="259" t="str">
        <f t="shared" ref="K38:K61" si="8">IF(G38="GVS","37.5",IF(G38="GVM","41.5",IF(G38="GVL","50",IF(G38="PCS/X","62.5",IF(G38="PCS/HP","79.16",IF(G38="PCL/X","79.16",IF(G38="PCL/HP","100.00","0")))))))</f>
        <v>0</v>
      </c>
      <c r="L38" s="236"/>
      <c r="M38" s="236"/>
      <c r="N38" s="232"/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9">A38+1</f>
        <v>28</v>
      </c>
      <c r="B39" s="108"/>
      <c r="C39" s="26"/>
      <c r="D39" s="155"/>
      <c r="E39" s="153"/>
      <c r="F39" s="151"/>
      <c r="G39" s="108"/>
      <c r="H39" s="81"/>
      <c r="I39" s="260"/>
      <c r="J39" s="259" t="str">
        <f t="shared" si="7"/>
        <v>0</v>
      </c>
      <c r="K39" s="259" t="str">
        <f t="shared" si="8"/>
        <v>0</v>
      </c>
      <c r="L39" s="236"/>
      <c r="M39" s="236"/>
      <c r="N39" s="232"/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9"/>
        <v>29</v>
      </c>
      <c r="B40" s="175"/>
      <c r="C40" s="54"/>
      <c r="D40" s="156"/>
      <c r="E40" s="153"/>
      <c r="F40" s="152"/>
      <c r="G40" s="109"/>
      <c r="H40" s="81"/>
      <c r="I40" s="81"/>
      <c r="J40" s="259" t="str">
        <f t="shared" si="7"/>
        <v>0</v>
      </c>
      <c r="K40" s="259" t="str">
        <f t="shared" si="8"/>
        <v>0</v>
      </c>
      <c r="L40" s="236"/>
      <c r="M40" s="236"/>
      <c r="N40" s="232"/>
      <c r="O40" s="326"/>
      <c r="P40" s="326"/>
      <c r="Q40" s="326"/>
      <c r="R40" s="68"/>
      <c r="S40" s="61"/>
      <c r="T40" s="61"/>
      <c r="U40" s="62"/>
    </row>
    <row r="41" spans="1:33">
      <c r="A41" s="114">
        <f t="shared" si="9"/>
        <v>30</v>
      </c>
      <c r="B41" s="108"/>
      <c r="C41" s="54"/>
      <c r="D41" s="156"/>
      <c r="E41" s="153"/>
      <c r="F41" s="152"/>
      <c r="G41" s="109"/>
      <c r="H41" s="81"/>
      <c r="I41" s="81"/>
      <c r="J41" s="259" t="str">
        <f t="shared" si="7"/>
        <v>0</v>
      </c>
      <c r="K41" s="259" t="str">
        <f t="shared" si="8"/>
        <v>0</v>
      </c>
      <c r="L41" s="236"/>
      <c r="M41" s="236"/>
      <c r="N41" s="232"/>
      <c r="O41" s="326"/>
      <c r="P41" s="326"/>
      <c r="Q41" s="326"/>
      <c r="R41" s="70"/>
      <c r="S41" s="63"/>
      <c r="T41" s="63"/>
      <c r="U41" s="64"/>
    </row>
    <row r="42" spans="1:33">
      <c r="A42" s="114">
        <f t="shared" si="9"/>
        <v>31</v>
      </c>
      <c r="B42" s="175"/>
      <c r="C42" s="27"/>
      <c r="D42" s="157"/>
      <c r="E42" s="153"/>
      <c r="F42" s="146"/>
      <c r="G42" s="110"/>
      <c r="H42" s="113"/>
      <c r="I42" s="261"/>
      <c r="J42" s="259" t="str">
        <f t="shared" si="7"/>
        <v>0</v>
      </c>
      <c r="K42" s="259" t="str">
        <f t="shared" si="8"/>
        <v>0</v>
      </c>
      <c r="L42" s="236"/>
      <c r="M42" s="236"/>
      <c r="N42" s="232"/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9"/>
        <v>32</v>
      </c>
      <c r="B43" s="108"/>
      <c r="C43" s="17"/>
      <c r="D43" s="163"/>
      <c r="E43" s="153"/>
      <c r="F43" s="57"/>
      <c r="G43" s="132"/>
      <c r="H43" s="113"/>
      <c r="I43" s="260"/>
      <c r="J43" s="259" t="str">
        <f t="shared" si="7"/>
        <v>0</v>
      </c>
      <c r="K43" s="259" t="str">
        <f t="shared" si="8"/>
        <v>0</v>
      </c>
      <c r="L43" s="236"/>
      <c r="M43" s="236"/>
      <c r="N43" s="232"/>
      <c r="O43" s="326"/>
      <c r="P43" s="326"/>
      <c r="Q43" s="326"/>
      <c r="R43" s="68"/>
      <c r="S43" s="61"/>
      <c r="T43" s="61"/>
      <c r="U43" s="62"/>
    </row>
    <row r="44" spans="1:33">
      <c r="A44" s="114">
        <f t="shared" si="9"/>
        <v>33</v>
      </c>
      <c r="B44" s="175"/>
      <c r="C44" s="55"/>
      <c r="D44" s="158"/>
      <c r="E44" s="153"/>
      <c r="F44" s="146"/>
      <c r="G44" s="109"/>
      <c r="H44" s="113"/>
      <c r="I44" s="261"/>
      <c r="J44" s="259" t="str">
        <f t="shared" si="7"/>
        <v>0</v>
      </c>
      <c r="K44" s="259" t="str">
        <f t="shared" si="8"/>
        <v>0</v>
      </c>
      <c r="L44" s="236"/>
      <c r="M44" s="236"/>
      <c r="N44" s="232"/>
      <c r="O44" s="326"/>
      <c r="P44" s="326"/>
      <c r="Q44" s="326"/>
      <c r="R44" s="5"/>
      <c r="S44" s="61"/>
      <c r="T44" s="61"/>
      <c r="U44" s="62"/>
    </row>
    <row r="45" spans="1:33">
      <c r="A45" s="114">
        <f t="shared" si="9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7"/>
        <v>0</v>
      </c>
      <c r="K45" s="259" t="str">
        <f t="shared" si="8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9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7"/>
        <v>0</v>
      </c>
      <c r="K46" s="259" t="str">
        <f t="shared" si="8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9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7"/>
        <v>0</v>
      </c>
      <c r="K47" s="259" t="str">
        <f t="shared" si="8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9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7"/>
        <v>0</v>
      </c>
      <c r="K48" s="259" t="str">
        <f t="shared" si="8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9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7"/>
        <v>0</v>
      </c>
      <c r="K49" s="259" t="str">
        <f t="shared" si="8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9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7"/>
        <v>0</v>
      </c>
      <c r="K50" s="259" t="str">
        <f t="shared" si="8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9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7"/>
        <v>0</v>
      </c>
      <c r="K51" s="259" t="str">
        <f t="shared" si="8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9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7"/>
        <v>0</v>
      </c>
      <c r="K52" s="259" t="str">
        <f t="shared" si="8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9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7"/>
        <v>0</v>
      </c>
      <c r="K53" s="259" t="str">
        <f t="shared" si="8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9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7"/>
        <v>0</v>
      </c>
      <c r="K54" s="259" t="str">
        <f t="shared" si="8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9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7"/>
        <v>0</v>
      </c>
      <c r="K55" s="259" t="str">
        <f t="shared" si="8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9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7"/>
        <v>0</v>
      </c>
      <c r="K56" s="259" t="str">
        <f t="shared" si="8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9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7"/>
        <v>0</v>
      </c>
      <c r="K57" s="259" t="str">
        <f t="shared" si="8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9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7"/>
        <v>0</v>
      </c>
      <c r="K58" s="259" t="str">
        <f t="shared" si="8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9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7"/>
        <v>0</v>
      </c>
      <c r="K59" s="259" t="str">
        <f t="shared" si="8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9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7"/>
        <v>0</v>
      </c>
      <c r="K60" s="259" t="str">
        <f t="shared" si="8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9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7"/>
        <v>0</v>
      </c>
      <c r="K61" s="259" t="str">
        <f t="shared" si="8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10">SUM(H37:H61)</f>
        <v>0</v>
      </c>
      <c r="I62" s="334">
        <f t="shared" si="10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10"/>
        <v>0</v>
      </c>
      <c r="M62" s="340">
        <f t="shared" si="10"/>
        <v>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45727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RAIN</v>
      </c>
      <c r="K66" s="347"/>
      <c r="L66" s="349" t="s">
        <v>101</v>
      </c>
      <c r="M66" s="350"/>
      <c r="N66" s="348"/>
      <c r="O66" s="346" t="str">
        <f>O34</f>
        <v>SURESH</v>
      </c>
      <c r="P66" s="346"/>
      <c r="Q66" s="347"/>
      <c r="R66" s="349" t="s">
        <v>5</v>
      </c>
      <c r="S66" s="348"/>
      <c r="T66" s="343">
        <f>T34</f>
        <v>2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11">IF(G70="RSL","60.00","0")</f>
        <v>0</v>
      </c>
      <c r="K70" s="259" t="str">
        <f t="shared" ref="K70:K93" si="12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3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11"/>
        <v>0</v>
      </c>
      <c r="K71" s="259" t="str">
        <f t="shared" si="12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3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11"/>
        <v>0</v>
      </c>
      <c r="K72" s="259" t="str">
        <f t="shared" si="12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3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11"/>
        <v>0</v>
      </c>
      <c r="K73" s="259" t="str">
        <f t="shared" si="12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3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11"/>
        <v>0</v>
      </c>
      <c r="K74" s="259" t="str">
        <f t="shared" si="12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3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11"/>
        <v>0</v>
      </c>
      <c r="K75" s="259" t="str">
        <f t="shared" si="12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3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11"/>
        <v>0</v>
      </c>
      <c r="K76" s="259" t="str">
        <f t="shared" si="12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3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11"/>
        <v>0</v>
      </c>
      <c r="K77" s="259" t="str">
        <f t="shared" si="12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3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11"/>
        <v>0</v>
      </c>
      <c r="K78" s="259" t="str">
        <f t="shared" si="12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3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11"/>
        <v>0</v>
      </c>
      <c r="K79" s="259" t="str">
        <f t="shared" si="12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3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11"/>
        <v>0</v>
      </c>
      <c r="K80" s="259" t="str">
        <f t="shared" si="12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3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11"/>
        <v>0</v>
      </c>
      <c r="K81" s="259" t="str">
        <f t="shared" si="12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3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11"/>
        <v>0</v>
      </c>
      <c r="K82" s="259" t="str">
        <f t="shared" si="12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3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11"/>
        <v>0</v>
      </c>
      <c r="K83" s="259" t="str">
        <f t="shared" si="12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3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11"/>
        <v>0</v>
      </c>
      <c r="K84" s="259" t="str">
        <f t="shared" si="12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3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11"/>
        <v>0</v>
      </c>
      <c r="K85" s="259" t="str">
        <f t="shared" si="12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3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11"/>
        <v>0</v>
      </c>
      <c r="K86" s="259" t="str">
        <f t="shared" si="12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3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11"/>
        <v>0</v>
      </c>
      <c r="K87" s="259" t="str">
        <f t="shared" si="12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3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11"/>
        <v>0</v>
      </c>
      <c r="K88" s="259" t="str">
        <f t="shared" si="12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3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11"/>
        <v>0</v>
      </c>
      <c r="K89" s="259" t="str">
        <f t="shared" si="12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3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11"/>
        <v>0</v>
      </c>
      <c r="K90" s="259" t="str">
        <f t="shared" si="12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3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11"/>
        <v>0</v>
      </c>
      <c r="K91" s="259" t="str">
        <f t="shared" si="12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3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11"/>
        <v>0</v>
      </c>
      <c r="K92" s="259" t="str">
        <f t="shared" si="12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3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11"/>
        <v>0</v>
      </c>
      <c r="K93" s="259" t="str">
        <f t="shared" si="12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4">SUM(H69:H93)</f>
        <v>0</v>
      </c>
      <c r="I94" s="334">
        <f t="shared" si="14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4"/>
        <v>0</v>
      </c>
      <c r="M94" s="340">
        <f t="shared" si="14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23:Q23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disablePrompts="1"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1" right="1" top="1" bottom="1" header="0.5" footer="0.5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23" sqref="O23:Q23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6" width="4.625" style="141" customWidth="1"/>
    <col min="17" max="17" width="10.37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45728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127</v>
      </c>
      <c r="K2" s="347"/>
      <c r="L2" s="349" t="s">
        <v>3</v>
      </c>
      <c r="M2" s="350"/>
      <c r="N2" s="348"/>
      <c r="O2" s="346" t="s">
        <v>128</v>
      </c>
      <c r="P2" s="346"/>
      <c r="Q2" s="347"/>
      <c r="R2" s="349" t="s">
        <v>5</v>
      </c>
      <c r="S2" s="348"/>
      <c r="T2" s="343">
        <v>3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3.5">
      <c r="A4" s="133" t="s">
        <v>10</v>
      </c>
      <c r="B4" s="176" t="s">
        <v>11</v>
      </c>
      <c r="C4" s="142" t="s">
        <v>12</v>
      </c>
      <c r="D4" s="166" t="s">
        <v>13</v>
      </c>
      <c r="E4" s="142" t="s">
        <v>14</v>
      </c>
      <c r="F4" s="176" t="s">
        <v>15</v>
      </c>
      <c r="G4" s="176" t="s">
        <v>16</v>
      </c>
      <c r="H4" s="176" t="s">
        <v>17</v>
      </c>
      <c r="I4" s="176" t="s">
        <v>18</v>
      </c>
      <c r="J4" s="176" t="s">
        <v>19</v>
      </c>
      <c r="K4" s="176" t="s">
        <v>20</v>
      </c>
      <c r="L4" s="176" t="s">
        <v>21</v>
      </c>
      <c r="M4" s="176" t="s">
        <v>22</v>
      </c>
      <c r="N4" s="176" t="s">
        <v>23</v>
      </c>
      <c r="O4" s="344" t="s">
        <v>24</v>
      </c>
      <c r="P4" s="344"/>
      <c r="Q4" s="344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274">
        <v>1</v>
      </c>
      <c r="B5" s="275">
        <v>23232</v>
      </c>
      <c r="C5" s="276" t="s">
        <v>129</v>
      </c>
      <c r="D5" s="277" t="s">
        <v>130</v>
      </c>
      <c r="E5" s="275" t="s">
        <v>35</v>
      </c>
      <c r="F5" s="278">
        <v>800</v>
      </c>
      <c r="G5" s="275" t="s">
        <v>131</v>
      </c>
      <c r="H5" s="279"/>
      <c r="I5" s="280">
        <v>50</v>
      </c>
      <c r="J5" s="281" t="str">
        <f>IF(G5="RSL","60.00","0")</f>
        <v>0</v>
      </c>
      <c r="K5" s="281">
        <v>200</v>
      </c>
      <c r="L5" s="279"/>
      <c r="M5" s="279"/>
      <c r="N5" s="282" t="s">
        <v>128</v>
      </c>
      <c r="O5" s="390" t="s">
        <v>132</v>
      </c>
      <c r="P5" s="390"/>
      <c r="Q5" s="390"/>
      <c r="R5" s="32" t="s">
        <v>128</v>
      </c>
      <c r="S5" s="30">
        <v>0.33333333333333331</v>
      </c>
      <c r="T5" s="31">
        <v>0.70833333333333337</v>
      </c>
      <c r="U5" s="82">
        <f t="shared" ref="U5:U15" si="0">(T5-S5)*24</f>
        <v>9.0000000000000018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274">
        <v>2</v>
      </c>
      <c r="B6" s="275">
        <v>23233</v>
      </c>
      <c r="C6" s="283" t="s">
        <v>133</v>
      </c>
      <c r="D6" s="277" t="s">
        <v>134</v>
      </c>
      <c r="E6" s="275" t="s">
        <v>35</v>
      </c>
      <c r="F6" s="278">
        <v>905</v>
      </c>
      <c r="G6" s="275" t="s">
        <v>135</v>
      </c>
      <c r="H6" s="279"/>
      <c r="I6" s="280">
        <v>180</v>
      </c>
      <c r="J6" s="281" t="str">
        <f t="shared" ref="J6:J29" si="1">IF(G6="RSL","60.00","0")</f>
        <v>0</v>
      </c>
      <c r="K6" s="281" t="str">
        <f t="shared" ref="K6:K29" si="2">IF(G6="GVS","37.5",IF(G6="GVM","41.5",IF(G6="GVL","50",IF(G6="PCS/X","62.5",IF(G6="PCS/HP","79.16",IF(G6="PCL/X","79.16",IF(G6="PCL/HP","100.00","0")))))))</f>
        <v>0</v>
      </c>
      <c r="L6" s="279"/>
      <c r="M6" s="279"/>
      <c r="N6" s="282" t="s">
        <v>128</v>
      </c>
      <c r="O6" s="326"/>
      <c r="P6" s="326"/>
      <c r="Q6" s="326"/>
      <c r="R6" s="115" t="s">
        <v>42</v>
      </c>
      <c r="S6" s="30">
        <v>0.35416666666666669</v>
      </c>
      <c r="T6" s="31">
        <v>0.70833333333333337</v>
      </c>
      <c r="U6" s="82">
        <f t="shared" si="0"/>
        <v>8.5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274">
        <v>3</v>
      </c>
      <c r="B7" s="275">
        <v>23234</v>
      </c>
      <c r="C7" s="283" t="s">
        <v>136</v>
      </c>
      <c r="D7" s="277" t="s">
        <v>137</v>
      </c>
      <c r="E7" s="275" t="s">
        <v>35</v>
      </c>
      <c r="F7" s="278">
        <v>940</v>
      </c>
      <c r="G7" s="275" t="s">
        <v>135</v>
      </c>
      <c r="H7" s="279"/>
      <c r="I7" s="280">
        <v>200</v>
      </c>
      <c r="J7" s="281" t="str">
        <f t="shared" si="1"/>
        <v>0</v>
      </c>
      <c r="K7" s="281" t="str">
        <f t="shared" si="2"/>
        <v>0</v>
      </c>
      <c r="L7" s="279"/>
      <c r="M7" s="279"/>
      <c r="N7" s="282" t="s">
        <v>128</v>
      </c>
      <c r="O7" s="326"/>
      <c r="P7" s="326"/>
      <c r="Q7" s="326"/>
      <c r="R7" s="116" t="s">
        <v>138</v>
      </c>
      <c r="S7" s="30">
        <v>0.39583333333333331</v>
      </c>
      <c r="T7" s="31">
        <v>0.70833333333333337</v>
      </c>
      <c r="U7" s="82">
        <f t="shared" si="0"/>
        <v>7.5000000000000018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114">
        <v>4</v>
      </c>
      <c r="B8" s="219">
        <v>23235</v>
      </c>
      <c r="C8" s="224" t="s">
        <v>139</v>
      </c>
      <c r="D8" s="234" t="s">
        <v>140</v>
      </c>
      <c r="E8" s="219" t="s">
        <v>35</v>
      </c>
      <c r="F8" s="235">
        <v>1125</v>
      </c>
      <c r="G8" s="219" t="s">
        <v>49</v>
      </c>
      <c r="H8" s="236"/>
      <c r="I8" s="220"/>
      <c r="J8" s="259" t="str">
        <f t="shared" si="1"/>
        <v>0</v>
      </c>
      <c r="K8" s="259" t="str">
        <f t="shared" si="2"/>
        <v>79.16</v>
      </c>
      <c r="L8" s="236"/>
      <c r="M8" s="236"/>
      <c r="N8" s="232" t="s">
        <v>128</v>
      </c>
      <c r="O8" s="326" t="s">
        <v>141</v>
      </c>
      <c r="P8" s="326"/>
      <c r="Q8" s="326"/>
      <c r="R8" s="25"/>
      <c r="S8" s="30"/>
      <c r="T8" s="31"/>
      <c r="U8" s="82">
        <f t="shared" si="0"/>
        <v>0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117">
        <v>5</v>
      </c>
      <c r="B9" s="219">
        <v>23236</v>
      </c>
      <c r="C9" s="225" t="s">
        <v>142</v>
      </c>
      <c r="D9" s="237" t="s">
        <v>143</v>
      </c>
      <c r="E9" s="219" t="s">
        <v>35</v>
      </c>
      <c r="F9" s="238">
        <v>1200</v>
      </c>
      <c r="G9" s="226" t="s">
        <v>144</v>
      </c>
      <c r="H9" s="236"/>
      <c r="I9" s="220"/>
      <c r="J9" s="259" t="str">
        <f t="shared" si="1"/>
        <v>0</v>
      </c>
      <c r="K9" s="259">
        <v>50</v>
      </c>
      <c r="L9" s="236"/>
      <c r="M9" s="236"/>
      <c r="N9" s="232" t="s">
        <v>128</v>
      </c>
      <c r="O9" s="326" t="s">
        <v>145</v>
      </c>
      <c r="P9" s="326"/>
      <c r="Q9" s="326"/>
      <c r="R9" s="25" t="s">
        <v>146</v>
      </c>
      <c r="S9" s="30">
        <v>0.45833333333333331</v>
      </c>
      <c r="T9" s="31">
        <v>0.70833333333333337</v>
      </c>
      <c r="U9" s="82">
        <f t="shared" si="0"/>
        <v>6.0000000000000018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117">
        <v>6</v>
      </c>
      <c r="B10" s="219">
        <v>23237</v>
      </c>
      <c r="C10" s="227" t="s">
        <v>147</v>
      </c>
      <c r="D10" s="239" t="s">
        <v>148</v>
      </c>
      <c r="E10" s="219" t="s">
        <v>53</v>
      </c>
      <c r="F10" s="225">
        <v>1210</v>
      </c>
      <c r="G10" s="228" t="s">
        <v>36</v>
      </c>
      <c r="H10" s="79"/>
      <c r="I10" s="220"/>
      <c r="J10" s="259" t="str">
        <f t="shared" si="1"/>
        <v>60.00</v>
      </c>
      <c r="K10" s="259" t="str">
        <f t="shared" si="2"/>
        <v>0</v>
      </c>
      <c r="L10" s="236"/>
      <c r="M10" s="236"/>
      <c r="N10" s="232" t="s">
        <v>128</v>
      </c>
      <c r="O10" s="326" t="s">
        <v>149</v>
      </c>
      <c r="P10" s="326"/>
      <c r="Q10" s="326"/>
      <c r="R10" s="25"/>
      <c r="S10" s="30"/>
      <c r="T10" s="31"/>
      <c r="U10" s="82">
        <f t="shared" si="0"/>
        <v>0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284">
        <v>7</v>
      </c>
      <c r="B11" s="275">
        <v>23238</v>
      </c>
      <c r="C11" s="276" t="s">
        <v>150</v>
      </c>
      <c r="D11" s="285" t="s">
        <v>151</v>
      </c>
      <c r="E11" s="275" t="s">
        <v>53</v>
      </c>
      <c r="F11" s="283">
        <v>1345</v>
      </c>
      <c r="G11" s="286" t="s">
        <v>135</v>
      </c>
      <c r="H11" s="287"/>
      <c r="I11" s="280">
        <v>200</v>
      </c>
      <c r="J11" s="281" t="str">
        <f t="shared" si="1"/>
        <v>0</v>
      </c>
      <c r="K11" s="281" t="str">
        <f t="shared" si="2"/>
        <v>0</v>
      </c>
      <c r="L11" s="279"/>
      <c r="M11" s="279"/>
      <c r="N11" s="282" t="s">
        <v>42</v>
      </c>
      <c r="O11" s="326"/>
      <c r="P11" s="326"/>
      <c r="Q11" s="326"/>
      <c r="R11" s="25"/>
      <c r="S11" s="30"/>
      <c r="T11" s="31"/>
      <c r="U11" s="82">
        <f t="shared" si="0"/>
        <v>0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23239</v>
      </c>
      <c r="C12" s="230" t="s">
        <v>152</v>
      </c>
      <c r="D12" s="241" t="s">
        <v>153</v>
      </c>
      <c r="E12" s="219" t="s">
        <v>35</v>
      </c>
      <c r="F12" s="225">
        <v>1400</v>
      </c>
      <c r="G12" s="226" t="s">
        <v>49</v>
      </c>
      <c r="H12" s="79"/>
      <c r="I12" s="220"/>
      <c r="J12" s="259" t="str">
        <f t="shared" si="1"/>
        <v>0</v>
      </c>
      <c r="K12" s="259" t="str">
        <f t="shared" si="2"/>
        <v>79.16</v>
      </c>
      <c r="L12" s="236"/>
      <c r="M12" s="236"/>
      <c r="N12" s="232" t="s">
        <v>128</v>
      </c>
      <c r="O12" s="326" t="s">
        <v>154</v>
      </c>
      <c r="P12" s="326"/>
      <c r="Q12" s="326"/>
      <c r="R12" s="25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>
        <v>23240</v>
      </c>
      <c r="C13" s="230" t="s">
        <v>155</v>
      </c>
      <c r="D13" s="241" t="s">
        <v>156</v>
      </c>
      <c r="E13" s="219" t="s">
        <v>53</v>
      </c>
      <c r="F13" s="225">
        <v>1400</v>
      </c>
      <c r="G13" s="226" t="s">
        <v>41</v>
      </c>
      <c r="H13" s="79">
        <v>95</v>
      </c>
      <c r="I13" s="220"/>
      <c r="J13" s="259" t="str">
        <f t="shared" si="1"/>
        <v>0</v>
      </c>
      <c r="K13" s="259" t="str">
        <f t="shared" si="2"/>
        <v>0</v>
      </c>
      <c r="L13" s="236"/>
      <c r="M13" s="236"/>
      <c r="N13" s="232" t="s">
        <v>128</v>
      </c>
      <c r="O13" s="326"/>
      <c r="P13" s="326"/>
      <c r="Q13" s="326"/>
      <c r="R13" s="32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288">
        <v>10</v>
      </c>
      <c r="B14" s="289">
        <v>23241</v>
      </c>
      <c r="C14" s="290" t="s">
        <v>157</v>
      </c>
      <c r="D14" s="291" t="s">
        <v>158</v>
      </c>
      <c r="E14" s="289" t="s">
        <v>35</v>
      </c>
      <c r="F14" s="292">
        <v>1415</v>
      </c>
      <c r="G14" s="293" t="s">
        <v>131</v>
      </c>
      <c r="H14" s="294"/>
      <c r="I14" s="295"/>
      <c r="J14" s="296" t="str">
        <f t="shared" si="1"/>
        <v>0</v>
      </c>
      <c r="K14" s="296">
        <v>245</v>
      </c>
      <c r="L14" s="297"/>
      <c r="M14" s="297">
        <v>500</v>
      </c>
      <c r="N14" s="290" t="s">
        <v>128</v>
      </c>
      <c r="O14" s="389" t="s">
        <v>159</v>
      </c>
      <c r="P14" s="389"/>
      <c r="Q14" s="389"/>
      <c r="R14" s="25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>
        <v>23242</v>
      </c>
      <c r="C15" s="232" t="s">
        <v>160</v>
      </c>
      <c r="D15" s="242" t="s">
        <v>161</v>
      </c>
      <c r="E15" s="219" t="s">
        <v>35</v>
      </c>
      <c r="F15" s="223">
        <v>1430</v>
      </c>
      <c r="G15" s="226" t="s">
        <v>41</v>
      </c>
      <c r="H15" s="79"/>
      <c r="I15" s="220">
        <v>95</v>
      </c>
      <c r="J15" s="259" t="str">
        <f t="shared" si="1"/>
        <v>0</v>
      </c>
      <c r="K15" s="259" t="str">
        <f t="shared" si="2"/>
        <v>0</v>
      </c>
      <c r="L15" s="236"/>
      <c r="M15" s="236"/>
      <c r="N15" s="232" t="s">
        <v>128</v>
      </c>
      <c r="O15" s="326"/>
      <c r="P15" s="326"/>
      <c r="Q15" s="326"/>
      <c r="R15" s="25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>
        <v>23243</v>
      </c>
      <c r="C16" s="232" t="s">
        <v>162</v>
      </c>
      <c r="D16" s="242" t="s">
        <v>163</v>
      </c>
      <c r="E16" s="219" t="s">
        <v>53</v>
      </c>
      <c r="F16" s="223">
        <v>1435</v>
      </c>
      <c r="G16" s="226" t="s">
        <v>36</v>
      </c>
      <c r="H16" s="79"/>
      <c r="I16" s="220"/>
      <c r="J16" s="259" t="str">
        <f t="shared" si="1"/>
        <v>60.00</v>
      </c>
      <c r="K16" s="259" t="str">
        <f t="shared" si="2"/>
        <v>0</v>
      </c>
      <c r="L16" s="236"/>
      <c r="M16" s="236"/>
      <c r="N16" s="232" t="s">
        <v>128</v>
      </c>
      <c r="O16" s="326" t="s">
        <v>164</v>
      </c>
      <c r="P16" s="326"/>
      <c r="Q16" s="326"/>
      <c r="R16" s="72">
        <f>H32/U16</f>
        <v>0.38709677419354838</v>
      </c>
      <c r="S16" s="73">
        <f>H32/(U16-U5)</f>
        <v>0.54545454545454541</v>
      </c>
      <c r="T16" s="73">
        <f>C32/U16</f>
        <v>51.397419354838711</v>
      </c>
      <c r="U16" s="73">
        <f>SUM(U5:U15)</f>
        <v>31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/>
      <c r="C17" s="222"/>
      <c r="D17" s="240"/>
      <c r="E17" s="219"/>
      <c r="F17" s="223"/>
      <c r="G17" s="229"/>
      <c r="H17" s="79"/>
      <c r="I17" s="220"/>
      <c r="J17" s="259" t="str">
        <f t="shared" si="1"/>
        <v>0</v>
      </c>
      <c r="K17" s="259" t="str">
        <f t="shared" si="2"/>
        <v>0</v>
      </c>
      <c r="L17" s="236"/>
      <c r="M17" s="236"/>
      <c r="N17" s="232"/>
      <c r="O17" s="326"/>
      <c r="P17" s="326"/>
      <c r="Q17" s="326"/>
      <c r="R17" s="74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/>
      <c r="C18" s="222"/>
      <c r="D18" s="240"/>
      <c r="E18" s="219"/>
      <c r="F18" s="223"/>
      <c r="G18" s="231"/>
      <c r="H18" s="79"/>
      <c r="I18" s="220"/>
      <c r="J18" s="259" t="str">
        <f t="shared" si="1"/>
        <v>0</v>
      </c>
      <c r="K18" s="259" t="str">
        <f t="shared" si="2"/>
        <v>0</v>
      </c>
      <c r="L18" s="236"/>
      <c r="M18" s="236"/>
      <c r="N18" s="232"/>
      <c r="O18" s="326"/>
      <c r="P18" s="326"/>
      <c r="Q18" s="326"/>
      <c r="R18" s="76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/>
      <c r="C19" s="222"/>
      <c r="D19" s="240"/>
      <c r="E19" s="219"/>
      <c r="F19" s="223"/>
      <c r="G19" s="229"/>
      <c r="H19" s="79"/>
      <c r="I19" s="220"/>
      <c r="J19" s="259" t="str">
        <f t="shared" si="1"/>
        <v>0</v>
      </c>
      <c r="K19" s="259" t="str">
        <f t="shared" si="2"/>
        <v>0</v>
      </c>
      <c r="L19" s="236"/>
      <c r="M19" s="236"/>
      <c r="N19" s="232"/>
      <c r="O19" s="326"/>
      <c r="P19" s="326"/>
      <c r="Q19" s="326"/>
      <c r="R19" s="83" t="s">
        <v>20</v>
      </c>
      <c r="S19" s="84">
        <f>COUNT(L5:M29,L37:M61,L69:M93)</f>
        <v>1</v>
      </c>
      <c r="T19" s="106">
        <f>SUM(L5:M29,L37:M61,L69:M93)</f>
        <v>500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/>
      <c r="C20" s="222"/>
      <c r="D20" s="240"/>
      <c r="E20" s="219"/>
      <c r="F20" s="223"/>
      <c r="G20" s="229"/>
      <c r="H20" s="79"/>
      <c r="I20" s="220"/>
      <c r="J20" s="259" t="str">
        <f t="shared" si="1"/>
        <v>0</v>
      </c>
      <c r="K20" s="259" t="str">
        <f t="shared" si="2"/>
        <v>0</v>
      </c>
      <c r="L20" s="222"/>
      <c r="M20" s="222"/>
      <c r="N20" s="232"/>
      <c r="O20" s="326"/>
      <c r="P20" s="326"/>
      <c r="Q20" s="326"/>
      <c r="R20" s="118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/>
      <c r="C21" s="222"/>
      <c r="D21" s="240"/>
      <c r="E21" s="219"/>
      <c r="F21" s="223"/>
      <c r="G21" s="231"/>
      <c r="H21" s="79"/>
      <c r="I21" s="220"/>
      <c r="J21" s="259" t="str">
        <f t="shared" si="1"/>
        <v>0</v>
      </c>
      <c r="K21" s="259" t="str">
        <f t="shared" si="2"/>
        <v>0</v>
      </c>
      <c r="L21" s="236"/>
      <c r="M21" s="236"/>
      <c r="N21" s="232"/>
      <c r="O21" s="326"/>
      <c r="P21" s="326"/>
      <c r="Q21" s="326"/>
      <c r="R21" s="103"/>
      <c r="S21" s="139"/>
      <c r="T21" s="138"/>
      <c r="U21" s="105"/>
      <c r="X21" s="38"/>
      <c r="Z21" s="39"/>
      <c r="AK21" s="39"/>
    </row>
    <row r="22" spans="1:44" ht="16.5" customHeight="1">
      <c r="A22" s="122">
        <v>18</v>
      </c>
      <c r="B22" s="219"/>
      <c r="C22" s="221"/>
      <c r="D22" s="243"/>
      <c r="E22" s="219"/>
      <c r="F22" s="232"/>
      <c r="G22" s="219"/>
      <c r="H22" s="79"/>
      <c r="I22" s="220"/>
      <c r="J22" s="259" t="str">
        <f t="shared" si="1"/>
        <v>0</v>
      </c>
      <c r="K22" s="259" t="str">
        <f t="shared" si="2"/>
        <v>0</v>
      </c>
      <c r="L22" s="236"/>
      <c r="M22" s="236"/>
      <c r="N22" s="232"/>
      <c r="O22" s="326"/>
      <c r="P22" s="326"/>
      <c r="Q22" s="326"/>
      <c r="R22" s="10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/>
      <c r="C23" s="221"/>
      <c r="D23" s="243"/>
      <c r="E23" s="219"/>
      <c r="F23" s="232"/>
      <c r="G23" s="219"/>
      <c r="H23" s="79"/>
      <c r="I23" s="220"/>
      <c r="J23" s="259" t="str">
        <f t="shared" si="1"/>
        <v>0</v>
      </c>
      <c r="K23" s="259" t="str">
        <f t="shared" si="2"/>
        <v>0</v>
      </c>
      <c r="L23" s="236"/>
      <c r="M23" s="236"/>
      <c r="N23" s="236"/>
      <c r="O23" s="326"/>
      <c r="P23" s="326"/>
      <c r="Q23" s="326"/>
      <c r="R23" s="10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/>
      <c r="C24" s="221"/>
      <c r="D24" s="243"/>
      <c r="E24" s="219"/>
      <c r="F24" s="232"/>
      <c r="G24" s="219"/>
      <c r="H24" s="79"/>
      <c r="I24" s="220"/>
      <c r="J24" s="259" t="str">
        <f t="shared" si="1"/>
        <v>0</v>
      </c>
      <c r="K24" s="259" t="str">
        <f t="shared" si="2"/>
        <v>0</v>
      </c>
      <c r="L24" s="236"/>
      <c r="M24" s="236"/>
      <c r="N24" s="232"/>
      <c r="O24" s="326"/>
      <c r="P24" s="326"/>
      <c r="Q24" s="326"/>
      <c r="R24" s="123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/>
      <c r="C25" s="232"/>
      <c r="D25" s="242"/>
      <c r="E25" s="219"/>
      <c r="F25" s="232"/>
      <c r="G25" s="219"/>
      <c r="H25" s="220"/>
      <c r="I25" s="220"/>
      <c r="J25" s="259" t="str">
        <f t="shared" si="1"/>
        <v>0</v>
      </c>
      <c r="K25" s="259" t="str">
        <f t="shared" si="2"/>
        <v>0</v>
      </c>
      <c r="L25" s="236"/>
      <c r="M25" s="236"/>
      <c r="N25" s="232"/>
      <c r="O25" s="326"/>
      <c r="P25" s="326"/>
      <c r="Q25" s="326"/>
      <c r="R25" s="90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1593.32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/>
      <c r="C26" s="224"/>
      <c r="D26" s="244"/>
      <c r="E26" s="219"/>
      <c r="F26" s="224"/>
      <c r="G26" s="231"/>
      <c r="H26" s="79"/>
      <c r="I26" s="220"/>
      <c r="J26" s="259" t="str">
        <f t="shared" si="1"/>
        <v>0</v>
      </c>
      <c r="K26" s="259" t="str">
        <f t="shared" si="2"/>
        <v>0</v>
      </c>
      <c r="L26" s="236"/>
      <c r="M26" s="236"/>
      <c r="N26" s="232"/>
      <c r="O26" s="326"/>
      <c r="P26" s="326"/>
      <c r="Q26" s="326"/>
      <c r="R26" s="102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/>
      <c r="C27" s="224"/>
      <c r="D27" s="244"/>
      <c r="E27" s="219"/>
      <c r="F27" s="224"/>
      <c r="G27" s="231"/>
      <c r="H27" s="79"/>
      <c r="I27" s="220"/>
      <c r="J27" s="259" t="str">
        <f t="shared" si="1"/>
        <v>0</v>
      </c>
      <c r="K27" s="259" t="str">
        <f t="shared" si="2"/>
        <v>0</v>
      </c>
      <c r="L27" s="236"/>
      <c r="M27" s="236"/>
      <c r="N27" s="232"/>
      <c r="O27" s="326"/>
      <c r="P27" s="326"/>
      <c r="Q27" s="326"/>
      <c r="R27" s="385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/>
      <c r="C28" s="224"/>
      <c r="D28" s="244"/>
      <c r="E28" s="219"/>
      <c r="F28" s="224"/>
      <c r="G28" s="231"/>
      <c r="H28" s="79"/>
      <c r="I28" s="220"/>
      <c r="J28" s="259" t="str">
        <f t="shared" si="1"/>
        <v>0</v>
      </c>
      <c r="K28" s="259" t="str">
        <f t="shared" si="2"/>
        <v>0</v>
      </c>
      <c r="L28" s="236"/>
      <c r="M28" s="236"/>
      <c r="N28" s="232"/>
      <c r="O28" s="326"/>
      <c r="P28" s="326"/>
      <c r="Q28" s="326"/>
      <c r="R28" s="387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/>
      <c r="C29" s="227"/>
      <c r="D29" s="239"/>
      <c r="E29" s="219"/>
      <c r="F29" s="224"/>
      <c r="G29" s="231"/>
      <c r="H29" s="79"/>
      <c r="I29" s="220"/>
      <c r="J29" s="259" t="str">
        <f t="shared" si="1"/>
        <v>0</v>
      </c>
      <c r="K29" s="259" t="str">
        <f t="shared" si="2"/>
        <v>0</v>
      </c>
      <c r="L29" s="236"/>
      <c r="M29" s="236"/>
      <c r="N29" s="232"/>
      <c r="O29" s="326"/>
      <c r="P29" s="326"/>
      <c r="Q29" s="326"/>
      <c r="R29" s="388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86"/>
      <c r="C30" s="386"/>
      <c r="D30" s="386"/>
      <c r="E30" s="358"/>
      <c r="F30" s="386"/>
      <c r="G30" s="386"/>
      <c r="H30" s="172">
        <f t="shared" ref="H30:M30" si="3">SUM(H5:H29)</f>
        <v>95</v>
      </c>
      <c r="I30" s="95">
        <f>SUM(I5:I29)</f>
        <v>725</v>
      </c>
      <c r="J30" s="95">
        <f>J5+J6+J7+J8+J9+J10+J11+J12+J13+J14+J15+J16+J18+J19+J17+J20+J22+J23+J21+J24+J25+J26+J27+J28+J29</f>
        <v>120</v>
      </c>
      <c r="K30" s="95">
        <f>K5+K6+K7+K8+K9+K10+K11+K12+K13+K14+K15+K16+K18+K19+K17+K20+K22+K23+K21+K24+K25+K26+K27+K28+K29</f>
        <v>653.31999999999994</v>
      </c>
      <c r="L30" s="96">
        <f t="shared" si="3"/>
        <v>0</v>
      </c>
      <c r="M30" s="96">
        <f t="shared" si="3"/>
        <v>500</v>
      </c>
      <c r="N30" s="177" t="s">
        <v>90</v>
      </c>
      <c r="O30" s="177" t="s">
        <v>18</v>
      </c>
      <c r="P30" s="177" t="s">
        <v>20</v>
      </c>
      <c r="Q30" s="86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4">H30+H62+H94</f>
        <v>95</v>
      </c>
      <c r="I31" s="93">
        <f t="shared" si="4"/>
        <v>725</v>
      </c>
      <c r="J31" s="93">
        <f t="shared" si="4"/>
        <v>120</v>
      </c>
      <c r="K31" s="93">
        <f>K30+K62+K94</f>
        <v>653.31999999999994</v>
      </c>
      <c r="L31" s="87">
        <f>L30+L62+L94</f>
        <v>0</v>
      </c>
      <c r="M31" s="87">
        <f>M30+M62+M94</f>
        <v>500</v>
      </c>
      <c r="N31" s="178">
        <f>COUNT(H5:H29,H37:H61,H69:H93)</f>
        <v>1</v>
      </c>
      <c r="O31" s="94">
        <f>COUNT(I5:I29,I37:I61,I69:I93)</f>
        <v>5</v>
      </c>
      <c r="P31" s="94">
        <f>COUNTIF(G5:G29,"G*")+COUNTIF(G37:G61,"G*")+COUNTIF(G69:G93,"G*")+COUNTIF(G5:G29,"P*")+COUNTIF(G37:G61,"P*")+COUNTIF(G69:G93,"P*")</f>
        <v>4</v>
      </c>
      <c r="Q31" s="107">
        <f>COUNTIF(G5:G29,"RSL*")+COUNTIF(G37:G61,"RSL*")+COUNTIF(G69:G93,"RSL*")</f>
        <v>2</v>
      </c>
      <c r="R31" s="88" t="s">
        <v>92</v>
      </c>
      <c r="S31" s="101">
        <f>H31+L31-U28-U29-U30</f>
        <v>95</v>
      </c>
      <c r="T31" s="351">
        <f>H31+I31+L31+M31</f>
        <v>1320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1593.32</v>
      </c>
      <c r="D32" s="168"/>
      <c r="E32" s="97"/>
      <c r="F32" s="367" t="s">
        <v>95</v>
      </c>
      <c r="G32" s="367"/>
      <c r="H32" s="99">
        <f>COUNT(B5:B29,B37:B61,B69:B93)</f>
        <v>12</v>
      </c>
      <c r="I32" s="368" t="s">
        <v>96</v>
      </c>
      <c r="J32" s="368"/>
      <c r="K32" s="98">
        <f>C32/H32</f>
        <v>132.77666666666667</v>
      </c>
      <c r="L32" s="179"/>
      <c r="M32" s="179"/>
      <c r="N32" s="179">
        <f>H31/C32</f>
        <v>5.9623929907363246E-2</v>
      </c>
      <c r="O32" s="179">
        <f>I31/C32</f>
        <v>0.45502472824040369</v>
      </c>
      <c r="P32" s="179">
        <f>K31/C32</f>
        <v>0.41003690407451104</v>
      </c>
      <c r="Q32" s="100">
        <f>J31/C32</f>
        <v>7.5314437777721996E-2</v>
      </c>
      <c r="R32" s="89" t="s">
        <v>97</v>
      </c>
      <c r="S32" s="174">
        <f>I31+M31</f>
        <v>1225</v>
      </c>
      <c r="T32" s="353"/>
      <c r="U32" s="354"/>
      <c r="V32" s="39"/>
      <c r="W32" s="39"/>
      <c r="X32" s="48" t="s">
        <v>98</v>
      </c>
      <c r="Y32" s="48"/>
      <c r="Z32" s="47">
        <f>I31</f>
        <v>725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-2020</v>
      </c>
      <c r="AG33" s="35"/>
    </row>
    <row r="34" spans="1:33" ht="15.75" thickBot="1">
      <c r="A34" s="345">
        <f>A2</f>
        <v>45728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CLOUDY</v>
      </c>
      <c r="K34" s="347"/>
      <c r="L34" s="349" t="s">
        <v>101</v>
      </c>
      <c r="M34" s="350"/>
      <c r="N34" s="348"/>
      <c r="O34" s="346" t="str">
        <f>O2</f>
        <v>HENDRA</v>
      </c>
      <c r="P34" s="346"/>
      <c r="Q34" s="347"/>
      <c r="R34" s="349" t="s">
        <v>5</v>
      </c>
      <c r="S34" s="348"/>
      <c r="T34" s="343">
        <f>T2</f>
        <v>3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/>
      <c r="C37" s="59"/>
      <c r="D37" s="216"/>
      <c r="E37" s="153"/>
      <c r="F37" s="147"/>
      <c r="G37" s="108"/>
      <c r="H37" s="81"/>
      <c r="I37" s="260"/>
      <c r="J37" s="259" t="str">
        <f>IF(G37="RSL","60.00","0")</f>
        <v>0</v>
      </c>
      <c r="K37" s="259" t="str">
        <f>IF(G37="GVS","37.5",IF(G37="GVM","41.5",IF(G37="GVL","50",IF(G37="PCS/X","62.5",IF(G37="PCS/HP","79.16",IF(G37="PCL/X","79.16",IF(G37="PCL/HP","100.00","0")))))))</f>
        <v>0</v>
      </c>
      <c r="L37" s="236"/>
      <c r="M37" s="236"/>
      <c r="N37" s="232"/>
      <c r="O37" s="326"/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/>
      <c r="C38" s="58"/>
      <c r="D38" s="167"/>
      <c r="E38" s="153"/>
      <c r="F38" s="151"/>
      <c r="G38" s="108"/>
      <c r="H38" s="81"/>
      <c r="I38" s="260"/>
      <c r="J38" s="259" t="str">
        <f t="shared" ref="J38:J61" si="5">IF(G38="RSL","60.00","0")</f>
        <v>0</v>
      </c>
      <c r="K38" s="259" t="str">
        <f t="shared" ref="K38:K61" si="6">IF(G38="GVS","37.5",IF(G38="GVM","41.5",IF(G38="GVL","50",IF(G38="PCS/X","62.5",IF(G38="PCS/HP","79.16",IF(G38="PCL/X","79.16",IF(G38="PCL/HP","100.00","0")))))))</f>
        <v>0</v>
      </c>
      <c r="L38" s="236"/>
      <c r="M38" s="236"/>
      <c r="N38" s="232"/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7">A38+1</f>
        <v>28</v>
      </c>
      <c r="B39" s="108"/>
      <c r="C39" s="26"/>
      <c r="D39" s="155"/>
      <c r="E39" s="153"/>
      <c r="F39" s="151"/>
      <c r="G39" s="108"/>
      <c r="H39" s="81"/>
      <c r="I39" s="260"/>
      <c r="J39" s="259" t="str">
        <f t="shared" si="5"/>
        <v>0</v>
      </c>
      <c r="K39" s="259" t="str">
        <f t="shared" si="6"/>
        <v>0</v>
      </c>
      <c r="L39" s="236"/>
      <c r="M39" s="236"/>
      <c r="N39" s="232"/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7"/>
        <v>29</v>
      </c>
      <c r="B40" s="175"/>
      <c r="C40" s="54"/>
      <c r="D40" s="156"/>
      <c r="E40" s="153"/>
      <c r="F40" s="152"/>
      <c r="G40" s="109"/>
      <c r="H40" s="81"/>
      <c r="I40" s="81"/>
      <c r="J40" s="259" t="str">
        <f t="shared" si="5"/>
        <v>0</v>
      </c>
      <c r="K40" s="259" t="str">
        <f t="shared" si="6"/>
        <v>0</v>
      </c>
      <c r="L40" s="236"/>
      <c r="M40" s="236"/>
      <c r="N40" s="232"/>
      <c r="O40" s="326"/>
      <c r="P40" s="326"/>
      <c r="Q40" s="326"/>
      <c r="R40" s="68"/>
      <c r="S40" s="61"/>
      <c r="T40" s="61"/>
      <c r="U40" s="62"/>
    </row>
    <row r="41" spans="1:33">
      <c r="A41" s="114">
        <f t="shared" si="7"/>
        <v>30</v>
      </c>
      <c r="B41" s="108"/>
      <c r="C41" s="54"/>
      <c r="D41" s="156"/>
      <c r="E41" s="153"/>
      <c r="F41" s="152"/>
      <c r="G41" s="109"/>
      <c r="H41" s="81"/>
      <c r="I41" s="81"/>
      <c r="J41" s="259" t="str">
        <f t="shared" si="5"/>
        <v>0</v>
      </c>
      <c r="K41" s="259" t="str">
        <f t="shared" si="6"/>
        <v>0</v>
      </c>
      <c r="L41" s="236"/>
      <c r="M41" s="236"/>
      <c r="N41" s="232"/>
      <c r="O41" s="326"/>
      <c r="P41" s="326"/>
      <c r="Q41" s="326"/>
      <c r="R41" s="70"/>
      <c r="S41" s="63"/>
      <c r="T41" s="63"/>
      <c r="U41" s="64"/>
    </row>
    <row r="42" spans="1:33">
      <c r="A42" s="114">
        <f t="shared" si="7"/>
        <v>31</v>
      </c>
      <c r="B42" s="175"/>
      <c r="C42" s="27"/>
      <c r="D42" s="157"/>
      <c r="E42" s="153"/>
      <c r="F42" s="146"/>
      <c r="G42" s="110"/>
      <c r="H42" s="113"/>
      <c r="I42" s="261"/>
      <c r="J42" s="259" t="str">
        <f t="shared" si="5"/>
        <v>0</v>
      </c>
      <c r="K42" s="259" t="str">
        <f t="shared" si="6"/>
        <v>0</v>
      </c>
      <c r="L42" s="236"/>
      <c r="M42" s="236"/>
      <c r="N42" s="232"/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7"/>
        <v>32</v>
      </c>
      <c r="B43" s="108"/>
      <c r="C43" s="17"/>
      <c r="D43" s="163"/>
      <c r="E43" s="153"/>
      <c r="F43" s="57"/>
      <c r="G43" s="132"/>
      <c r="H43" s="113"/>
      <c r="I43" s="260"/>
      <c r="J43" s="259" t="str">
        <f t="shared" si="5"/>
        <v>0</v>
      </c>
      <c r="K43" s="259" t="str">
        <f t="shared" si="6"/>
        <v>0</v>
      </c>
      <c r="L43" s="236"/>
      <c r="M43" s="236"/>
      <c r="N43" s="232"/>
      <c r="O43" s="326"/>
      <c r="P43" s="326"/>
      <c r="Q43" s="326"/>
      <c r="R43" s="68"/>
      <c r="S43" s="61"/>
      <c r="T43" s="61"/>
      <c r="U43" s="62"/>
    </row>
    <row r="44" spans="1:33">
      <c r="A44" s="114">
        <f t="shared" si="7"/>
        <v>33</v>
      </c>
      <c r="B44" s="175"/>
      <c r="C44" s="55"/>
      <c r="D44" s="158"/>
      <c r="E44" s="153"/>
      <c r="F44" s="146"/>
      <c r="G44" s="109"/>
      <c r="H44" s="113"/>
      <c r="I44" s="261"/>
      <c r="J44" s="259" t="str">
        <f t="shared" si="5"/>
        <v>0</v>
      </c>
      <c r="K44" s="259" t="str">
        <f t="shared" si="6"/>
        <v>0</v>
      </c>
      <c r="L44" s="236"/>
      <c r="M44" s="236"/>
      <c r="N44" s="232"/>
      <c r="O44" s="326"/>
      <c r="P44" s="326"/>
      <c r="Q44" s="326"/>
      <c r="R44" s="5"/>
      <c r="S44" s="61"/>
      <c r="T44" s="61"/>
      <c r="U44" s="62"/>
    </row>
    <row r="45" spans="1:33">
      <c r="A45" s="114">
        <f t="shared" si="7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5"/>
        <v>0</v>
      </c>
      <c r="K45" s="259" t="str">
        <f t="shared" si="6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7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5"/>
        <v>0</v>
      </c>
      <c r="K46" s="259" t="str">
        <f t="shared" si="6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7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5"/>
        <v>0</v>
      </c>
      <c r="K47" s="259" t="str">
        <f t="shared" si="6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7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5"/>
        <v>0</v>
      </c>
      <c r="K48" s="259" t="str">
        <f t="shared" si="6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7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5"/>
        <v>0</v>
      </c>
      <c r="K49" s="259" t="str">
        <f t="shared" si="6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7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5"/>
        <v>0</v>
      </c>
      <c r="K50" s="259" t="str">
        <f t="shared" si="6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7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5"/>
        <v>0</v>
      </c>
      <c r="K51" s="259" t="str">
        <f t="shared" si="6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7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5"/>
        <v>0</v>
      </c>
      <c r="K52" s="259" t="str">
        <f t="shared" si="6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7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5"/>
        <v>0</v>
      </c>
      <c r="K53" s="259" t="str">
        <f t="shared" si="6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7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5"/>
        <v>0</v>
      </c>
      <c r="K54" s="259" t="str">
        <f t="shared" si="6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7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5"/>
        <v>0</v>
      </c>
      <c r="K55" s="259" t="str">
        <f t="shared" si="6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7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5"/>
        <v>0</v>
      </c>
      <c r="K56" s="259" t="str">
        <f t="shared" si="6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7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5"/>
        <v>0</v>
      </c>
      <c r="K57" s="259" t="str">
        <f t="shared" si="6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7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5"/>
        <v>0</v>
      </c>
      <c r="K58" s="259" t="str">
        <f t="shared" si="6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7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5"/>
        <v>0</v>
      </c>
      <c r="K59" s="259" t="str">
        <f t="shared" si="6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7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5"/>
        <v>0</v>
      </c>
      <c r="K60" s="259" t="str">
        <f t="shared" si="6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7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5"/>
        <v>0</v>
      </c>
      <c r="K61" s="259" t="str">
        <f t="shared" si="6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45728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CLOUDY</v>
      </c>
      <c r="K66" s="347"/>
      <c r="L66" s="349" t="s">
        <v>101</v>
      </c>
      <c r="M66" s="350"/>
      <c r="N66" s="348"/>
      <c r="O66" s="346" t="str">
        <f>O34</f>
        <v>HENDRA</v>
      </c>
      <c r="P66" s="346"/>
      <c r="Q66" s="347"/>
      <c r="R66" s="349" t="s">
        <v>5</v>
      </c>
      <c r="S66" s="348"/>
      <c r="T66" s="343">
        <f>T34</f>
        <v>3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9">IF(G70="RSL","60.00","0")</f>
        <v>0</v>
      </c>
      <c r="K70" s="259" t="str">
        <f t="shared" ref="K70:K93" si="10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1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9"/>
        <v>0</v>
      </c>
      <c r="K71" s="259" t="str">
        <f t="shared" si="10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1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9"/>
        <v>0</v>
      </c>
      <c r="K72" s="259" t="str">
        <f t="shared" si="10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1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9"/>
        <v>0</v>
      </c>
      <c r="K73" s="259" t="str">
        <f t="shared" si="10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1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9"/>
        <v>0</v>
      </c>
      <c r="K74" s="259" t="str">
        <f t="shared" si="10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1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9"/>
        <v>0</v>
      </c>
      <c r="K75" s="259" t="str">
        <f t="shared" si="10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1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9"/>
        <v>0</v>
      </c>
      <c r="K76" s="259" t="str">
        <f t="shared" si="10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1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9"/>
        <v>0</v>
      </c>
      <c r="K77" s="259" t="str">
        <f t="shared" si="10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1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9"/>
        <v>0</v>
      </c>
      <c r="K78" s="259" t="str">
        <f t="shared" si="10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1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9"/>
        <v>0</v>
      </c>
      <c r="K79" s="259" t="str">
        <f t="shared" si="10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1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9"/>
        <v>0</v>
      </c>
      <c r="K80" s="259" t="str">
        <f t="shared" si="10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1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9"/>
        <v>0</v>
      </c>
      <c r="K81" s="259" t="str">
        <f t="shared" si="10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1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9"/>
        <v>0</v>
      </c>
      <c r="K82" s="259" t="str">
        <f t="shared" si="10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1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9"/>
        <v>0</v>
      </c>
      <c r="K83" s="259" t="str">
        <f t="shared" si="10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1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9"/>
        <v>0</v>
      </c>
      <c r="K84" s="259" t="str">
        <f t="shared" si="10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1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9"/>
        <v>0</v>
      </c>
      <c r="K85" s="259" t="str">
        <f t="shared" si="10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1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9"/>
        <v>0</v>
      </c>
      <c r="K86" s="259" t="str">
        <f t="shared" si="10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1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9"/>
        <v>0</v>
      </c>
      <c r="K87" s="259" t="str">
        <f t="shared" si="10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1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9"/>
        <v>0</v>
      </c>
      <c r="K88" s="259" t="str">
        <f t="shared" si="10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1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9"/>
        <v>0</v>
      </c>
      <c r="K89" s="259" t="str">
        <f t="shared" si="10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1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9"/>
        <v>0</v>
      </c>
      <c r="K90" s="259" t="str">
        <f t="shared" si="10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1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9"/>
        <v>0</v>
      </c>
      <c r="K91" s="259" t="str">
        <f t="shared" si="10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1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9"/>
        <v>0</v>
      </c>
      <c r="K92" s="259" t="str">
        <f t="shared" si="10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1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9"/>
        <v>0</v>
      </c>
      <c r="K93" s="259" t="str">
        <f t="shared" si="10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7:Q7"/>
    <mergeCell ref="O8:Q8"/>
    <mergeCell ref="O9:Q9"/>
    <mergeCell ref="O10:Q10"/>
    <mergeCell ref="O11:Q11"/>
    <mergeCell ref="O12:Q12"/>
    <mergeCell ref="O13:Q13"/>
    <mergeCell ref="O6:Q6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1" right="1" top="1" bottom="1" header="0.5" footer="0.5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A2" sqref="A2:G2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7" width="4.62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45729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165</v>
      </c>
      <c r="K2" s="347"/>
      <c r="L2" s="349" t="s">
        <v>3</v>
      </c>
      <c r="M2" s="350"/>
      <c r="N2" s="348"/>
      <c r="O2" s="346" t="s">
        <v>4</v>
      </c>
      <c r="P2" s="346"/>
      <c r="Q2" s="347"/>
      <c r="R2" s="349" t="s">
        <v>5</v>
      </c>
      <c r="S2" s="348"/>
      <c r="T2" s="343">
        <v>4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3.5">
      <c r="A4" s="133" t="s">
        <v>10</v>
      </c>
      <c r="B4" s="176" t="s">
        <v>11</v>
      </c>
      <c r="C4" s="142" t="s">
        <v>12</v>
      </c>
      <c r="D4" s="166" t="s">
        <v>13</v>
      </c>
      <c r="E4" s="142" t="s">
        <v>14</v>
      </c>
      <c r="F4" s="176" t="s">
        <v>15</v>
      </c>
      <c r="G4" s="176" t="s">
        <v>16</v>
      </c>
      <c r="H4" s="176" t="s">
        <v>17</v>
      </c>
      <c r="I4" s="176" t="s">
        <v>18</v>
      </c>
      <c r="J4" s="176" t="s">
        <v>19</v>
      </c>
      <c r="K4" s="176" t="s">
        <v>20</v>
      </c>
      <c r="L4" s="176" t="s">
        <v>21</v>
      </c>
      <c r="M4" s="176" t="s">
        <v>22</v>
      </c>
      <c r="N4" s="176" t="s">
        <v>23</v>
      </c>
      <c r="O4" s="344" t="s">
        <v>24</v>
      </c>
      <c r="P4" s="344"/>
      <c r="Q4" s="344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298">
        <v>1</v>
      </c>
      <c r="B5" s="268">
        <v>23244</v>
      </c>
      <c r="C5" s="299" t="s">
        <v>166</v>
      </c>
      <c r="D5" s="300" t="s">
        <v>167</v>
      </c>
      <c r="E5" s="268" t="s">
        <v>35</v>
      </c>
      <c r="F5" s="271">
        <v>815</v>
      </c>
      <c r="G5" s="268" t="s">
        <v>168</v>
      </c>
      <c r="H5" s="272"/>
      <c r="I5" s="272">
        <v>300</v>
      </c>
      <c r="J5" s="273" t="str">
        <f>IF(G5="RSL","60.00","0")</f>
        <v>0</v>
      </c>
      <c r="K5" s="273" t="str">
        <f>IF(G5="GVS","37.5",IF(G5="GVM","41.5",IF(G5="GVL","50",IF(G5="PCS/X","62.5",IF(G5="PCS/HP","79.16",IF(G5="PCL/X","79.16",IF(G5="PCL/HP","100.00","0")))))))</f>
        <v>0</v>
      </c>
      <c r="L5" s="272"/>
      <c r="M5" s="272"/>
      <c r="N5" s="269" t="s">
        <v>128</v>
      </c>
      <c r="O5" s="391"/>
      <c r="P5" s="391"/>
      <c r="Q5" s="391"/>
      <c r="R5" s="32" t="s">
        <v>4</v>
      </c>
      <c r="S5" s="30">
        <v>0.32291666666666669</v>
      </c>
      <c r="T5" s="31">
        <v>0.70833333333333337</v>
      </c>
      <c r="U5" s="82">
        <f t="shared" ref="U5:U15" si="0">(T5-S5)*24</f>
        <v>9.25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114">
        <v>2</v>
      </c>
      <c r="B6" s="219">
        <v>23245</v>
      </c>
      <c r="C6" s="223" t="s">
        <v>169</v>
      </c>
      <c r="D6" s="234" t="s">
        <v>170</v>
      </c>
      <c r="E6" s="219" t="s">
        <v>35</v>
      </c>
      <c r="F6" s="235">
        <v>940</v>
      </c>
      <c r="G6" s="219" t="s">
        <v>41</v>
      </c>
      <c r="H6" s="236"/>
      <c r="I6" s="220">
        <v>75</v>
      </c>
      <c r="J6" s="259" t="str">
        <f t="shared" ref="J6:J29" si="1">IF(G6="RSL","60.00","0")</f>
        <v>0</v>
      </c>
      <c r="K6" s="259" t="str">
        <f t="shared" ref="K6:K29" si="2">IF(G6="GVS","37.5",IF(G6="GVM","41.5",IF(G6="GVL","50",IF(G6="PCS/X","62.5",IF(G6="PCS/HP","79.16",IF(G6="PCL/X","79.16",IF(G6="PCL/HP","100.00","0")))))))</f>
        <v>0</v>
      </c>
      <c r="L6" s="236"/>
      <c r="M6" s="236"/>
      <c r="N6" s="232" t="s">
        <v>4</v>
      </c>
      <c r="O6" s="326"/>
      <c r="P6" s="326"/>
      <c r="Q6" s="326"/>
      <c r="R6" s="115" t="s">
        <v>128</v>
      </c>
      <c r="S6" s="30">
        <v>0.33333333333333331</v>
      </c>
      <c r="T6" s="31">
        <v>0.70833333333333337</v>
      </c>
      <c r="U6" s="82">
        <f t="shared" si="0"/>
        <v>9.0000000000000018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114">
        <v>3</v>
      </c>
      <c r="B7" s="219">
        <v>23246</v>
      </c>
      <c r="C7" s="223" t="s">
        <v>171</v>
      </c>
      <c r="D7" s="234" t="s">
        <v>172</v>
      </c>
      <c r="E7" s="219" t="s">
        <v>53</v>
      </c>
      <c r="F7" s="235">
        <v>940</v>
      </c>
      <c r="G7" s="219" t="s">
        <v>173</v>
      </c>
      <c r="H7" s="236"/>
      <c r="I7" s="220"/>
      <c r="J7" s="259" t="str">
        <f t="shared" si="1"/>
        <v>0</v>
      </c>
      <c r="K7" s="259">
        <v>125</v>
      </c>
      <c r="L7" s="236"/>
      <c r="M7" s="236"/>
      <c r="N7" s="232" t="s">
        <v>4</v>
      </c>
      <c r="O7" s="326" t="s">
        <v>174</v>
      </c>
      <c r="P7" s="326"/>
      <c r="Q7" s="326"/>
      <c r="R7" s="116" t="s">
        <v>175</v>
      </c>
      <c r="S7" s="30">
        <v>0.38541666666666669</v>
      </c>
      <c r="T7" s="31">
        <v>0.6875</v>
      </c>
      <c r="U7" s="82">
        <f t="shared" si="0"/>
        <v>7.25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298">
        <v>4</v>
      </c>
      <c r="B8" s="268">
        <v>23247</v>
      </c>
      <c r="C8" s="269" t="s">
        <v>176</v>
      </c>
      <c r="D8" s="300" t="s">
        <v>177</v>
      </c>
      <c r="E8" s="268" t="s">
        <v>35</v>
      </c>
      <c r="F8" s="271">
        <v>945</v>
      </c>
      <c r="G8" s="268" t="s">
        <v>168</v>
      </c>
      <c r="H8" s="272"/>
      <c r="I8" s="272">
        <v>350</v>
      </c>
      <c r="J8" s="273" t="str">
        <f t="shared" si="1"/>
        <v>0</v>
      </c>
      <c r="K8" s="273" t="str">
        <f t="shared" si="2"/>
        <v>0</v>
      </c>
      <c r="L8" s="272"/>
      <c r="M8" s="272"/>
      <c r="N8" s="269" t="s">
        <v>4</v>
      </c>
      <c r="O8" s="391"/>
      <c r="P8" s="391"/>
      <c r="Q8" s="391"/>
      <c r="R8" s="25" t="s">
        <v>178</v>
      </c>
      <c r="S8" s="30">
        <v>0.41666666666666669</v>
      </c>
      <c r="T8" s="31">
        <v>0.6875</v>
      </c>
      <c r="U8" s="82">
        <f t="shared" si="0"/>
        <v>6.5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117">
        <v>5</v>
      </c>
      <c r="B9" s="219">
        <v>23248</v>
      </c>
      <c r="C9" s="225" t="s">
        <v>179</v>
      </c>
      <c r="D9" s="237" t="s">
        <v>180</v>
      </c>
      <c r="E9" s="219" t="s">
        <v>35</v>
      </c>
      <c r="F9" s="238">
        <v>1000</v>
      </c>
      <c r="G9" s="226" t="s">
        <v>36</v>
      </c>
      <c r="H9" s="236"/>
      <c r="I9" s="220"/>
      <c r="J9" s="259" t="str">
        <f t="shared" si="1"/>
        <v>60.00</v>
      </c>
      <c r="K9" s="259" t="str">
        <f t="shared" si="2"/>
        <v>0</v>
      </c>
      <c r="L9" s="236"/>
      <c r="M9" s="236"/>
      <c r="N9" s="232" t="s">
        <v>128</v>
      </c>
      <c r="O9" s="326" t="s">
        <v>181</v>
      </c>
      <c r="P9" s="326"/>
      <c r="Q9" s="326"/>
      <c r="R9" s="25"/>
      <c r="S9" s="30"/>
      <c r="T9" s="31"/>
      <c r="U9" s="82">
        <f t="shared" si="0"/>
        <v>0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301">
        <v>6</v>
      </c>
      <c r="B10" s="262">
        <v>23249</v>
      </c>
      <c r="C10" s="302" t="s">
        <v>182</v>
      </c>
      <c r="D10" s="303" t="s">
        <v>183</v>
      </c>
      <c r="E10" s="262" t="s">
        <v>35</v>
      </c>
      <c r="F10" s="263">
        <v>1010</v>
      </c>
      <c r="G10" s="304" t="s">
        <v>49</v>
      </c>
      <c r="H10" s="266"/>
      <c r="I10" s="266"/>
      <c r="J10" s="267" t="str">
        <f t="shared" si="1"/>
        <v>0</v>
      </c>
      <c r="K10" s="267" t="str">
        <f t="shared" si="2"/>
        <v>79.16</v>
      </c>
      <c r="L10" s="266"/>
      <c r="M10" s="266">
        <v>475</v>
      </c>
      <c r="N10" s="263" t="s">
        <v>4</v>
      </c>
      <c r="O10" s="392" t="s">
        <v>184</v>
      </c>
      <c r="P10" s="392"/>
      <c r="Q10" s="392"/>
      <c r="R10" s="25"/>
      <c r="S10" s="30"/>
      <c r="T10" s="31"/>
      <c r="U10" s="82">
        <f t="shared" si="0"/>
        <v>0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117">
        <v>7</v>
      </c>
      <c r="B11" s="219">
        <v>23250</v>
      </c>
      <c r="C11" s="222" t="s">
        <v>185</v>
      </c>
      <c r="D11" s="240" t="s">
        <v>186</v>
      </c>
      <c r="E11" s="219" t="s">
        <v>35</v>
      </c>
      <c r="F11" s="223">
        <v>1015</v>
      </c>
      <c r="G11" s="229" t="s">
        <v>41</v>
      </c>
      <c r="H11" s="79">
        <v>120</v>
      </c>
      <c r="I11" s="220"/>
      <c r="J11" s="259" t="str">
        <f t="shared" si="1"/>
        <v>0</v>
      </c>
      <c r="K11" s="259" t="str">
        <f t="shared" si="2"/>
        <v>0</v>
      </c>
      <c r="L11" s="236"/>
      <c r="M11" s="236"/>
      <c r="N11" s="232" t="s">
        <v>4</v>
      </c>
      <c r="O11" s="326"/>
      <c r="P11" s="326"/>
      <c r="Q11" s="326"/>
      <c r="R11" s="25"/>
      <c r="S11" s="30"/>
      <c r="T11" s="31"/>
      <c r="U11" s="82">
        <f t="shared" si="0"/>
        <v>0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23251</v>
      </c>
      <c r="C12" s="230" t="s">
        <v>187</v>
      </c>
      <c r="D12" s="241" t="s">
        <v>188</v>
      </c>
      <c r="E12" s="219" t="s">
        <v>53</v>
      </c>
      <c r="F12" s="225">
        <v>1025</v>
      </c>
      <c r="G12" s="226" t="s">
        <v>41</v>
      </c>
      <c r="H12" s="79"/>
      <c r="I12" s="220">
        <v>95</v>
      </c>
      <c r="J12" s="259" t="str">
        <f t="shared" si="1"/>
        <v>0</v>
      </c>
      <c r="K12" s="259" t="str">
        <f t="shared" si="2"/>
        <v>0</v>
      </c>
      <c r="L12" s="236"/>
      <c r="M12" s="236"/>
      <c r="N12" s="232" t="s">
        <v>4</v>
      </c>
      <c r="O12" s="326"/>
      <c r="P12" s="326"/>
      <c r="Q12" s="326"/>
      <c r="R12" s="25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>
        <v>23252</v>
      </c>
      <c r="C13" s="230" t="s">
        <v>189</v>
      </c>
      <c r="D13" s="241" t="s">
        <v>190</v>
      </c>
      <c r="E13" s="219" t="s">
        <v>35</v>
      </c>
      <c r="F13" s="225">
        <v>1050</v>
      </c>
      <c r="G13" s="226" t="s">
        <v>41</v>
      </c>
      <c r="H13" s="79"/>
      <c r="I13" s="220">
        <v>75</v>
      </c>
      <c r="J13" s="259" t="str">
        <f t="shared" si="1"/>
        <v>0</v>
      </c>
      <c r="K13" s="259" t="str">
        <f t="shared" si="2"/>
        <v>0</v>
      </c>
      <c r="L13" s="236"/>
      <c r="M13" s="236"/>
      <c r="N13" s="232" t="s">
        <v>4</v>
      </c>
      <c r="O13" s="326"/>
      <c r="P13" s="326"/>
      <c r="Q13" s="326"/>
      <c r="R13" s="32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117">
        <v>10</v>
      </c>
      <c r="B14" s="219">
        <v>23253</v>
      </c>
      <c r="C14" s="232" t="s">
        <v>191</v>
      </c>
      <c r="D14" s="242" t="s">
        <v>192</v>
      </c>
      <c r="E14" s="219" t="s">
        <v>35</v>
      </c>
      <c r="F14" s="223">
        <v>1050</v>
      </c>
      <c r="G14" s="226" t="s">
        <v>49</v>
      </c>
      <c r="H14" s="79"/>
      <c r="I14" s="220"/>
      <c r="J14" s="259" t="str">
        <f t="shared" si="1"/>
        <v>0</v>
      </c>
      <c r="K14" s="259" t="str">
        <f t="shared" si="2"/>
        <v>79.16</v>
      </c>
      <c r="L14" s="236"/>
      <c r="M14" s="236"/>
      <c r="N14" s="232" t="s">
        <v>4</v>
      </c>
      <c r="O14" s="326" t="s">
        <v>193</v>
      </c>
      <c r="P14" s="326"/>
      <c r="Q14" s="326"/>
      <c r="R14" s="25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>
        <v>23254</v>
      </c>
      <c r="C15" s="232" t="s">
        <v>194</v>
      </c>
      <c r="D15" s="242" t="s">
        <v>195</v>
      </c>
      <c r="E15" s="219" t="s">
        <v>53</v>
      </c>
      <c r="F15" s="223">
        <v>1100</v>
      </c>
      <c r="G15" s="226" t="s">
        <v>41</v>
      </c>
      <c r="H15" s="79">
        <v>75</v>
      </c>
      <c r="I15" s="220"/>
      <c r="J15" s="259" t="str">
        <f t="shared" si="1"/>
        <v>0</v>
      </c>
      <c r="K15" s="259" t="str">
        <f t="shared" si="2"/>
        <v>0</v>
      </c>
      <c r="L15" s="236"/>
      <c r="M15" s="236"/>
      <c r="N15" s="232" t="s">
        <v>4</v>
      </c>
      <c r="O15" s="326"/>
      <c r="P15" s="326"/>
      <c r="Q15" s="326"/>
      <c r="R15" s="25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>
        <v>23255</v>
      </c>
      <c r="C16" s="232" t="s">
        <v>196</v>
      </c>
      <c r="D16" s="242" t="s">
        <v>197</v>
      </c>
      <c r="E16" s="219" t="s">
        <v>35</v>
      </c>
      <c r="F16" s="223">
        <v>1110</v>
      </c>
      <c r="G16" s="226" t="s">
        <v>173</v>
      </c>
      <c r="H16" s="79"/>
      <c r="I16" s="220"/>
      <c r="J16" s="259" t="str">
        <f t="shared" si="1"/>
        <v>0</v>
      </c>
      <c r="K16" s="259" t="str">
        <f t="shared" si="2"/>
        <v>100.00</v>
      </c>
      <c r="L16" s="236"/>
      <c r="M16" s="236"/>
      <c r="N16" s="232" t="s">
        <v>4</v>
      </c>
      <c r="O16" s="326" t="s">
        <v>198</v>
      </c>
      <c r="P16" s="326"/>
      <c r="Q16" s="326"/>
      <c r="R16" s="72">
        <f>H32/U16</f>
        <v>0.5625</v>
      </c>
      <c r="S16" s="73">
        <f>H32/(U16-U5)</f>
        <v>0.79120879120879117</v>
      </c>
      <c r="T16" s="73">
        <f>C32/U16</f>
        <v>61.51</v>
      </c>
      <c r="U16" s="73">
        <f>SUM(U5:U15)</f>
        <v>32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>
        <v>23256</v>
      </c>
      <c r="C17" s="222" t="s">
        <v>199</v>
      </c>
      <c r="D17" s="240" t="s">
        <v>200</v>
      </c>
      <c r="E17" s="219" t="s">
        <v>35</v>
      </c>
      <c r="F17" s="223">
        <v>1300</v>
      </c>
      <c r="G17" s="229" t="s">
        <v>201</v>
      </c>
      <c r="H17" s="79">
        <v>75</v>
      </c>
      <c r="I17" s="220"/>
      <c r="J17" s="259" t="str">
        <f t="shared" si="1"/>
        <v>0</v>
      </c>
      <c r="K17" s="259" t="str">
        <f t="shared" si="2"/>
        <v>0</v>
      </c>
      <c r="L17" s="236"/>
      <c r="M17" s="236"/>
      <c r="N17" s="232" t="s">
        <v>4</v>
      </c>
      <c r="O17" s="326"/>
      <c r="P17" s="326"/>
      <c r="Q17" s="326"/>
      <c r="R17" s="74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>
        <v>23257</v>
      </c>
      <c r="C18" s="222" t="s">
        <v>202</v>
      </c>
      <c r="D18" s="240" t="s">
        <v>203</v>
      </c>
      <c r="E18" s="219" t="s">
        <v>35</v>
      </c>
      <c r="F18" s="223">
        <v>1315</v>
      </c>
      <c r="G18" s="231" t="s">
        <v>41</v>
      </c>
      <c r="H18" s="79"/>
      <c r="I18" s="220">
        <v>75</v>
      </c>
      <c r="J18" s="259" t="str">
        <f t="shared" si="1"/>
        <v>0</v>
      </c>
      <c r="K18" s="259" t="str">
        <f t="shared" si="2"/>
        <v>0</v>
      </c>
      <c r="L18" s="236"/>
      <c r="M18" s="236"/>
      <c r="N18" s="232" t="s">
        <v>4</v>
      </c>
      <c r="O18" s="326"/>
      <c r="P18" s="326"/>
      <c r="Q18" s="326"/>
      <c r="R18" s="76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>
        <v>23258</v>
      </c>
      <c r="C19" s="222" t="s">
        <v>204</v>
      </c>
      <c r="D19" s="240" t="s">
        <v>205</v>
      </c>
      <c r="E19" s="219" t="s">
        <v>35</v>
      </c>
      <c r="F19" s="223">
        <v>1330</v>
      </c>
      <c r="G19" s="229" t="s">
        <v>201</v>
      </c>
      <c r="H19" s="79"/>
      <c r="I19" s="220">
        <v>55</v>
      </c>
      <c r="J19" s="259" t="str">
        <f t="shared" si="1"/>
        <v>0</v>
      </c>
      <c r="K19" s="259" t="str">
        <f t="shared" si="2"/>
        <v>0</v>
      </c>
      <c r="L19" s="236"/>
      <c r="M19" s="236"/>
      <c r="N19" s="232" t="s">
        <v>4</v>
      </c>
      <c r="O19" s="326"/>
      <c r="P19" s="326"/>
      <c r="Q19" s="326"/>
      <c r="R19" s="83" t="s">
        <v>20</v>
      </c>
      <c r="S19" s="84">
        <f>COUNT(L5:M29,L37:M61,L69:M93)</f>
        <v>1</v>
      </c>
      <c r="T19" s="106">
        <f>SUM(L5:M29,L37:M61,L69:M93)</f>
        <v>475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>
        <v>23259</v>
      </c>
      <c r="C20" s="222" t="s">
        <v>206</v>
      </c>
      <c r="D20" s="240" t="s">
        <v>207</v>
      </c>
      <c r="E20" s="219" t="s">
        <v>53</v>
      </c>
      <c r="F20" s="223">
        <v>1345</v>
      </c>
      <c r="G20" s="229" t="s">
        <v>41</v>
      </c>
      <c r="H20" s="79"/>
      <c r="I20" s="220">
        <v>95</v>
      </c>
      <c r="J20" s="259" t="str">
        <f t="shared" si="1"/>
        <v>0</v>
      </c>
      <c r="K20" s="259" t="str">
        <f t="shared" si="2"/>
        <v>0</v>
      </c>
      <c r="L20" s="222"/>
      <c r="M20" s="222"/>
      <c r="N20" s="232" t="s">
        <v>4</v>
      </c>
      <c r="O20" s="326"/>
      <c r="P20" s="326"/>
      <c r="Q20" s="326"/>
      <c r="R20" s="118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>
        <v>23260</v>
      </c>
      <c r="C21" s="222" t="s">
        <v>208</v>
      </c>
      <c r="D21" s="240" t="s">
        <v>209</v>
      </c>
      <c r="E21" s="219" t="s">
        <v>35</v>
      </c>
      <c r="F21" s="223">
        <v>1430</v>
      </c>
      <c r="G21" s="231" t="s">
        <v>36</v>
      </c>
      <c r="H21" s="79"/>
      <c r="I21" s="220"/>
      <c r="J21" s="259" t="str">
        <f t="shared" si="1"/>
        <v>60.00</v>
      </c>
      <c r="K21" s="259" t="str">
        <f t="shared" si="2"/>
        <v>0</v>
      </c>
      <c r="L21" s="236"/>
      <c r="M21" s="236"/>
      <c r="N21" s="232" t="s">
        <v>4</v>
      </c>
      <c r="O21" s="326" t="s">
        <v>210</v>
      </c>
      <c r="P21" s="326"/>
      <c r="Q21" s="326"/>
      <c r="R21" s="103"/>
      <c r="S21" s="139"/>
      <c r="T21" s="138"/>
      <c r="U21" s="105"/>
      <c r="X21" s="38"/>
      <c r="Z21" s="39"/>
      <c r="AK21" s="39"/>
    </row>
    <row r="22" spans="1:44" ht="16.5" customHeight="1">
      <c r="A22" s="122">
        <v>18</v>
      </c>
      <c r="B22" s="219">
        <v>23261</v>
      </c>
      <c r="C22" s="221" t="s">
        <v>211</v>
      </c>
      <c r="D22" s="243" t="s">
        <v>212</v>
      </c>
      <c r="E22" s="219" t="s">
        <v>35</v>
      </c>
      <c r="F22" s="232">
        <v>1500</v>
      </c>
      <c r="G22" s="219" t="s">
        <v>41</v>
      </c>
      <c r="H22" s="79"/>
      <c r="I22" s="220">
        <v>75</v>
      </c>
      <c r="J22" s="259" t="str">
        <f t="shared" si="1"/>
        <v>0</v>
      </c>
      <c r="K22" s="259" t="str">
        <f t="shared" si="2"/>
        <v>0</v>
      </c>
      <c r="L22" s="236"/>
      <c r="M22" s="236"/>
      <c r="N22" s="232" t="s">
        <v>4</v>
      </c>
      <c r="O22" s="326"/>
      <c r="P22" s="326"/>
      <c r="Q22" s="326"/>
      <c r="R22" s="10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/>
      <c r="C23" s="221"/>
      <c r="D23" s="243"/>
      <c r="E23" s="219"/>
      <c r="F23" s="232"/>
      <c r="G23" s="219"/>
      <c r="H23" s="79"/>
      <c r="I23" s="220"/>
      <c r="J23" s="259" t="str">
        <f t="shared" si="1"/>
        <v>0</v>
      </c>
      <c r="K23" s="259" t="str">
        <f t="shared" si="2"/>
        <v>0</v>
      </c>
      <c r="L23" s="236"/>
      <c r="M23" s="236"/>
      <c r="N23" s="232" t="s">
        <v>4</v>
      </c>
      <c r="O23" s="326"/>
      <c r="P23" s="326"/>
      <c r="Q23" s="326"/>
      <c r="R23" s="10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/>
      <c r="C24" s="221"/>
      <c r="D24" s="243"/>
      <c r="E24" s="219"/>
      <c r="F24" s="232"/>
      <c r="G24" s="219"/>
      <c r="H24" s="79"/>
      <c r="I24" s="220"/>
      <c r="J24" s="259" t="str">
        <f t="shared" si="1"/>
        <v>0</v>
      </c>
      <c r="K24" s="259" t="str">
        <f t="shared" si="2"/>
        <v>0</v>
      </c>
      <c r="L24" s="236"/>
      <c r="M24" s="236"/>
      <c r="N24" s="232" t="s">
        <v>4</v>
      </c>
      <c r="O24" s="326"/>
      <c r="P24" s="326"/>
      <c r="Q24" s="326"/>
      <c r="R24" s="123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/>
      <c r="C25" s="232"/>
      <c r="D25" s="242"/>
      <c r="E25" s="219"/>
      <c r="F25" s="232"/>
      <c r="G25" s="219"/>
      <c r="H25" s="220"/>
      <c r="I25" s="220"/>
      <c r="J25" s="259" t="str">
        <f t="shared" si="1"/>
        <v>0</v>
      </c>
      <c r="K25" s="259" t="str">
        <f t="shared" si="2"/>
        <v>0</v>
      </c>
      <c r="L25" s="236"/>
      <c r="M25" s="236"/>
      <c r="N25" s="232" t="s">
        <v>4</v>
      </c>
      <c r="O25" s="326"/>
      <c r="P25" s="326"/>
      <c r="Q25" s="326"/>
      <c r="R25" s="90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1968.32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/>
      <c r="C26" s="224"/>
      <c r="D26" s="244"/>
      <c r="E26" s="219"/>
      <c r="F26" s="224"/>
      <c r="G26" s="231"/>
      <c r="H26" s="79"/>
      <c r="I26" s="220"/>
      <c r="J26" s="259" t="str">
        <f t="shared" si="1"/>
        <v>0</v>
      </c>
      <c r="K26" s="259" t="str">
        <f t="shared" si="2"/>
        <v>0</v>
      </c>
      <c r="L26" s="236"/>
      <c r="M26" s="236"/>
      <c r="N26" s="232" t="s">
        <v>4</v>
      </c>
      <c r="O26" s="326"/>
      <c r="P26" s="326"/>
      <c r="Q26" s="326"/>
      <c r="R26" s="102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/>
      <c r="C27" s="224"/>
      <c r="D27" s="244"/>
      <c r="E27" s="219"/>
      <c r="F27" s="224"/>
      <c r="G27" s="231"/>
      <c r="H27" s="79"/>
      <c r="I27" s="220"/>
      <c r="J27" s="259" t="str">
        <f t="shared" si="1"/>
        <v>0</v>
      </c>
      <c r="K27" s="259" t="str">
        <f t="shared" si="2"/>
        <v>0</v>
      </c>
      <c r="L27" s="236"/>
      <c r="M27" s="236"/>
      <c r="N27" s="232" t="s">
        <v>4</v>
      </c>
      <c r="O27" s="326"/>
      <c r="P27" s="326"/>
      <c r="Q27" s="326"/>
      <c r="R27" s="385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/>
      <c r="C28" s="224"/>
      <c r="D28" s="244"/>
      <c r="E28" s="219"/>
      <c r="F28" s="224"/>
      <c r="G28" s="231"/>
      <c r="H28" s="79"/>
      <c r="I28" s="220"/>
      <c r="J28" s="259" t="str">
        <f t="shared" si="1"/>
        <v>0</v>
      </c>
      <c r="K28" s="259" t="str">
        <f t="shared" si="2"/>
        <v>0</v>
      </c>
      <c r="L28" s="236"/>
      <c r="M28" s="236"/>
      <c r="N28" s="232" t="s">
        <v>4</v>
      </c>
      <c r="O28" s="326"/>
      <c r="P28" s="326"/>
      <c r="Q28" s="326"/>
      <c r="R28" s="387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/>
      <c r="C29" s="227"/>
      <c r="D29" s="239"/>
      <c r="E29" s="219"/>
      <c r="F29" s="224"/>
      <c r="G29" s="231"/>
      <c r="H29" s="79"/>
      <c r="I29" s="220"/>
      <c r="J29" s="259" t="str">
        <f t="shared" si="1"/>
        <v>0</v>
      </c>
      <c r="K29" s="259" t="str">
        <f t="shared" si="2"/>
        <v>0</v>
      </c>
      <c r="L29" s="236"/>
      <c r="M29" s="236"/>
      <c r="N29" s="232" t="s">
        <v>4</v>
      </c>
      <c r="O29" s="326"/>
      <c r="P29" s="326"/>
      <c r="Q29" s="326"/>
      <c r="R29" s="388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86"/>
      <c r="C30" s="386"/>
      <c r="D30" s="386"/>
      <c r="E30" s="358"/>
      <c r="F30" s="386"/>
      <c r="G30" s="386"/>
      <c r="H30" s="172">
        <f t="shared" ref="H30:M30" si="3">SUM(H5:H29)</f>
        <v>270</v>
      </c>
      <c r="I30" s="95">
        <f>SUM(I5:I29)</f>
        <v>1195</v>
      </c>
      <c r="J30" s="95">
        <f>J5+J6+J7+J8+J9+J10+J11+J12+J13+J14+J15+J16+J18+J19+J17+J20+J22+J23+J21+J24+J25+J26+J27+J28+J29</f>
        <v>120</v>
      </c>
      <c r="K30" s="95">
        <f>K5+K6+K7+K8+K9+K10+K11+K12+K13+K14+K15+K16+K18+K19+K17+K20+K22+K23+K21+K24+K25+K26+K27+K28+K29</f>
        <v>383.32</v>
      </c>
      <c r="L30" s="96">
        <f t="shared" si="3"/>
        <v>0</v>
      </c>
      <c r="M30" s="96">
        <f t="shared" si="3"/>
        <v>475</v>
      </c>
      <c r="N30" s="177" t="s">
        <v>90</v>
      </c>
      <c r="O30" s="177" t="s">
        <v>18</v>
      </c>
      <c r="P30" s="177" t="s">
        <v>20</v>
      </c>
      <c r="Q30" s="86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4">H30+H62+H94</f>
        <v>270</v>
      </c>
      <c r="I31" s="93">
        <f t="shared" si="4"/>
        <v>1195</v>
      </c>
      <c r="J31" s="93">
        <f t="shared" si="4"/>
        <v>120</v>
      </c>
      <c r="K31" s="93">
        <f>K30+K62+K94</f>
        <v>383.32</v>
      </c>
      <c r="L31" s="87">
        <f>L30+L62+L94</f>
        <v>0</v>
      </c>
      <c r="M31" s="87">
        <f>M30+M62+M94</f>
        <v>475</v>
      </c>
      <c r="N31" s="178">
        <f>COUNT(H5:H29,H37:H61,H69:H93)</f>
        <v>3</v>
      </c>
      <c r="O31" s="94">
        <f>COUNT(I5:I29,I37:I61,I69:I93)</f>
        <v>9</v>
      </c>
      <c r="P31" s="94">
        <f>COUNTIF(G5:G29,"G*")+COUNTIF(G37:G61,"G*")+COUNTIF(G69:G93,"G*")+COUNTIF(G5:G29,"P*")+COUNTIF(G37:G61,"P*")+COUNTIF(G69:G93,"P*")</f>
        <v>4</v>
      </c>
      <c r="Q31" s="107">
        <f>COUNTIF(G5:G29,"RSL*")+COUNTIF(G37:G61,"RSL*")+COUNTIF(G69:G93,"RSL*")</f>
        <v>2</v>
      </c>
      <c r="R31" s="88" t="s">
        <v>92</v>
      </c>
      <c r="S31" s="101">
        <f>H31+L31-U28-U29-U30</f>
        <v>270</v>
      </c>
      <c r="T31" s="351">
        <f>H31+I31+L31+M31</f>
        <v>1940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1968.32</v>
      </c>
      <c r="D32" s="168"/>
      <c r="E32" s="97"/>
      <c r="F32" s="367" t="s">
        <v>95</v>
      </c>
      <c r="G32" s="367"/>
      <c r="H32" s="99">
        <f>COUNT(B5:B29,B37:B61,B69:B93)</f>
        <v>18</v>
      </c>
      <c r="I32" s="368" t="s">
        <v>96</v>
      </c>
      <c r="J32" s="368"/>
      <c r="K32" s="98">
        <f>C32/H32</f>
        <v>109.35111111111111</v>
      </c>
      <c r="L32" s="179"/>
      <c r="M32" s="179"/>
      <c r="N32" s="179">
        <f>H31/C32</f>
        <v>0.13717281742806048</v>
      </c>
      <c r="O32" s="179">
        <f>I31/C32</f>
        <v>0.60711672898715663</v>
      </c>
      <c r="P32" s="179">
        <f>K31/C32</f>
        <v>0.19474475695008941</v>
      </c>
      <c r="Q32" s="100">
        <f>J31/C32</f>
        <v>6.0965696634693547E-2</v>
      </c>
      <c r="R32" s="89" t="s">
        <v>97</v>
      </c>
      <c r="S32" s="174">
        <f>I31+M31</f>
        <v>1670</v>
      </c>
      <c r="T32" s="353"/>
      <c r="U32" s="354"/>
      <c r="V32" s="39"/>
      <c r="W32" s="39"/>
      <c r="X32" s="48" t="s">
        <v>98</v>
      </c>
      <c r="Y32" s="48"/>
      <c r="Z32" s="47">
        <f>I31</f>
        <v>1195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-1550</v>
      </c>
      <c r="AG33" s="35"/>
    </row>
    <row r="34" spans="1:33" ht="15.75" thickBot="1">
      <c r="A34" s="345">
        <f>A2</f>
        <v>45729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SUNNY</v>
      </c>
      <c r="K34" s="347"/>
      <c r="L34" s="349" t="s">
        <v>101</v>
      </c>
      <c r="M34" s="350"/>
      <c r="N34" s="348"/>
      <c r="O34" s="346" t="str">
        <f>O2</f>
        <v>SURESH</v>
      </c>
      <c r="P34" s="346"/>
      <c r="Q34" s="347"/>
      <c r="R34" s="349" t="s">
        <v>5</v>
      </c>
      <c r="S34" s="348"/>
      <c r="T34" s="343">
        <f>T2</f>
        <v>4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/>
      <c r="C37" s="59"/>
      <c r="D37" s="216"/>
      <c r="E37" s="153"/>
      <c r="F37" s="147"/>
      <c r="G37" s="108"/>
      <c r="H37" s="81"/>
      <c r="I37" s="260"/>
      <c r="J37" s="259" t="str">
        <f>IF(G37="RSL","60.00","0")</f>
        <v>0</v>
      </c>
      <c r="K37" s="259" t="str">
        <f>IF(G37="GVS","37.5",IF(G37="GVM","41.5",IF(G37="GVL","50",IF(G37="PCS/X","62.5",IF(G37="PCS/HP","79.16",IF(G37="PCL/X","79.16",IF(G37="PCL/HP","100.00","0")))))))</f>
        <v>0</v>
      </c>
      <c r="L37" s="236"/>
      <c r="M37" s="236"/>
      <c r="N37" s="232"/>
      <c r="O37" s="326"/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/>
      <c r="C38" s="58"/>
      <c r="D38" s="167"/>
      <c r="E38" s="153"/>
      <c r="F38" s="151"/>
      <c r="G38" s="108"/>
      <c r="H38" s="81"/>
      <c r="I38" s="260"/>
      <c r="J38" s="259" t="str">
        <f t="shared" ref="J38:J61" si="5">IF(G38="RSL","60.00","0")</f>
        <v>0</v>
      </c>
      <c r="K38" s="259" t="str">
        <f t="shared" ref="K38:K61" si="6">IF(G38="GVS","37.5",IF(G38="GVM","41.5",IF(G38="GVL","50",IF(G38="PCS/X","62.5",IF(G38="PCS/HP","79.16",IF(G38="PCL/X","79.16",IF(G38="PCL/HP","100.00","0")))))))</f>
        <v>0</v>
      </c>
      <c r="L38" s="236"/>
      <c r="M38" s="236"/>
      <c r="N38" s="232"/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7">A38+1</f>
        <v>28</v>
      </c>
      <c r="B39" s="108"/>
      <c r="C39" s="26"/>
      <c r="D39" s="155"/>
      <c r="E39" s="153"/>
      <c r="F39" s="151"/>
      <c r="G39" s="108"/>
      <c r="H39" s="81"/>
      <c r="I39" s="260"/>
      <c r="J39" s="259" t="str">
        <f t="shared" si="5"/>
        <v>0</v>
      </c>
      <c r="K39" s="259" t="str">
        <f t="shared" si="6"/>
        <v>0</v>
      </c>
      <c r="L39" s="236"/>
      <c r="M39" s="236"/>
      <c r="N39" s="232"/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7"/>
        <v>29</v>
      </c>
      <c r="B40" s="175"/>
      <c r="C40" s="54"/>
      <c r="D40" s="156"/>
      <c r="E40" s="153"/>
      <c r="F40" s="152"/>
      <c r="G40" s="109"/>
      <c r="H40" s="81"/>
      <c r="I40" s="81"/>
      <c r="J40" s="259" t="str">
        <f t="shared" si="5"/>
        <v>0</v>
      </c>
      <c r="K40" s="259" t="str">
        <f t="shared" si="6"/>
        <v>0</v>
      </c>
      <c r="L40" s="236"/>
      <c r="M40" s="236"/>
      <c r="N40" s="232"/>
      <c r="O40" s="326"/>
      <c r="P40" s="326"/>
      <c r="Q40" s="326"/>
      <c r="R40" s="68"/>
      <c r="S40" s="61"/>
      <c r="T40" s="61"/>
      <c r="U40" s="62"/>
    </row>
    <row r="41" spans="1:33">
      <c r="A41" s="114">
        <f t="shared" si="7"/>
        <v>30</v>
      </c>
      <c r="B41" s="108"/>
      <c r="C41" s="54"/>
      <c r="D41" s="156"/>
      <c r="E41" s="153"/>
      <c r="F41" s="152"/>
      <c r="G41" s="109"/>
      <c r="H41" s="81"/>
      <c r="I41" s="81"/>
      <c r="J41" s="259" t="str">
        <f t="shared" si="5"/>
        <v>0</v>
      </c>
      <c r="K41" s="259" t="str">
        <f t="shared" si="6"/>
        <v>0</v>
      </c>
      <c r="L41" s="236"/>
      <c r="M41" s="236"/>
      <c r="N41" s="232"/>
      <c r="O41" s="326"/>
      <c r="P41" s="326"/>
      <c r="Q41" s="326"/>
      <c r="R41" s="70"/>
      <c r="S41" s="63"/>
      <c r="T41" s="63"/>
      <c r="U41" s="64"/>
    </row>
    <row r="42" spans="1:33">
      <c r="A42" s="114">
        <f t="shared" si="7"/>
        <v>31</v>
      </c>
      <c r="B42" s="175"/>
      <c r="C42" s="27"/>
      <c r="D42" s="157"/>
      <c r="E42" s="153"/>
      <c r="F42" s="146"/>
      <c r="G42" s="110"/>
      <c r="H42" s="113"/>
      <c r="I42" s="261"/>
      <c r="J42" s="259" t="str">
        <f t="shared" si="5"/>
        <v>0</v>
      </c>
      <c r="K42" s="259" t="str">
        <f t="shared" si="6"/>
        <v>0</v>
      </c>
      <c r="L42" s="236"/>
      <c r="M42" s="236"/>
      <c r="N42" s="232"/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7"/>
        <v>32</v>
      </c>
      <c r="B43" s="108"/>
      <c r="C43" s="17"/>
      <c r="D43" s="163"/>
      <c r="E43" s="153"/>
      <c r="F43" s="57"/>
      <c r="G43" s="132"/>
      <c r="H43" s="113"/>
      <c r="I43" s="260"/>
      <c r="J43" s="259" t="str">
        <f t="shared" si="5"/>
        <v>0</v>
      </c>
      <c r="K43" s="259" t="str">
        <f t="shared" si="6"/>
        <v>0</v>
      </c>
      <c r="L43" s="236"/>
      <c r="M43" s="236"/>
      <c r="N43" s="232"/>
      <c r="O43" s="326"/>
      <c r="P43" s="326"/>
      <c r="Q43" s="326"/>
      <c r="R43" s="68"/>
      <c r="S43" s="61"/>
      <c r="T43" s="61"/>
      <c r="U43" s="62"/>
    </row>
    <row r="44" spans="1:33">
      <c r="A44" s="114">
        <f t="shared" si="7"/>
        <v>33</v>
      </c>
      <c r="B44" s="175"/>
      <c r="C44" s="55"/>
      <c r="D44" s="158"/>
      <c r="E44" s="153"/>
      <c r="F44" s="146"/>
      <c r="G44" s="109"/>
      <c r="H44" s="113"/>
      <c r="I44" s="261"/>
      <c r="J44" s="259" t="str">
        <f t="shared" si="5"/>
        <v>0</v>
      </c>
      <c r="K44" s="259" t="str">
        <f t="shared" si="6"/>
        <v>0</v>
      </c>
      <c r="L44" s="236"/>
      <c r="M44" s="236"/>
      <c r="N44" s="232"/>
      <c r="O44" s="326"/>
      <c r="P44" s="326"/>
      <c r="Q44" s="326"/>
      <c r="R44" s="5"/>
      <c r="S44" s="61"/>
      <c r="T44" s="61"/>
      <c r="U44" s="62"/>
    </row>
    <row r="45" spans="1:33">
      <c r="A45" s="114">
        <f t="shared" si="7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5"/>
        <v>0</v>
      </c>
      <c r="K45" s="259" t="str">
        <f t="shared" si="6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7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5"/>
        <v>0</v>
      </c>
      <c r="K46" s="259" t="str">
        <f t="shared" si="6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7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5"/>
        <v>0</v>
      </c>
      <c r="K47" s="259" t="str">
        <f t="shared" si="6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7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5"/>
        <v>0</v>
      </c>
      <c r="K48" s="259" t="str">
        <f t="shared" si="6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7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5"/>
        <v>0</v>
      </c>
      <c r="K49" s="259" t="str">
        <f t="shared" si="6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7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5"/>
        <v>0</v>
      </c>
      <c r="K50" s="259" t="str">
        <f t="shared" si="6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7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5"/>
        <v>0</v>
      </c>
      <c r="K51" s="259" t="str">
        <f t="shared" si="6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7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5"/>
        <v>0</v>
      </c>
      <c r="K52" s="259" t="str">
        <f t="shared" si="6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7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5"/>
        <v>0</v>
      </c>
      <c r="K53" s="259" t="str">
        <f t="shared" si="6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7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5"/>
        <v>0</v>
      </c>
      <c r="K54" s="259" t="str">
        <f t="shared" si="6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7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5"/>
        <v>0</v>
      </c>
      <c r="K55" s="259" t="str">
        <f t="shared" si="6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7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5"/>
        <v>0</v>
      </c>
      <c r="K56" s="259" t="str">
        <f t="shared" si="6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7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5"/>
        <v>0</v>
      </c>
      <c r="K57" s="259" t="str">
        <f t="shared" si="6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7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5"/>
        <v>0</v>
      </c>
      <c r="K58" s="259" t="str">
        <f t="shared" si="6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7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5"/>
        <v>0</v>
      </c>
      <c r="K59" s="259" t="str">
        <f t="shared" si="6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7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5"/>
        <v>0</v>
      </c>
      <c r="K60" s="259" t="str">
        <f t="shared" si="6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7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5"/>
        <v>0</v>
      </c>
      <c r="K61" s="259" t="str">
        <f t="shared" si="6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45729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SUNNY</v>
      </c>
      <c r="K66" s="347"/>
      <c r="L66" s="349" t="s">
        <v>101</v>
      </c>
      <c r="M66" s="350"/>
      <c r="N66" s="348"/>
      <c r="O66" s="346" t="str">
        <f>O34</f>
        <v>SURESH</v>
      </c>
      <c r="P66" s="346"/>
      <c r="Q66" s="347"/>
      <c r="R66" s="349" t="s">
        <v>5</v>
      </c>
      <c r="S66" s="348"/>
      <c r="T66" s="343">
        <f>T34</f>
        <v>4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9">IF(G70="RSL","60.00","0")</f>
        <v>0</v>
      </c>
      <c r="K70" s="259" t="str">
        <f t="shared" ref="K70:K93" si="10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1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9"/>
        <v>0</v>
      </c>
      <c r="K71" s="259" t="str">
        <f t="shared" si="10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1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9"/>
        <v>0</v>
      </c>
      <c r="K72" s="259" t="str">
        <f t="shared" si="10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1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9"/>
        <v>0</v>
      </c>
      <c r="K73" s="259" t="str">
        <f t="shared" si="10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1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9"/>
        <v>0</v>
      </c>
      <c r="K74" s="259" t="str">
        <f t="shared" si="10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1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9"/>
        <v>0</v>
      </c>
      <c r="K75" s="259" t="str">
        <f t="shared" si="10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1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9"/>
        <v>0</v>
      </c>
      <c r="K76" s="259" t="str">
        <f t="shared" si="10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1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9"/>
        <v>0</v>
      </c>
      <c r="K77" s="259" t="str">
        <f t="shared" si="10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1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9"/>
        <v>0</v>
      </c>
      <c r="K78" s="259" t="str">
        <f t="shared" si="10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1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9"/>
        <v>0</v>
      </c>
      <c r="K79" s="259" t="str">
        <f t="shared" si="10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1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9"/>
        <v>0</v>
      </c>
      <c r="K80" s="259" t="str">
        <f t="shared" si="10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1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9"/>
        <v>0</v>
      </c>
      <c r="K81" s="259" t="str">
        <f t="shared" si="10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1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9"/>
        <v>0</v>
      </c>
      <c r="K82" s="259" t="str">
        <f t="shared" si="10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1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9"/>
        <v>0</v>
      </c>
      <c r="K83" s="259" t="str">
        <f t="shared" si="10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1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9"/>
        <v>0</v>
      </c>
      <c r="K84" s="259" t="str">
        <f t="shared" si="10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1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9"/>
        <v>0</v>
      </c>
      <c r="K85" s="259" t="str">
        <f t="shared" si="10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1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9"/>
        <v>0</v>
      </c>
      <c r="K86" s="259" t="str">
        <f t="shared" si="10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1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9"/>
        <v>0</v>
      </c>
      <c r="K87" s="259" t="str">
        <f t="shared" si="10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1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9"/>
        <v>0</v>
      </c>
      <c r="K88" s="259" t="str">
        <f t="shared" si="10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1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9"/>
        <v>0</v>
      </c>
      <c r="K89" s="259" t="str">
        <f t="shared" si="10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1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9"/>
        <v>0</v>
      </c>
      <c r="K90" s="259" t="str">
        <f t="shared" si="10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1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9"/>
        <v>0</v>
      </c>
      <c r="K91" s="259" t="str">
        <f t="shared" si="10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1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9"/>
        <v>0</v>
      </c>
      <c r="K92" s="259" t="str">
        <f t="shared" si="10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1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9"/>
        <v>0</v>
      </c>
      <c r="K93" s="259" t="str">
        <f t="shared" si="10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disablePrompts="1"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1" right="1" top="1" bottom="1" header="0.5" footer="0.5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20" sqref="R20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7" width="4.62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45730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165</v>
      </c>
      <c r="K2" s="347"/>
      <c r="L2" s="349" t="s">
        <v>3</v>
      </c>
      <c r="M2" s="350"/>
      <c r="N2" s="348"/>
      <c r="O2" s="346" t="s">
        <v>4</v>
      </c>
      <c r="P2" s="346"/>
      <c r="Q2" s="347"/>
      <c r="R2" s="349" t="s">
        <v>5</v>
      </c>
      <c r="S2" s="348"/>
      <c r="T2" s="343">
        <v>5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3.5">
      <c r="A4" s="133" t="s">
        <v>10</v>
      </c>
      <c r="B4" s="176" t="s">
        <v>11</v>
      </c>
      <c r="C4" s="142" t="s">
        <v>12</v>
      </c>
      <c r="D4" s="166" t="s">
        <v>13</v>
      </c>
      <c r="E4" s="142" t="s">
        <v>14</v>
      </c>
      <c r="F4" s="176" t="s">
        <v>15</v>
      </c>
      <c r="G4" s="176" t="s">
        <v>16</v>
      </c>
      <c r="H4" s="176" t="s">
        <v>17</v>
      </c>
      <c r="I4" s="176" t="s">
        <v>18</v>
      </c>
      <c r="J4" s="176" t="s">
        <v>19</v>
      </c>
      <c r="K4" s="176" t="s">
        <v>20</v>
      </c>
      <c r="L4" s="176" t="s">
        <v>21</v>
      </c>
      <c r="M4" s="176" t="s">
        <v>22</v>
      </c>
      <c r="N4" s="176" t="s">
        <v>23</v>
      </c>
      <c r="O4" s="344" t="s">
        <v>24</v>
      </c>
      <c r="P4" s="344"/>
      <c r="Q4" s="344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114">
        <v>1</v>
      </c>
      <c r="B5" s="219">
        <v>23262</v>
      </c>
      <c r="C5" s="222" t="s">
        <v>213</v>
      </c>
      <c r="D5" s="234" t="s">
        <v>214</v>
      </c>
      <c r="E5" s="219" t="s">
        <v>35</v>
      </c>
      <c r="F5" s="235">
        <v>800</v>
      </c>
      <c r="G5" s="219" t="s">
        <v>41</v>
      </c>
      <c r="H5" s="236"/>
      <c r="I5" s="220">
        <v>130</v>
      </c>
      <c r="J5" s="259" t="str">
        <f>IF(G5="RSL","60.00","0")</f>
        <v>0</v>
      </c>
      <c r="K5" s="259" t="str">
        <f>IF(G5="GVS","37.5",IF(G5="GVM","41.5",IF(G5="GVL","50",IF(G5="PCS/X","62.5",IF(G5="PCS/HP","79.16",IF(G5="PCL/X","79.16",IF(G5="PCL/HP","100.00","0")))))))</f>
        <v>0</v>
      </c>
      <c r="L5" s="236"/>
      <c r="M5" s="236"/>
      <c r="N5" s="232" t="s">
        <v>128</v>
      </c>
      <c r="O5" s="326"/>
      <c r="P5" s="326"/>
      <c r="Q5" s="326"/>
      <c r="R5" s="32" t="s">
        <v>4</v>
      </c>
      <c r="S5" s="30">
        <v>0.32291666666666669</v>
      </c>
      <c r="T5" s="31">
        <v>0.70833333333333337</v>
      </c>
      <c r="U5" s="82">
        <f t="shared" ref="U5:U15" si="0">(T5-S5)*24</f>
        <v>9.25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114">
        <v>2</v>
      </c>
      <c r="B6" s="219">
        <v>23263</v>
      </c>
      <c r="C6" s="223" t="s">
        <v>215</v>
      </c>
      <c r="D6" s="234" t="s">
        <v>216</v>
      </c>
      <c r="E6" s="219" t="s">
        <v>53</v>
      </c>
      <c r="F6" s="235">
        <v>900</v>
      </c>
      <c r="G6" s="219" t="s">
        <v>217</v>
      </c>
      <c r="H6" s="236"/>
      <c r="I6" s="220"/>
      <c r="J6" s="259" t="str">
        <f t="shared" ref="J6:J29" si="1">IF(G6="RSL","60.00","0")</f>
        <v>0</v>
      </c>
      <c r="K6" s="259">
        <v>91.67</v>
      </c>
      <c r="L6" s="236"/>
      <c r="M6" s="236"/>
      <c r="N6" s="232" t="s">
        <v>128</v>
      </c>
      <c r="O6" s="326" t="s">
        <v>218</v>
      </c>
      <c r="P6" s="326"/>
      <c r="Q6" s="326"/>
      <c r="R6" s="115" t="s">
        <v>128</v>
      </c>
      <c r="S6" s="30">
        <v>0.33333333333333331</v>
      </c>
      <c r="T6" s="31">
        <v>0.70833333333333337</v>
      </c>
      <c r="U6" s="82">
        <f t="shared" si="0"/>
        <v>9.0000000000000018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305">
        <v>3</v>
      </c>
      <c r="B7" s="262">
        <v>23264</v>
      </c>
      <c r="C7" s="306" t="s">
        <v>219</v>
      </c>
      <c r="D7" s="264" t="s">
        <v>220</v>
      </c>
      <c r="E7" s="262" t="s">
        <v>53</v>
      </c>
      <c r="F7" s="265">
        <v>900</v>
      </c>
      <c r="G7" s="262" t="s">
        <v>49</v>
      </c>
      <c r="H7" s="266"/>
      <c r="I7" s="266"/>
      <c r="J7" s="267" t="str">
        <f t="shared" si="1"/>
        <v>0</v>
      </c>
      <c r="K7" s="267" t="str">
        <f t="shared" ref="K6:K29" si="2">IF(G7="GVS","37.5",IF(G7="GVM","41.5",IF(G7="GVL","50",IF(G7="PCS/X","62.5",IF(G7="PCS/HP","79.16",IF(G7="PCL/X","79.16",IF(G7="PCL/HP","100.00","0")))))))</f>
        <v>79.16</v>
      </c>
      <c r="L7" s="266"/>
      <c r="M7" s="266">
        <v>700</v>
      </c>
      <c r="N7" s="263" t="s">
        <v>128</v>
      </c>
      <c r="O7" s="392" t="s">
        <v>221</v>
      </c>
      <c r="P7" s="392"/>
      <c r="Q7" s="392"/>
      <c r="R7" s="116" t="s">
        <v>42</v>
      </c>
      <c r="S7" s="30">
        <v>0.375</v>
      </c>
      <c r="T7" s="31">
        <v>0.70833333333333337</v>
      </c>
      <c r="U7" s="82">
        <f t="shared" si="0"/>
        <v>8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114">
        <v>4</v>
      </c>
      <c r="B8" s="219">
        <v>23265</v>
      </c>
      <c r="C8" s="224" t="s">
        <v>222</v>
      </c>
      <c r="D8" s="234" t="s">
        <v>223</v>
      </c>
      <c r="E8" s="219" t="s">
        <v>35</v>
      </c>
      <c r="F8" s="235">
        <v>905</v>
      </c>
      <c r="G8" s="219" t="s">
        <v>41</v>
      </c>
      <c r="H8" s="236"/>
      <c r="I8" s="220">
        <v>75</v>
      </c>
      <c r="J8" s="259" t="str">
        <f t="shared" si="1"/>
        <v>0</v>
      </c>
      <c r="K8" s="259" t="str">
        <f t="shared" si="2"/>
        <v>0</v>
      </c>
      <c r="L8" s="236"/>
      <c r="M8" s="236"/>
      <c r="N8" s="232" t="s">
        <v>4</v>
      </c>
      <c r="O8" s="326"/>
      <c r="P8" s="326"/>
      <c r="Q8" s="326"/>
      <c r="R8" s="25" t="s">
        <v>224</v>
      </c>
      <c r="S8" s="30">
        <v>0.45833333333333331</v>
      </c>
      <c r="T8" s="31">
        <v>0.64583333333333337</v>
      </c>
      <c r="U8" s="82">
        <f t="shared" si="0"/>
        <v>4.5000000000000018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117">
        <v>5</v>
      </c>
      <c r="B9" s="219">
        <v>23266</v>
      </c>
      <c r="C9" s="225" t="s">
        <v>225</v>
      </c>
      <c r="D9" s="237" t="s">
        <v>226</v>
      </c>
      <c r="E9" s="219" t="s">
        <v>53</v>
      </c>
      <c r="F9" s="238">
        <v>915</v>
      </c>
      <c r="G9" s="226" t="s">
        <v>59</v>
      </c>
      <c r="H9" s="236"/>
      <c r="I9" s="220">
        <v>100</v>
      </c>
      <c r="J9" s="259" t="str">
        <f t="shared" si="1"/>
        <v>0</v>
      </c>
      <c r="K9" s="259" t="str">
        <f t="shared" si="2"/>
        <v>0</v>
      </c>
      <c r="L9" s="236"/>
      <c r="M9" s="236"/>
      <c r="N9" s="232" t="s">
        <v>4</v>
      </c>
      <c r="O9" s="326"/>
      <c r="P9" s="326"/>
      <c r="Q9" s="326"/>
      <c r="R9" s="25" t="s">
        <v>178</v>
      </c>
      <c r="S9" s="30">
        <v>0.40625</v>
      </c>
      <c r="T9" s="31">
        <v>0.58333333333333337</v>
      </c>
      <c r="U9" s="82">
        <f t="shared" si="0"/>
        <v>4.2500000000000009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117">
        <v>6</v>
      </c>
      <c r="B10" s="219">
        <v>23267</v>
      </c>
      <c r="C10" s="227" t="s">
        <v>227</v>
      </c>
      <c r="D10" s="239" t="s">
        <v>228</v>
      </c>
      <c r="E10" s="219" t="s">
        <v>53</v>
      </c>
      <c r="F10" s="225">
        <v>915</v>
      </c>
      <c r="G10" s="228" t="s">
        <v>229</v>
      </c>
      <c r="H10" s="79"/>
      <c r="I10" s="220"/>
      <c r="J10" s="259" t="str">
        <f t="shared" si="1"/>
        <v>0</v>
      </c>
      <c r="K10" s="259" t="str">
        <f t="shared" si="2"/>
        <v>62.5</v>
      </c>
      <c r="L10" s="236"/>
      <c r="M10" s="236"/>
      <c r="N10" s="232" t="s">
        <v>4</v>
      </c>
      <c r="O10" s="326" t="s">
        <v>230</v>
      </c>
      <c r="P10" s="326"/>
      <c r="Q10" s="326"/>
      <c r="R10" s="25"/>
      <c r="S10" s="30"/>
      <c r="T10" s="31"/>
      <c r="U10" s="82">
        <f t="shared" si="0"/>
        <v>0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117">
        <v>7</v>
      </c>
      <c r="B11" s="219">
        <v>23268</v>
      </c>
      <c r="C11" s="222" t="s">
        <v>231</v>
      </c>
      <c r="D11" s="240" t="s">
        <v>232</v>
      </c>
      <c r="E11" s="219" t="s">
        <v>53</v>
      </c>
      <c r="F11" s="223">
        <v>945</v>
      </c>
      <c r="G11" s="229" t="s">
        <v>217</v>
      </c>
      <c r="H11" s="79"/>
      <c r="I11" s="220"/>
      <c r="J11" s="259" t="str">
        <f t="shared" si="1"/>
        <v>0</v>
      </c>
      <c r="K11" s="259" t="str">
        <f t="shared" si="2"/>
        <v>79.16</v>
      </c>
      <c r="L11" s="236"/>
      <c r="M11" s="236"/>
      <c r="N11" s="232" t="s">
        <v>4</v>
      </c>
      <c r="O11" s="326" t="s">
        <v>233</v>
      </c>
      <c r="P11" s="326"/>
      <c r="Q11" s="326"/>
      <c r="R11" s="25" t="s">
        <v>234</v>
      </c>
      <c r="S11" s="30">
        <v>0.5</v>
      </c>
      <c r="T11" s="31">
        <v>0.70833333333333337</v>
      </c>
      <c r="U11" s="82">
        <f t="shared" si="0"/>
        <v>5.0000000000000009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23269</v>
      </c>
      <c r="C12" s="230" t="s">
        <v>235</v>
      </c>
      <c r="D12" s="241" t="s">
        <v>236</v>
      </c>
      <c r="E12" s="219" t="s">
        <v>35</v>
      </c>
      <c r="F12" s="225">
        <v>1020</v>
      </c>
      <c r="G12" s="226" t="s">
        <v>59</v>
      </c>
      <c r="H12" s="79"/>
      <c r="I12" s="220">
        <v>100</v>
      </c>
      <c r="J12" s="259" t="str">
        <f t="shared" si="1"/>
        <v>0</v>
      </c>
      <c r="K12" s="259" t="str">
        <f t="shared" si="2"/>
        <v>0</v>
      </c>
      <c r="L12" s="236"/>
      <c r="M12" s="236"/>
      <c r="N12" s="232" t="s">
        <v>4</v>
      </c>
      <c r="O12" s="326"/>
      <c r="P12" s="326"/>
      <c r="Q12" s="326"/>
      <c r="R12" s="25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>
        <v>23270</v>
      </c>
      <c r="C13" s="230" t="s">
        <v>237</v>
      </c>
      <c r="D13" s="241" t="s">
        <v>238</v>
      </c>
      <c r="E13" s="219" t="s">
        <v>53</v>
      </c>
      <c r="F13" s="225">
        <v>1040</v>
      </c>
      <c r="G13" s="226" t="s">
        <v>41</v>
      </c>
      <c r="H13" s="79"/>
      <c r="I13" s="220">
        <v>75</v>
      </c>
      <c r="J13" s="259" t="str">
        <f t="shared" si="1"/>
        <v>0</v>
      </c>
      <c r="K13" s="259" t="str">
        <f t="shared" si="2"/>
        <v>0</v>
      </c>
      <c r="L13" s="236"/>
      <c r="M13" s="236"/>
      <c r="N13" s="232" t="s">
        <v>4</v>
      </c>
      <c r="O13" s="326"/>
      <c r="P13" s="326"/>
      <c r="Q13" s="326"/>
      <c r="R13" s="32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117">
        <v>10</v>
      </c>
      <c r="B14" s="219">
        <v>23271</v>
      </c>
      <c r="C14" s="232" t="s">
        <v>239</v>
      </c>
      <c r="D14" s="242" t="s">
        <v>240</v>
      </c>
      <c r="E14" s="219" t="s">
        <v>35</v>
      </c>
      <c r="F14" s="223">
        <v>1100</v>
      </c>
      <c r="G14" s="226" t="s">
        <v>241</v>
      </c>
      <c r="H14" s="79">
        <v>100</v>
      </c>
      <c r="I14" s="220"/>
      <c r="J14" s="259" t="str">
        <f t="shared" si="1"/>
        <v>0</v>
      </c>
      <c r="K14" s="259" t="str">
        <f t="shared" si="2"/>
        <v>0</v>
      </c>
      <c r="L14" s="236"/>
      <c r="M14" s="236"/>
      <c r="N14" s="232" t="s">
        <v>4</v>
      </c>
      <c r="O14" s="326"/>
      <c r="P14" s="326"/>
      <c r="Q14" s="326"/>
      <c r="R14" s="25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>
        <v>23272</v>
      </c>
      <c r="C15" s="232" t="s">
        <v>242</v>
      </c>
      <c r="D15" s="242" t="s">
        <v>243</v>
      </c>
      <c r="E15" s="219" t="s">
        <v>53</v>
      </c>
      <c r="F15" s="223">
        <v>1100</v>
      </c>
      <c r="G15" s="226" t="s">
        <v>49</v>
      </c>
      <c r="H15" s="79"/>
      <c r="I15" s="220"/>
      <c r="J15" s="259" t="str">
        <f t="shared" si="1"/>
        <v>0</v>
      </c>
      <c r="K15" s="259" t="str">
        <f t="shared" si="2"/>
        <v>79.16</v>
      </c>
      <c r="L15" s="236"/>
      <c r="M15" s="236"/>
      <c r="N15" s="232" t="s">
        <v>4</v>
      </c>
      <c r="O15" s="326" t="s">
        <v>244</v>
      </c>
      <c r="P15" s="326"/>
      <c r="Q15" s="326"/>
      <c r="R15" s="25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>
        <v>23273</v>
      </c>
      <c r="C16" s="232" t="s">
        <v>245</v>
      </c>
      <c r="D16" s="242" t="s">
        <v>246</v>
      </c>
      <c r="E16" s="219" t="s">
        <v>53</v>
      </c>
      <c r="F16" s="223">
        <v>1100</v>
      </c>
      <c r="G16" s="226" t="s">
        <v>65</v>
      </c>
      <c r="H16" s="79"/>
      <c r="I16" s="220"/>
      <c r="J16" s="259">
        <v>120</v>
      </c>
      <c r="K16" s="259" t="str">
        <f t="shared" si="2"/>
        <v>0</v>
      </c>
      <c r="L16" s="236"/>
      <c r="M16" s="236"/>
      <c r="N16" s="232" t="s">
        <v>4</v>
      </c>
      <c r="O16" s="326" t="s">
        <v>247</v>
      </c>
      <c r="P16" s="326"/>
      <c r="Q16" s="326"/>
      <c r="R16" s="72">
        <f>H32/U16</f>
        <v>0.5</v>
      </c>
      <c r="S16" s="73">
        <f>H32/(U16-U5)</f>
        <v>0.65040650406504064</v>
      </c>
      <c r="T16" s="73">
        <f>C32/U16</f>
        <v>49.103499999999997</v>
      </c>
      <c r="U16" s="73">
        <f>SUM(U5:U15)</f>
        <v>40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>
        <v>23274</v>
      </c>
      <c r="C17" s="222" t="s">
        <v>248</v>
      </c>
      <c r="D17" s="240" t="s">
        <v>249</v>
      </c>
      <c r="E17" s="219" t="s">
        <v>35</v>
      </c>
      <c r="F17" s="223">
        <v>1130</v>
      </c>
      <c r="G17" s="229" t="s">
        <v>59</v>
      </c>
      <c r="H17" s="79"/>
      <c r="I17" s="220">
        <v>130</v>
      </c>
      <c r="J17" s="259" t="str">
        <f t="shared" si="1"/>
        <v>0</v>
      </c>
      <c r="K17" s="259" t="str">
        <f t="shared" si="2"/>
        <v>0</v>
      </c>
      <c r="L17" s="236"/>
      <c r="M17" s="236"/>
      <c r="N17" s="232" t="s">
        <v>4</v>
      </c>
      <c r="O17" s="326"/>
      <c r="P17" s="326"/>
      <c r="Q17" s="326"/>
      <c r="R17" s="74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>
        <v>23275</v>
      </c>
      <c r="C18" s="222" t="s">
        <v>250</v>
      </c>
      <c r="D18" s="240" t="s">
        <v>251</v>
      </c>
      <c r="E18" s="219" t="s">
        <v>35</v>
      </c>
      <c r="F18" s="223">
        <v>1145</v>
      </c>
      <c r="G18" s="231" t="s">
        <v>41</v>
      </c>
      <c r="H18" s="79"/>
      <c r="I18" s="220">
        <v>95</v>
      </c>
      <c r="J18" s="259" t="str">
        <f t="shared" si="1"/>
        <v>0</v>
      </c>
      <c r="K18" s="259" t="str">
        <f t="shared" si="2"/>
        <v>0</v>
      </c>
      <c r="L18" s="236"/>
      <c r="M18" s="236"/>
      <c r="N18" s="232" t="s">
        <v>4</v>
      </c>
      <c r="O18" s="326" t="s">
        <v>110</v>
      </c>
      <c r="P18" s="326"/>
      <c r="Q18" s="326"/>
      <c r="R18" s="76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>
        <v>23276</v>
      </c>
      <c r="C19" s="222" t="s">
        <v>252</v>
      </c>
      <c r="D19" s="240" t="s">
        <v>253</v>
      </c>
      <c r="E19" s="219" t="s">
        <v>53</v>
      </c>
      <c r="F19" s="223">
        <v>1155</v>
      </c>
      <c r="G19" s="229" t="s">
        <v>173</v>
      </c>
      <c r="H19" s="79"/>
      <c r="I19" s="220"/>
      <c r="J19" s="259" t="str">
        <f t="shared" si="1"/>
        <v>0</v>
      </c>
      <c r="K19" s="259">
        <v>108.33</v>
      </c>
      <c r="L19" s="236"/>
      <c r="M19" s="236"/>
      <c r="N19" s="232" t="s">
        <v>4</v>
      </c>
      <c r="O19" s="326" t="s">
        <v>254</v>
      </c>
      <c r="P19" s="326"/>
      <c r="Q19" s="326"/>
      <c r="R19" s="83" t="s">
        <v>20</v>
      </c>
      <c r="S19" s="84">
        <f>COUNT(L5:M29,L37:M61,L69:M93)</f>
        <v>1</v>
      </c>
      <c r="T19" s="106">
        <f>SUM(L5:M29,L37:M61,L69:M93)</f>
        <v>700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>
        <v>23277</v>
      </c>
      <c r="C20" s="222" t="s">
        <v>255</v>
      </c>
      <c r="D20" s="240" t="s">
        <v>256</v>
      </c>
      <c r="E20" s="219" t="s">
        <v>53</v>
      </c>
      <c r="F20" s="223">
        <v>1200</v>
      </c>
      <c r="G20" s="229" t="s">
        <v>41</v>
      </c>
      <c r="H20" s="79"/>
      <c r="I20" s="220">
        <v>95</v>
      </c>
      <c r="J20" s="259" t="str">
        <f t="shared" si="1"/>
        <v>0</v>
      </c>
      <c r="K20" s="259" t="str">
        <f t="shared" si="2"/>
        <v>0</v>
      </c>
      <c r="L20" s="222"/>
      <c r="M20" s="222"/>
      <c r="N20" s="232" t="s">
        <v>4</v>
      </c>
      <c r="O20" s="326"/>
      <c r="P20" s="326"/>
      <c r="Q20" s="326"/>
      <c r="R20" s="118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>
        <v>23278</v>
      </c>
      <c r="C21" s="222" t="s">
        <v>257</v>
      </c>
      <c r="D21" s="240" t="s">
        <v>258</v>
      </c>
      <c r="E21" s="219" t="s">
        <v>35</v>
      </c>
      <c r="F21" s="223">
        <v>1320</v>
      </c>
      <c r="G21" s="231" t="s">
        <v>49</v>
      </c>
      <c r="H21" s="79"/>
      <c r="I21" s="220"/>
      <c r="J21" s="259" t="str">
        <f t="shared" si="1"/>
        <v>0</v>
      </c>
      <c r="K21" s="259" t="str">
        <f t="shared" si="2"/>
        <v>79.16</v>
      </c>
      <c r="L21" s="236"/>
      <c r="M21" s="236"/>
      <c r="N21" s="232" t="s">
        <v>4</v>
      </c>
      <c r="O21" s="326" t="s">
        <v>259</v>
      </c>
      <c r="P21" s="326"/>
      <c r="Q21" s="326"/>
      <c r="R21" s="103"/>
      <c r="S21" s="139"/>
      <c r="T21" s="138"/>
      <c r="U21" s="105"/>
      <c r="X21" s="38"/>
      <c r="Z21" s="39"/>
      <c r="AK21" s="39"/>
    </row>
    <row r="22" spans="1:44" ht="16.5" customHeight="1">
      <c r="A22" s="307">
        <v>18</v>
      </c>
      <c r="B22" s="268">
        <v>23279</v>
      </c>
      <c r="C22" s="308" t="s">
        <v>260</v>
      </c>
      <c r="D22" s="309" t="s">
        <v>261</v>
      </c>
      <c r="E22" s="268" t="s">
        <v>53</v>
      </c>
      <c r="F22" s="269">
        <v>1530</v>
      </c>
      <c r="G22" s="268" t="s">
        <v>122</v>
      </c>
      <c r="H22" s="272"/>
      <c r="I22" s="272">
        <v>195</v>
      </c>
      <c r="J22" s="273" t="str">
        <f t="shared" si="1"/>
        <v>0</v>
      </c>
      <c r="K22" s="273" t="str">
        <f t="shared" si="2"/>
        <v>0</v>
      </c>
      <c r="L22" s="272"/>
      <c r="M22" s="272"/>
      <c r="N22" s="269" t="s">
        <v>4</v>
      </c>
      <c r="O22" s="391"/>
      <c r="P22" s="391"/>
      <c r="Q22" s="391"/>
      <c r="R22" s="10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>
        <v>23280</v>
      </c>
      <c r="C23" s="221" t="s">
        <v>262</v>
      </c>
      <c r="D23" s="243" t="s">
        <v>263</v>
      </c>
      <c r="E23" s="219" t="s">
        <v>35</v>
      </c>
      <c r="F23" s="232">
        <v>1540</v>
      </c>
      <c r="G23" s="219" t="s">
        <v>41</v>
      </c>
      <c r="H23" s="79"/>
      <c r="I23" s="220">
        <v>95</v>
      </c>
      <c r="J23" s="259" t="str">
        <f t="shared" si="1"/>
        <v>0</v>
      </c>
      <c r="K23" s="259" t="str">
        <f t="shared" si="2"/>
        <v>0</v>
      </c>
      <c r="L23" s="236"/>
      <c r="M23" s="236"/>
      <c r="N23" s="232" t="s">
        <v>4</v>
      </c>
      <c r="O23" s="326"/>
      <c r="P23" s="326"/>
      <c r="Q23" s="326"/>
      <c r="R23" s="10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>
        <v>23281</v>
      </c>
      <c r="C24" s="221" t="s">
        <v>264</v>
      </c>
      <c r="D24" s="243" t="s">
        <v>265</v>
      </c>
      <c r="E24" s="219" t="s">
        <v>53</v>
      </c>
      <c r="F24" s="232">
        <v>1605</v>
      </c>
      <c r="G24" s="219" t="s">
        <v>201</v>
      </c>
      <c r="H24" s="79"/>
      <c r="I24" s="220">
        <v>75</v>
      </c>
      <c r="J24" s="259" t="str">
        <f t="shared" si="1"/>
        <v>0</v>
      </c>
      <c r="K24" s="259" t="str">
        <f t="shared" si="2"/>
        <v>0</v>
      </c>
      <c r="L24" s="236"/>
      <c r="M24" s="236"/>
      <c r="N24" s="232" t="s">
        <v>4</v>
      </c>
      <c r="O24" s="326"/>
      <c r="P24" s="326"/>
      <c r="Q24" s="326"/>
      <c r="R24" s="123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/>
      <c r="C25" s="232"/>
      <c r="D25" s="242"/>
      <c r="E25" s="219"/>
      <c r="F25" s="232"/>
      <c r="G25" s="219"/>
      <c r="H25" s="220"/>
      <c r="I25" s="220"/>
      <c r="J25" s="259" t="str">
        <f t="shared" si="1"/>
        <v>0</v>
      </c>
      <c r="K25" s="259" t="str">
        <f t="shared" si="2"/>
        <v>0</v>
      </c>
      <c r="L25" s="236"/>
      <c r="M25" s="236"/>
      <c r="N25" s="232"/>
      <c r="O25" s="326"/>
      <c r="P25" s="326"/>
      <c r="Q25" s="326"/>
      <c r="R25" s="90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1964.1399999999999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/>
      <c r="C26" s="224"/>
      <c r="D26" s="244"/>
      <c r="E26" s="219"/>
      <c r="F26" s="224"/>
      <c r="G26" s="231"/>
      <c r="H26" s="79"/>
      <c r="I26" s="220"/>
      <c r="J26" s="259" t="str">
        <f t="shared" si="1"/>
        <v>0</v>
      </c>
      <c r="K26" s="259" t="str">
        <f t="shared" si="2"/>
        <v>0</v>
      </c>
      <c r="L26" s="236"/>
      <c r="M26" s="236"/>
      <c r="N26" s="232"/>
      <c r="O26" s="326"/>
      <c r="P26" s="326"/>
      <c r="Q26" s="326"/>
      <c r="R26" s="102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/>
      <c r="C27" s="224"/>
      <c r="D27" s="244"/>
      <c r="E27" s="219"/>
      <c r="F27" s="224"/>
      <c r="G27" s="231"/>
      <c r="H27" s="79"/>
      <c r="I27" s="220"/>
      <c r="J27" s="259" t="str">
        <f t="shared" si="1"/>
        <v>0</v>
      </c>
      <c r="K27" s="259" t="str">
        <f t="shared" si="2"/>
        <v>0</v>
      </c>
      <c r="L27" s="236"/>
      <c r="M27" s="236"/>
      <c r="N27" s="232"/>
      <c r="O27" s="326"/>
      <c r="P27" s="326"/>
      <c r="Q27" s="326"/>
      <c r="R27" s="385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/>
      <c r="C28" s="224"/>
      <c r="D28" s="244"/>
      <c r="E28" s="219"/>
      <c r="F28" s="224"/>
      <c r="G28" s="231"/>
      <c r="H28" s="79"/>
      <c r="I28" s="220"/>
      <c r="J28" s="259" t="str">
        <f t="shared" si="1"/>
        <v>0</v>
      </c>
      <c r="K28" s="259" t="str">
        <f t="shared" si="2"/>
        <v>0</v>
      </c>
      <c r="L28" s="236"/>
      <c r="M28" s="236"/>
      <c r="N28" s="232"/>
      <c r="O28" s="326"/>
      <c r="P28" s="326"/>
      <c r="Q28" s="326"/>
      <c r="R28" s="387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/>
      <c r="C29" s="227"/>
      <c r="D29" s="239"/>
      <c r="E29" s="219"/>
      <c r="F29" s="224"/>
      <c r="G29" s="231"/>
      <c r="H29" s="79"/>
      <c r="I29" s="220"/>
      <c r="J29" s="259" t="str">
        <f t="shared" si="1"/>
        <v>0</v>
      </c>
      <c r="K29" s="259" t="str">
        <f t="shared" si="2"/>
        <v>0</v>
      </c>
      <c r="L29" s="236"/>
      <c r="M29" s="236"/>
      <c r="N29" s="232"/>
      <c r="O29" s="326"/>
      <c r="P29" s="326"/>
      <c r="Q29" s="326"/>
      <c r="R29" s="388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86"/>
      <c r="C30" s="386"/>
      <c r="D30" s="386"/>
      <c r="E30" s="358"/>
      <c r="F30" s="386"/>
      <c r="G30" s="386"/>
      <c r="H30" s="172">
        <f t="shared" ref="H30:M30" si="3">SUM(H5:H29)</f>
        <v>100</v>
      </c>
      <c r="I30" s="95">
        <f>SUM(I5:I29)</f>
        <v>1165</v>
      </c>
      <c r="J30" s="95">
        <f>J5+J6+J7+J8+J9+J10+J11+J12+J13+J14+J15+J16+J18+J19+J17+J20+J22+J23+J21+J24+J25+J26+J27+J28+J29</f>
        <v>120</v>
      </c>
      <c r="K30" s="95">
        <f>K5+K6+K7+K8+K9+K10+K11+K12+K13+K14+K15+K16+K18+K19+K17+K20+K22+K23+K21+K24+K25+K26+K27+K28+K29</f>
        <v>579.14</v>
      </c>
      <c r="L30" s="96">
        <f t="shared" si="3"/>
        <v>0</v>
      </c>
      <c r="M30" s="96">
        <f t="shared" si="3"/>
        <v>700</v>
      </c>
      <c r="N30" s="177" t="s">
        <v>90</v>
      </c>
      <c r="O30" s="177" t="s">
        <v>18</v>
      </c>
      <c r="P30" s="177" t="s">
        <v>20</v>
      </c>
      <c r="Q30" s="86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4">H30+H62+H94</f>
        <v>100</v>
      </c>
      <c r="I31" s="93">
        <f t="shared" si="4"/>
        <v>1165</v>
      </c>
      <c r="J31" s="93">
        <f t="shared" si="4"/>
        <v>120</v>
      </c>
      <c r="K31" s="93">
        <f>K30+K62+K94</f>
        <v>579.14</v>
      </c>
      <c r="L31" s="87">
        <f>L30+L62+L94</f>
        <v>0</v>
      </c>
      <c r="M31" s="87">
        <f>M30+M62+M94</f>
        <v>700</v>
      </c>
      <c r="N31" s="178">
        <f>COUNT(H5:H29,H37:H61,H69:H93)</f>
        <v>1</v>
      </c>
      <c r="O31" s="94">
        <f>COUNT(I5:I29,I37:I61,I69:I93)</f>
        <v>11</v>
      </c>
      <c r="P31" s="94">
        <f>COUNTIF(G5:G29,"G*")+COUNTIF(G37:G61,"G*")+COUNTIF(G69:G93,"G*")+COUNTIF(G5:G29,"P*")+COUNTIF(G37:G61,"P*")+COUNTIF(G69:G93,"P*")</f>
        <v>7</v>
      </c>
      <c r="Q31" s="107">
        <f>COUNTIF(G5:G29,"RSL*")+COUNTIF(G37:G61,"RSL*")+COUNTIF(G69:G93,"RSL*")</f>
        <v>1</v>
      </c>
      <c r="R31" s="88" t="s">
        <v>92</v>
      </c>
      <c r="S31" s="101">
        <f>H31+L31-U28-U29-U30</f>
        <v>100</v>
      </c>
      <c r="T31" s="351">
        <f>H31+I31+L31+M31</f>
        <v>1965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1964.1399999999999</v>
      </c>
      <c r="D32" s="168"/>
      <c r="E32" s="97"/>
      <c r="F32" s="367" t="s">
        <v>95</v>
      </c>
      <c r="G32" s="367"/>
      <c r="H32" s="99">
        <f>COUNT(B5:B29,B37:B61,B69:B93)</f>
        <v>20</v>
      </c>
      <c r="I32" s="368" t="s">
        <v>96</v>
      </c>
      <c r="J32" s="368"/>
      <c r="K32" s="98">
        <f>C32/H32</f>
        <v>98.206999999999994</v>
      </c>
      <c r="L32" s="179"/>
      <c r="M32" s="179"/>
      <c r="N32" s="179">
        <f>H31/C32</f>
        <v>5.0912867718187101E-2</v>
      </c>
      <c r="O32" s="179">
        <f>I31/C32</f>
        <v>0.5931349089168797</v>
      </c>
      <c r="P32" s="179">
        <f>K31/C32</f>
        <v>0.29485678210310873</v>
      </c>
      <c r="Q32" s="100">
        <f>J31/C32</f>
        <v>6.1095441261824521E-2</v>
      </c>
      <c r="R32" s="89" t="s">
        <v>97</v>
      </c>
      <c r="S32" s="174">
        <f>I31+M31</f>
        <v>1865</v>
      </c>
      <c r="T32" s="353"/>
      <c r="U32" s="354"/>
      <c r="V32" s="39"/>
      <c r="W32" s="39"/>
      <c r="X32" s="48" t="s">
        <v>98</v>
      </c>
      <c r="Y32" s="48"/>
      <c r="Z32" s="47">
        <f>I31</f>
        <v>1165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-1580</v>
      </c>
      <c r="AG33" s="35"/>
    </row>
    <row r="34" spans="1:33" ht="15.75" thickBot="1">
      <c r="A34" s="345">
        <f>A2</f>
        <v>45730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SUNNY</v>
      </c>
      <c r="K34" s="347"/>
      <c r="L34" s="349" t="s">
        <v>101</v>
      </c>
      <c r="M34" s="350"/>
      <c r="N34" s="348"/>
      <c r="O34" s="346" t="str">
        <f>O2</f>
        <v>SURESH</v>
      </c>
      <c r="P34" s="346"/>
      <c r="Q34" s="347"/>
      <c r="R34" s="349" t="s">
        <v>5</v>
      </c>
      <c r="S34" s="348"/>
      <c r="T34" s="343">
        <f>T2</f>
        <v>5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/>
      <c r="C37" s="59"/>
      <c r="D37" s="216"/>
      <c r="E37" s="153"/>
      <c r="F37" s="147"/>
      <c r="G37" s="108"/>
      <c r="H37" s="81"/>
      <c r="I37" s="260"/>
      <c r="J37" s="259" t="str">
        <f>IF(G37="RSL","60.00","0")</f>
        <v>0</v>
      </c>
      <c r="K37" s="259" t="str">
        <f>IF(G37="GVS","37.5",IF(G37="GVM","41.5",IF(G37="GVL","50",IF(G37="PCS/X","62.5",IF(G37="PCS/HP","79.16",IF(G37="PCL/X","79.16",IF(G37="PCL/HP","100.00","0")))))))</f>
        <v>0</v>
      </c>
      <c r="L37" s="236"/>
      <c r="M37" s="236"/>
      <c r="N37" s="232"/>
      <c r="O37" s="326"/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/>
      <c r="C38" s="58"/>
      <c r="D38" s="167"/>
      <c r="E38" s="153"/>
      <c r="F38" s="151"/>
      <c r="G38" s="108"/>
      <c r="H38" s="81"/>
      <c r="I38" s="260"/>
      <c r="J38" s="259" t="str">
        <f t="shared" ref="J38:J61" si="5">IF(G38="RSL","60.00","0")</f>
        <v>0</v>
      </c>
      <c r="K38" s="259" t="str">
        <f t="shared" ref="K38:K61" si="6">IF(G38="GVS","37.5",IF(G38="GVM","41.5",IF(G38="GVL","50",IF(G38="PCS/X","62.5",IF(G38="PCS/HP","79.16",IF(G38="PCL/X","79.16",IF(G38="PCL/HP","100.00","0")))))))</f>
        <v>0</v>
      </c>
      <c r="L38" s="236"/>
      <c r="M38" s="236"/>
      <c r="N38" s="232"/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7">A38+1</f>
        <v>28</v>
      </c>
      <c r="B39" s="108"/>
      <c r="C39" s="26"/>
      <c r="D39" s="155"/>
      <c r="E39" s="153"/>
      <c r="F39" s="151"/>
      <c r="G39" s="108"/>
      <c r="H39" s="81"/>
      <c r="I39" s="260"/>
      <c r="J39" s="259" t="str">
        <f t="shared" si="5"/>
        <v>0</v>
      </c>
      <c r="K39" s="259" t="str">
        <f t="shared" si="6"/>
        <v>0</v>
      </c>
      <c r="L39" s="236"/>
      <c r="M39" s="236"/>
      <c r="N39" s="232"/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7"/>
        <v>29</v>
      </c>
      <c r="B40" s="175"/>
      <c r="C40" s="54"/>
      <c r="D40" s="156"/>
      <c r="E40" s="153"/>
      <c r="F40" s="152"/>
      <c r="G40" s="109"/>
      <c r="H40" s="81"/>
      <c r="I40" s="81"/>
      <c r="J40" s="259" t="str">
        <f t="shared" si="5"/>
        <v>0</v>
      </c>
      <c r="K40" s="259" t="str">
        <f t="shared" si="6"/>
        <v>0</v>
      </c>
      <c r="L40" s="236"/>
      <c r="M40" s="236"/>
      <c r="N40" s="232"/>
      <c r="O40" s="326"/>
      <c r="P40" s="326"/>
      <c r="Q40" s="326"/>
      <c r="R40" s="68"/>
      <c r="S40" s="61"/>
      <c r="T40" s="61"/>
      <c r="U40" s="62"/>
    </row>
    <row r="41" spans="1:33">
      <c r="A41" s="114">
        <f t="shared" si="7"/>
        <v>30</v>
      </c>
      <c r="B41" s="108"/>
      <c r="C41" s="54"/>
      <c r="D41" s="156"/>
      <c r="E41" s="153"/>
      <c r="F41" s="152"/>
      <c r="G41" s="109"/>
      <c r="H41" s="81"/>
      <c r="I41" s="81"/>
      <c r="J41" s="259" t="str">
        <f t="shared" si="5"/>
        <v>0</v>
      </c>
      <c r="K41" s="259" t="str">
        <f t="shared" si="6"/>
        <v>0</v>
      </c>
      <c r="L41" s="236"/>
      <c r="M41" s="236"/>
      <c r="N41" s="232"/>
      <c r="O41" s="326"/>
      <c r="P41" s="326"/>
      <c r="Q41" s="326"/>
      <c r="R41" s="70"/>
      <c r="S41" s="63"/>
      <c r="T41" s="63"/>
      <c r="U41" s="64"/>
    </row>
    <row r="42" spans="1:33">
      <c r="A42" s="114">
        <f t="shared" si="7"/>
        <v>31</v>
      </c>
      <c r="B42" s="175"/>
      <c r="C42" s="27"/>
      <c r="D42" s="157"/>
      <c r="E42" s="153"/>
      <c r="F42" s="146"/>
      <c r="G42" s="110"/>
      <c r="H42" s="113"/>
      <c r="I42" s="261"/>
      <c r="J42" s="259" t="str">
        <f t="shared" si="5"/>
        <v>0</v>
      </c>
      <c r="K42" s="259" t="str">
        <f t="shared" si="6"/>
        <v>0</v>
      </c>
      <c r="L42" s="236"/>
      <c r="M42" s="236"/>
      <c r="N42" s="232"/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7"/>
        <v>32</v>
      </c>
      <c r="B43" s="108"/>
      <c r="C43" s="17"/>
      <c r="D43" s="163"/>
      <c r="E43" s="153"/>
      <c r="F43" s="57"/>
      <c r="G43" s="132"/>
      <c r="H43" s="113"/>
      <c r="I43" s="260"/>
      <c r="J43" s="259" t="str">
        <f t="shared" si="5"/>
        <v>0</v>
      </c>
      <c r="K43" s="259" t="str">
        <f t="shared" si="6"/>
        <v>0</v>
      </c>
      <c r="L43" s="236"/>
      <c r="M43" s="236"/>
      <c r="N43" s="232"/>
      <c r="O43" s="326"/>
      <c r="P43" s="326"/>
      <c r="Q43" s="326"/>
      <c r="R43" s="68"/>
      <c r="S43" s="61"/>
      <c r="T43" s="61"/>
      <c r="U43" s="62"/>
    </row>
    <row r="44" spans="1:33">
      <c r="A44" s="114">
        <f t="shared" si="7"/>
        <v>33</v>
      </c>
      <c r="B44" s="175"/>
      <c r="C44" s="55"/>
      <c r="D44" s="158"/>
      <c r="E44" s="153"/>
      <c r="F44" s="146"/>
      <c r="G44" s="109"/>
      <c r="H44" s="113"/>
      <c r="I44" s="261"/>
      <c r="J44" s="259" t="str">
        <f t="shared" si="5"/>
        <v>0</v>
      </c>
      <c r="K44" s="259" t="str">
        <f t="shared" si="6"/>
        <v>0</v>
      </c>
      <c r="L44" s="236"/>
      <c r="M44" s="236"/>
      <c r="N44" s="232"/>
      <c r="O44" s="326"/>
      <c r="P44" s="326"/>
      <c r="Q44" s="326"/>
      <c r="R44" s="5"/>
      <c r="S44" s="61"/>
      <c r="T44" s="61"/>
      <c r="U44" s="62"/>
    </row>
    <row r="45" spans="1:33">
      <c r="A45" s="114">
        <f t="shared" si="7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5"/>
        <v>0</v>
      </c>
      <c r="K45" s="259" t="str">
        <f t="shared" si="6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7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5"/>
        <v>0</v>
      </c>
      <c r="K46" s="259" t="str">
        <f t="shared" si="6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7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5"/>
        <v>0</v>
      </c>
      <c r="K47" s="259" t="str">
        <f t="shared" si="6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7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5"/>
        <v>0</v>
      </c>
      <c r="K48" s="259" t="str">
        <f t="shared" si="6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7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5"/>
        <v>0</v>
      </c>
      <c r="K49" s="259" t="str">
        <f t="shared" si="6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7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5"/>
        <v>0</v>
      </c>
      <c r="K50" s="259" t="str">
        <f t="shared" si="6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7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5"/>
        <v>0</v>
      </c>
      <c r="K51" s="259" t="str">
        <f t="shared" si="6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7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5"/>
        <v>0</v>
      </c>
      <c r="K52" s="259" t="str">
        <f t="shared" si="6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7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5"/>
        <v>0</v>
      </c>
      <c r="K53" s="259" t="str">
        <f t="shared" si="6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7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5"/>
        <v>0</v>
      </c>
      <c r="K54" s="259" t="str">
        <f t="shared" si="6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7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5"/>
        <v>0</v>
      </c>
      <c r="K55" s="259" t="str">
        <f t="shared" si="6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7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5"/>
        <v>0</v>
      </c>
      <c r="K56" s="259" t="str">
        <f t="shared" si="6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7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5"/>
        <v>0</v>
      </c>
      <c r="K57" s="259" t="str">
        <f t="shared" si="6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7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5"/>
        <v>0</v>
      </c>
      <c r="K58" s="259" t="str">
        <f t="shared" si="6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7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5"/>
        <v>0</v>
      </c>
      <c r="K59" s="259" t="str">
        <f t="shared" si="6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7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5"/>
        <v>0</v>
      </c>
      <c r="K60" s="259" t="str">
        <f t="shared" si="6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7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5"/>
        <v>0</v>
      </c>
      <c r="K61" s="259" t="str">
        <f t="shared" si="6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0</v>
      </c>
      <c r="J62" s="334">
        <f>J61+J60+J59+J58+J57+J56+J55+J54+J53+J52+J51+J50+J49+J48+J47+J46+J45+J44+J43+J42+J41+J40+J39+J38+J37</f>
        <v>0</v>
      </c>
      <c r="K62" s="334">
        <f>K61+K60+K59+K58+K57+K56+K55+K54+K53+K52+K51+K50+K49+K48+K47+K46+K45+K44+K43+K42+K41+K40+K39+K38+K37</f>
        <v>0</v>
      </c>
      <c r="L62" s="337">
        <f t="shared" si="8"/>
        <v>0</v>
      </c>
      <c r="M62" s="340">
        <f t="shared" si="8"/>
        <v>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45730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SUNNY</v>
      </c>
      <c r="K66" s="347"/>
      <c r="L66" s="349" t="s">
        <v>101</v>
      </c>
      <c r="M66" s="350"/>
      <c r="N66" s="348"/>
      <c r="O66" s="346" t="str">
        <f>O34</f>
        <v>SURESH</v>
      </c>
      <c r="P66" s="346"/>
      <c r="Q66" s="347"/>
      <c r="R66" s="349" t="s">
        <v>5</v>
      </c>
      <c r="S66" s="348"/>
      <c r="T66" s="343">
        <f>T34</f>
        <v>5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9">IF(G70="RSL","60.00","0")</f>
        <v>0</v>
      </c>
      <c r="K70" s="259" t="str">
        <f t="shared" ref="K70:K93" si="10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1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9"/>
        <v>0</v>
      </c>
      <c r="K71" s="259" t="str">
        <f t="shared" si="10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1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9"/>
        <v>0</v>
      </c>
      <c r="K72" s="259" t="str">
        <f t="shared" si="10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1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9"/>
        <v>0</v>
      </c>
      <c r="K73" s="259" t="str">
        <f t="shared" si="10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1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9"/>
        <v>0</v>
      </c>
      <c r="K74" s="259" t="str">
        <f t="shared" si="10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1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9"/>
        <v>0</v>
      </c>
      <c r="K75" s="259" t="str">
        <f t="shared" si="10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1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9"/>
        <v>0</v>
      </c>
      <c r="K76" s="259" t="str">
        <f t="shared" si="10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1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9"/>
        <v>0</v>
      </c>
      <c r="K77" s="259" t="str">
        <f t="shared" si="10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1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9"/>
        <v>0</v>
      </c>
      <c r="K78" s="259" t="str">
        <f t="shared" si="10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1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9"/>
        <v>0</v>
      </c>
      <c r="K79" s="259" t="str">
        <f t="shared" si="10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1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9"/>
        <v>0</v>
      </c>
      <c r="K80" s="259" t="str">
        <f t="shared" si="10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1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9"/>
        <v>0</v>
      </c>
      <c r="K81" s="259" t="str">
        <f t="shared" si="10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1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9"/>
        <v>0</v>
      </c>
      <c r="K82" s="259" t="str">
        <f t="shared" si="10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1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9"/>
        <v>0</v>
      </c>
      <c r="K83" s="259" t="str">
        <f t="shared" si="10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1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9"/>
        <v>0</v>
      </c>
      <c r="K84" s="259" t="str">
        <f t="shared" si="10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1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9"/>
        <v>0</v>
      </c>
      <c r="K85" s="259" t="str">
        <f t="shared" si="10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1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9"/>
        <v>0</v>
      </c>
      <c r="K86" s="259" t="str">
        <f t="shared" si="10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1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9"/>
        <v>0</v>
      </c>
      <c r="K87" s="259" t="str">
        <f t="shared" si="10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1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9"/>
        <v>0</v>
      </c>
      <c r="K88" s="259" t="str">
        <f t="shared" si="10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1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9"/>
        <v>0</v>
      </c>
      <c r="K89" s="259" t="str">
        <f t="shared" si="10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1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9"/>
        <v>0</v>
      </c>
      <c r="K90" s="259" t="str">
        <f t="shared" si="10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1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9"/>
        <v>0</v>
      </c>
      <c r="K91" s="259" t="str">
        <f t="shared" si="10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1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9"/>
        <v>0</v>
      </c>
      <c r="K92" s="259" t="str">
        <f t="shared" si="10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1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9"/>
        <v>0</v>
      </c>
      <c r="K93" s="259" t="str">
        <f t="shared" si="10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1" right="1" top="1" bottom="1" header="0.5" footer="0.5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S14" sqref="S14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7" width="4.62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45731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165</v>
      </c>
      <c r="K2" s="347"/>
      <c r="L2" s="349" t="s">
        <v>3</v>
      </c>
      <c r="M2" s="350"/>
      <c r="N2" s="348"/>
      <c r="O2" s="346" t="s">
        <v>4</v>
      </c>
      <c r="P2" s="346"/>
      <c r="Q2" s="347"/>
      <c r="R2" s="349" t="s">
        <v>5</v>
      </c>
      <c r="S2" s="348"/>
      <c r="T2" s="343">
        <v>5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3.5">
      <c r="A4" s="133" t="s">
        <v>10</v>
      </c>
      <c r="B4" s="176" t="s">
        <v>11</v>
      </c>
      <c r="C4" s="142" t="s">
        <v>12</v>
      </c>
      <c r="D4" s="166" t="s">
        <v>13</v>
      </c>
      <c r="E4" s="142" t="s">
        <v>14</v>
      </c>
      <c r="F4" s="176" t="s">
        <v>15</v>
      </c>
      <c r="G4" s="176" t="s">
        <v>16</v>
      </c>
      <c r="H4" s="176" t="s">
        <v>17</v>
      </c>
      <c r="I4" s="176" t="s">
        <v>18</v>
      </c>
      <c r="J4" s="176" t="s">
        <v>19</v>
      </c>
      <c r="K4" s="176" t="s">
        <v>20</v>
      </c>
      <c r="L4" s="176" t="s">
        <v>21</v>
      </c>
      <c r="M4" s="176" t="s">
        <v>22</v>
      </c>
      <c r="N4" s="176" t="s">
        <v>23</v>
      </c>
      <c r="O4" s="344" t="s">
        <v>24</v>
      </c>
      <c r="P4" s="344"/>
      <c r="Q4" s="344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114">
        <v>1</v>
      </c>
      <c r="B5" s="219">
        <v>23282</v>
      </c>
      <c r="C5" s="222" t="s">
        <v>266</v>
      </c>
      <c r="D5" s="234" t="s">
        <v>267</v>
      </c>
      <c r="E5" s="219" t="s">
        <v>35</v>
      </c>
      <c r="F5" s="235">
        <v>745</v>
      </c>
      <c r="G5" s="219" t="s">
        <v>59</v>
      </c>
      <c r="H5" s="236"/>
      <c r="I5" s="220">
        <v>130</v>
      </c>
      <c r="J5" s="259" t="str">
        <f>IF(G5="RSL","60.00","0")</f>
        <v>0</v>
      </c>
      <c r="K5" s="259" t="str">
        <f>IF(G5="GVS","37.5",IF(G5="GVM","41.5",IF(G5="GVL","50",IF(G5="PCS/X","62.5",IF(G5="PCS/HP","79.16",IF(G5="PCL/X","79.16",IF(G5="PCL/HP","100.00","0")))))))</f>
        <v>0</v>
      </c>
      <c r="L5" s="236"/>
      <c r="M5" s="236"/>
      <c r="N5" s="232" t="s">
        <v>4</v>
      </c>
      <c r="O5" s="326" t="s">
        <v>110</v>
      </c>
      <c r="P5" s="326"/>
      <c r="Q5" s="326"/>
      <c r="R5" s="32" t="s">
        <v>4</v>
      </c>
      <c r="S5" s="30">
        <v>0.32291666666666669</v>
      </c>
      <c r="T5" s="31">
        <v>0.70833333333333337</v>
      </c>
      <c r="U5" s="82">
        <f t="shared" ref="U5:U15" si="0">(T5-S5)*24</f>
        <v>9.25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114">
        <v>2</v>
      </c>
      <c r="B6" s="219">
        <v>23283</v>
      </c>
      <c r="C6" s="223" t="s">
        <v>268</v>
      </c>
      <c r="D6" s="234" t="s">
        <v>269</v>
      </c>
      <c r="E6" s="219" t="s">
        <v>53</v>
      </c>
      <c r="F6" s="235">
        <v>750</v>
      </c>
      <c r="G6" s="219" t="s">
        <v>65</v>
      </c>
      <c r="H6" s="236"/>
      <c r="I6" s="220"/>
      <c r="J6" s="259">
        <v>80</v>
      </c>
      <c r="K6" s="259" t="str">
        <f t="shared" ref="K6:K29" si="1">IF(G6="GVS","37.5",IF(G6="GVM","41.5",IF(G6="GVL","50",IF(G6="PCS/X","62.5",IF(G6="PCS/HP","79.16",IF(G6="PCL/X","79.16",IF(G6="PCL/HP","100.00","0")))))))</f>
        <v>0</v>
      </c>
      <c r="L6" s="236"/>
      <c r="M6" s="236"/>
      <c r="N6" s="232" t="s">
        <v>4</v>
      </c>
      <c r="O6" s="326" t="s">
        <v>270</v>
      </c>
      <c r="P6" s="326"/>
      <c r="Q6" s="326"/>
      <c r="R6" s="115" t="s">
        <v>271</v>
      </c>
      <c r="S6" s="30">
        <v>0.375</v>
      </c>
      <c r="T6" s="31">
        <v>0.70833333333333337</v>
      </c>
      <c r="U6" s="82">
        <f t="shared" si="0"/>
        <v>8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114">
        <v>3</v>
      </c>
      <c r="B7" s="219">
        <v>23284</v>
      </c>
      <c r="C7" s="223" t="s">
        <v>272</v>
      </c>
      <c r="D7" s="234" t="s">
        <v>273</v>
      </c>
      <c r="E7" s="219" t="s">
        <v>35</v>
      </c>
      <c r="F7" s="235">
        <v>750</v>
      </c>
      <c r="G7" s="219" t="s">
        <v>54</v>
      </c>
      <c r="H7" s="236"/>
      <c r="I7" s="220"/>
      <c r="J7" s="259" t="str">
        <f t="shared" ref="J6:J29" si="2">IF(G7="RSL","60.00","0")</f>
        <v>0</v>
      </c>
      <c r="K7" s="259">
        <v>95</v>
      </c>
      <c r="L7" s="236"/>
      <c r="M7" s="236"/>
      <c r="N7" s="232" t="s">
        <v>4</v>
      </c>
      <c r="O7" s="326" t="s">
        <v>274</v>
      </c>
      <c r="P7" s="326"/>
      <c r="Q7" s="326"/>
      <c r="R7" s="116" t="s">
        <v>42</v>
      </c>
      <c r="S7" s="30">
        <v>0.375</v>
      </c>
      <c r="T7" s="31">
        <v>0.70833333333333337</v>
      </c>
      <c r="U7" s="82">
        <f t="shared" si="0"/>
        <v>8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114">
        <v>4</v>
      </c>
      <c r="B8" s="219">
        <v>23285</v>
      </c>
      <c r="C8" s="224" t="s">
        <v>275</v>
      </c>
      <c r="D8" s="234" t="s">
        <v>276</v>
      </c>
      <c r="E8" s="219" t="s">
        <v>53</v>
      </c>
      <c r="F8" s="235">
        <v>850</v>
      </c>
      <c r="G8" s="219" t="s">
        <v>41</v>
      </c>
      <c r="H8" s="236">
        <v>95</v>
      </c>
      <c r="I8" s="220"/>
      <c r="J8" s="259" t="str">
        <f t="shared" si="2"/>
        <v>0</v>
      </c>
      <c r="K8" s="259" t="str">
        <f t="shared" si="1"/>
        <v>0</v>
      </c>
      <c r="L8" s="236"/>
      <c r="M8" s="236"/>
      <c r="N8" s="232" t="s">
        <v>4</v>
      </c>
      <c r="O8" s="326"/>
      <c r="P8" s="326"/>
      <c r="Q8" s="326"/>
      <c r="R8" s="25" t="s">
        <v>277</v>
      </c>
      <c r="S8" s="30">
        <v>0.39583333333333331</v>
      </c>
      <c r="T8" s="31">
        <v>0.5625</v>
      </c>
      <c r="U8" s="82">
        <f t="shared" si="0"/>
        <v>4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117">
        <v>5</v>
      </c>
      <c r="B9" s="219">
        <v>23286</v>
      </c>
      <c r="C9" s="225" t="s">
        <v>278</v>
      </c>
      <c r="D9" s="237" t="s">
        <v>279</v>
      </c>
      <c r="E9" s="219" t="s">
        <v>53</v>
      </c>
      <c r="F9" s="238">
        <v>850</v>
      </c>
      <c r="G9" s="226" t="s">
        <v>280</v>
      </c>
      <c r="H9" s="236"/>
      <c r="I9" s="220"/>
      <c r="J9" s="259" t="str">
        <f t="shared" si="2"/>
        <v>0</v>
      </c>
      <c r="K9" s="259">
        <v>65</v>
      </c>
      <c r="L9" s="236"/>
      <c r="M9" s="236"/>
      <c r="N9" s="232" t="s">
        <v>4</v>
      </c>
      <c r="O9" s="326" t="s">
        <v>281</v>
      </c>
      <c r="P9" s="326"/>
      <c r="Q9" s="326"/>
      <c r="R9" s="25" t="s">
        <v>178</v>
      </c>
      <c r="S9" s="30">
        <v>0.41666666666666669</v>
      </c>
      <c r="T9" s="31">
        <v>0.70833333333333337</v>
      </c>
      <c r="U9" s="82">
        <f t="shared" si="0"/>
        <v>7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117">
        <v>6</v>
      </c>
      <c r="B10" s="219">
        <v>23287</v>
      </c>
      <c r="C10" s="227" t="s">
        <v>282</v>
      </c>
      <c r="D10" s="239" t="s">
        <v>283</v>
      </c>
      <c r="E10" s="219" t="s">
        <v>35</v>
      </c>
      <c r="F10" s="225">
        <v>930</v>
      </c>
      <c r="G10" s="228" t="s">
        <v>54</v>
      </c>
      <c r="H10" s="79"/>
      <c r="I10" s="220"/>
      <c r="J10" s="259" t="str">
        <f t="shared" si="2"/>
        <v>0</v>
      </c>
      <c r="K10" s="259">
        <v>120</v>
      </c>
      <c r="L10" s="236"/>
      <c r="M10" s="236"/>
      <c r="N10" s="232" t="s">
        <v>4</v>
      </c>
      <c r="O10" s="326" t="s">
        <v>284</v>
      </c>
      <c r="P10" s="326"/>
      <c r="Q10" s="326"/>
      <c r="R10" s="25" t="s">
        <v>138</v>
      </c>
      <c r="S10" s="30">
        <v>0.4375</v>
      </c>
      <c r="T10" s="31">
        <v>0.70833333333333337</v>
      </c>
      <c r="U10" s="82">
        <f t="shared" si="0"/>
        <v>6.5000000000000009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117">
        <v>7</v>
      </c>
      <c r="B11" s="219">
        <v>23288</v>
      </c>
      <c r="C11" s="222" t="s">
        <v>285</v>
      </c>
      <c r="D11" s="240" t="s">
        <v>286</v>
      </c>
      <c r="E11" s="219" t="s">
        <v>35</v>
      </c>
      <c r="F11" s="223">
        <v>930</v>
      </c>
      <c r="G11" s="229" t="s">
        <v>201</v>
      </c>
      <c r="H11" s="79"/>
      <c r="I11" s="220">
        <v>75</v>
      </c>
      <c r="J11" s="259" t="str">
        <f t="shared" si="2"/>
        <v>0</v>
      </c>
      <c r="K11" s="259" t="str">
        <f t="shared" si="1"/>
        <v>0</v>
      </c>
      <c r="L11" s="236"/>
      <c r="M11" s="236"/>
      <c r="N11" s="232" t="s">
        <v>271</v>
      </c>
      <c r="O11" s="326"/>
      <c r="P11" s="326"/>
      <c r="Q11" s="326"/>
      <c r="R11" s="25"/>
      <c r="S11" s="30"/>
      <c r="T11" s="31"/>
      <c r="U11" s="82">
        <f t="shared" si="0"/>
        <v>0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23289</v>
      </c>
      <c r="C12" s="230" t="s">
        <v>287</v>
      </c>
      <c r="D12" s="241" t="s">
        <v>288</v>
      </c>
      <c r="E12" s="219" t="s">
        <v>53</v>
      </c>
      <c r="F12" s="225">
        <v>940</v>
      </c>
      <c r="G12" s="226" t="s">
        <v>289</v>
      </c>
      <c r="H12" s="79"/>
      <c r="I12" s="220"/>
      <c r="J12" s="259" t="str">
        <f t="shared" si="2"/>
        <v>0</v>
      </c>
      <c r="K12" s="259">
        <v>96.15</v>
      </c>
      <c r="L12" s="236"/>
      <c r="M12" s="236"/>
      <c r="N12" s="232" t="s">
        <v>4</v>
      </c>
      <c r="O12" s="326" t="s">
        <v>290</v>
      </c>
      <c r="P12" s="326"/>
      <c r="Q12" s="326"/>
      <c r="R12" s="25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>
        <v>23290</v>
      </c>
      <c r="C13" s="230" t="s">
        <v>291</v>
      </c>
      <c r="D13" s="241" t="s">
        <v>292</v>
      </c>
      <c r="E13" s="219" t="s">
        <v>35</v>
      </c>
      <c r="F13" s="225">
        <v>945</v>
      </c>
      <c r="G13" s="226" t="s">
        <v>173</v>
      </c>
      <c r="H13" s="79"/>
      <c r="I13" s="220"/>
      <c r="J13" s="259" t="str">
        <f t="shared" si="2"/>
        <v>0</v>
      </c>
      <c r="K13" s="259" t="str">
        <f t="shared" si="1"/>
        <v>100.00</v>
      </c>
      <c r="L13" s="236"/>
      <c r="M13" s="236"/>
      <c r="N13" s="232" t="s">
        <v>271</v>
      </c>
      <c r="O13" s="326" t="s">
        <v>293</v>
      </c>
      <c r="P13" s="326"/>
      <c r="Q13" s="326"/>
      <c r="R13" s="32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117">
        <v>10</v>
      </c>
      <c r="B14" s="219">
        <v>23291</v>
      </c>
      <c r="C14" s="232" t="s">
        <v>294</v>
      </c>
      <c r="D14" s="242" t="s">
        <v>295</v>
      </c>
      <c r="E14" s="219" t="s">
        <v>53</v>
      </c>
      <c r="F14" s="223">
        <v>1000</v>
      </c>
      <c r="G14" s="226" t="s">
        <v>54</v>
      </c>
      <c r="H14" s="79"/>
      <c r="I14" s="220"/>
      <c r="J14" s="259" t="str">
        <f t="shared" si="2"/>
        <v>0</v>
      </c>
      <c r="K14" s="259">
        <v>95</v>
      </c>
      <c r="L14" s="236"/>
      <c r="M14" s="236"/>
      <c r="N14" s="232" t="s">
        <v>271</v>
      </c>
      <c r="O14" s="326" t="s">
        <v>296</v>
      </c>
      <c r="P14" s="326"/>
      <c r="Q14" s="326"/>
      <c r="R14" s="25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>
        <v>23292</v>
      </c>
      <c r="C15" s="232" t="s">
        <v>297</v>
      </c>
      <c r="D15" s="242" t="s">
        <v>298</v>
      </c>
      <c r="E15" s="219" t="s">
        <v>53</v>
      </c>
      <c r="F15" s="223">
        <v>1015</v>
      </c>
      <c r="G15" s="226" t="s">
        <v>217</v>
      </c>
      <c r="H15" s="79"/>
      <c r="I15" s="220"/>
      <c r="J15" s="259" t="str">
        <f t="shared" si="2"/>
        <v>0</v>
      </c>
      <c r="K15" s="259" t="str">
        <f t="shared" si="1"/>
        <v>79.16</v>
      </c>
      <c r="L15" s="236"/>
      <c r="M15" s="236"/>
      <c r="N15" s="232" t="s">
        <v>271</v>
      </c>
      <c r="O15" s="326" t="s">
        <v>299</v>
      </c>
      <c r="P15" s="326"/>
      <c r="Q15" s="326"/>
      <c r="R15" s="25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>
        <v>23293</v>
      </c>
      <c r="C16" s="232" t="s">
        <v>300</v>
      </c>
      <c r="D16" s="242" t="s">
        <v>301</v>
      </c>
      <c r="E16" s="219" t="s">
        <v>53</v>
      </c>
      <c r="F16" s="223">
        <v>1030</v>
      </c>
      <c r="G16" s="226" t="s">
        <v>302</v>
      </c>
      <c r="H16" s="79"/>
      <c r="I16" s="220"/>
      <c r="J16" s="259" t="str">
        <f t="shared" si="2"/>
        <v>0</v>
      </c>
      <c r="K16" s="259">
        <v>100</v>
      </c>
      <c r="L16" s="236"/>
      <c r="M16" s="236"/>
      <c r="N16" s="232" t="s">
        <v>4</v>
      </c>
      <c r="O16" s="326" t="s">
        <v>303</v>
      </c>
      <c r="P16" s="326"/>
      <c r="Q16" s="326"/>
      <c r="R16" s="72">
        <f>H32/U16</f>
        <v>0.77192982456140347</v>
      </c>
      <c r="S16" s="73">
        <f>H32/(U16-U5)</f>
        <v>0.9850746268656716</v>
      </c>
      <c r="T16" s="73">
        <f>C32/U16</f>
        <v>66.575672514619882</v>
      </c>
      <c r="U16" s="73">
        <f>SUM(U5:U15)</f>
        <v>42.75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>
        <v>23294</v>
      </c>
      <c r="C17" s="222" t="s">
        <v>304</v>
      </c>
      <c r="D17" s="240" t="s">
        <v>305</v>
      </c>
      <c r="E17" s="219" t="s">
        <v>35</v>
      </c>
      <c r="F17" s="223">
        <v>1040</v>
      </c>
      <c r="G17" s="229" t="s">
        <v>229</v>
      </c>
      <c r="H17" s="79"/>
      <c r="I17" s="220"/>
      <c r="J17" s="259" t="str">
        <f t="shared" si="2"/>
        <v>0</v>
      </c>
      <c r="K17" s="259" t="str">
        <f t="shared" si="1"/>
        <v>62.5</v>
      </c>
      <c r="L17" s="236"/>
      <c r="M17" s="236"/>
      <c r="N17" s="232" t="s">
        <v>271</v>
      </c>
      <c r="O17" s="326" t="s">
        <v>306</v>
      </c>
      <c r="P17" s="326"/>
      <c r="Q17" s="326"/>
      <c r="R17" s="74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>
        <v>23295</v>
      </c>
      <c r="C18" s="222" t="s">
        <v>307</v>
      </c>
      <c r="D18" s="240" t="s">
        <v>308</v>
      </c>
      <c r="E18" s="219" t="s">
        <v>53</v>
      </c>
      <c r="F18" s="223">
        <v>1115</v>
      </c>
      <c r="G18" s="231" t="s">
        <v>229</v>
      </c>
      <c r="H18" s="79"/>
      <c r="I18" s="220"/>
      <c r="J18" s="259" t="str">
        <f t="shared" si="2"/>
        <v>0</v>
      </c>
      <c r="K18" s="259" t="str">
        <f t="shared" si="1"/>
        <v>62.5</v>
      </c>
      <c r="L18" s="236"/>
      <c r="M18" s="236"/>
      <c r="N18" s="232" t="s">
        <v>271</v>
      </c>
      <c r="O18" s="326" t="s">
        <v>309</v>
      </c>
      <c r="P18" s="326"/>
      <c r="Q18" s="326"/>
      <c r="R18" s="76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>
        <v>23296</v>
      </c>
      <c r="C19" s="222" t="s">
        <v>310</v>
      </c>
      <c r="D19" s="240" t="s">
        <v>311</v>
      </c>
      <c r="E19" s="219" t="s">
        <v>53</v>
      </c>
      <c r="F19" s="223">
        <v>1120</v>
      </c>
      <c r="G19" s="229" t="s">
        <v>41</v>
      </c>
      <c r="H19" s="79"/>
      <c r="I19" s="220">
        <v>95</v>
      </c>
      <c r="J19" s="259" t="str">
        <f t="shared" si="2"/>
        <v>0</v>
      </c>
      <c r="K19" s="259" t="str">
        <f t="shared" si="1"/>
        <v>0</v>
      </c>
      <c r="L19" s="236"/>
      <c r="M19" s="236"/>
      <c r="N19" s="232" t="s">
        <v>271</v>
      </c>
      <c r="O19" s="326"/>
      <c r="P19" s="326"/>
      <c r="Q19" s="326"/>
      <c r="R19" s="83" t="s">
        <v>20</v>
      </c>
      <c r="S19" s="84">
        <f>COUNT(L5:M29,L37:M61,L69:M93)</f>
        <v>1</v>
      </c>
      <c r="T19" s="106">
        <f>SUM(L5:M29,L37:M61,L69:M93)</f>
        <v>600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>
        <v>23297</v>
      </c>
      <c r="C20" s="222" t="s">
        <v>312</v>
      </c>
      <c r="D20" s="240" t="s">
        <v>313</v>
      </c>
      <c r="E20" s="219" t="s">
        <v>53</v>
      </c>
      <c r="F20" s="223">
        <v>1130</v>
      </c>
      <c r="G20" s="229" t="s">
        <v>49</v>
      </c>
      <c r="H20" s="79"/>
      <c r="I20" s="220"/>
      <c r="J20" s="259" t="str">
        <f t="shared" si="2"/>
        <v>0</v>
      </c>
      <c r="K20" s="259" t="str">
        <f t="shared" si="1"/>
        <v>79.16</v>
      </c>
      <c r="L20" s="222"/>
      <c r="M20" s="222"/>
      <c r="N20" s="232" t="s">
        <v>271</v>
      </c>
      <c r="O20" s="326" t="s">
        <v>314</v>
      </c>
      <c r="P20" s="326"/>
      <c r="Q20" s="326"/>
      <c r="R20" s="118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>
        <v>23298</v>
      </c>
      <c r="C21" s="222" t="s">
        <v>315</v>
      </c>
      <c r="D21" s="240" t="s">
        <v>316</v>
      </c>
      <c r="E21" s="219" t="s">
        <v>35</v>
      </c>
      <c r="F21" s="223">
        <v>1145</v>
      </c>
      <c r="G21" s="231" t="s">
        <v>41</v>
      </c>
      <c r="H21" s="79"/>
      <c r="I21" s="220">
        <v>75</v>
      </c>
      <c r="J21" s="259" t="str">
        <f t="shared" si="2"/>
        <v>0</v>
      </c>
      <c r="K21" s="259" t="str">
        <f t="shared" si="1"/>
        <v>0</v>
      </c>
      <c r="L21" s="236"/>
      <c r="M21" s="236"/>
      <c r="N21" s="232" t="s">
        <v>271</v>
      </c>
      <c r="O21" s="326"/>
      <c r="P21" s="326"/>
      <c r="Q21" s="326"/>
      <c r="R21" s="103"/>
      <c r="S21" s="139"/>
      <c r="T21" s="138"/>
      <c r="U21" s="105"/>
      <c r="X21" s="38"/>
      <c r="Z21" s="39"/>
      <c r="AK21" s="39"/>
    </row>
    <row r="22" spans="1:44" ht="16.5" customHeight="1">
      <c r="A22" s="122">
        <v>18</v>
      </c>
      <c r="B22" s="219">
        <v>23299</v>
      </c>
      <c r="C22" s="221" t="s">
        <v>317</v>
      </c>
      <c r="D22" s="243" t="s">
        <v>318</v>
      </c>
      <c r="E22" s="219" t="s">
        <v>35</v>
      </c>
      <c r="F22" s="232">
        <v>1215</v>
      </c>
      <c r="G22" s="219" t="s">
        <v>54</v>
      </c>
      <c r="H22" s="79"/>
      <c r="I22" s="220">
        <v>70</v>
      </c>
      <c r="J22" s="259" t="str">
        <f t="shared" si="2"/>
        <v>0</v>
      </c>
      <c r="K22" s="259">
        <v>20</v>
      </c>
      <c r="L22" s="236"/>
      <c r="M22" s="236"/>
      <c r="N22" s="232" t="s">
        <v>271</v>
      </c>
      <c r="O22" s="326" t="s">
        <v>319</v>
      </c>
      <c r="P22" s="326"/>
      <c r="Q22" s="326"/>
      <c r="R22" s="10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>
        <v>23300</v>
      </c>
      <c r="C23" s="221" t="s">
        <v>320</v>
      </c>
      <c r="D23" s="243" t="s">
        <v>321</v>
      </c>
      <c r="E23" s="219" t="s">
        <v>35</v>
      </c>
      <c r="F23" s="232">
        <v>1230</v>
      </c>
      <c r="G23" s="219" t="s">
        <v>41</v>
      </c>
      <c r="H23" s="79"/>
      <c r="I23" s="220">
        <v>75</v>
      </c>
      <c r="J23" s="259" t="str">
        <f t="shared" si="2"/>
        <v>0</v>
      </c>
      <c r="K23" s="259" t="str">
        <f t="shared" si="1"/>
        <v>0</v>
      </c>
      <c r="L23" s="236"/>
      <c r="M23" s="236"/>
      <c r="N23" s="232" t="s">
        <v>271</v>
      </c>
      <c r="O23" s="326"/>
      <c r="P23" s="326"/>
      <c r="Q23" s="326"/>
      <c r="R23" s="10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>
        <v>23301</v>
      </c>
      <c r="C24" s="221" t="s">
        <v>322</v>
      </c>
      <c r="D24" s="243" t="s">
        <v>323</v>
      </c>
      <c r="E24" s="219" t="s">
        <v>53</v>
      </c>
      <c r="F24" s="232">
        <v>1245</v>
      </c>
      <c r="G24" s="219" t="s">
        <v>173</v>
      </c>
      <c r="H24" s="79"/>
      <c r="I24" s="220"/>
      <c r="J24" s="259" t="str">
        <f t="shared" si="2"/>
        <v>0</v>
      </c>
      <c r="K24" s="259" t="str">
        <f t="shared" si="1"/>
        <v>100.00</v>
      </c>
      <c r="L24" s="236"/>
      <c r="M24" s="236"/>
      <c r="N24" s="232" t="s">
        <v>271</v>
      </c>
      <c r="O24" s="326" t="s">
        <v>324</v>
      </c>
      <c r="P24" s="326"/>
      <c r="Q24" s="326"/>
      <c r="R24" s="123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>
        <v>23302</v>
      </c>
      <c r="C25" s="232" t="s">
        <v>325</v>
      </c>
      <c r="D25" s="242" t="s">
        <v>326</v>
      </c>
      <c r="E25" s="219" t="s">
        <v>53</v>
      </c>
      <c r="F25" s="232">
        <v>1250</v>
      </c>
      <c r="G25" s="219" t="s">
        <v>49</v>
      </c>
      <c r="H25" s="220"/>
      <c r="I25" s="220"/>
      <c r="J25" s="259" t="str">
        <f t="shared" si="2"/>
        <v>0</v>
      </c>
      <c r="K25" s="259" t="str">
        <f t="shared" si="1"/>
        <v>79.16</v>
      </c>
      <c r="L25" s="236"/>
      <c r="M25" s="236"/>
      <c r="N25" s="232" t="s">
        <v>271</v>
      </c>
      <c r="O25" s="326" t="s">
        <v>327</v>
      </c>
      <c r="P25" s="326"/>
      <c r="Q25" s="326"/>
      <c r="R25" s="90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2846.1099999999997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>
        <v>23303</v>
      </c>
      <c r="C26" s="224" t="s">
        <v>328</v>
      </c>
      <c r="D26" s="244" t="s">
        <v>329</v>
      </c>
      <c r="E26" s="219" t="s">
        <v>53</v>
      </c>
      <c r="F26" s="224">
        <v>1300</v>
      </c>
      <c r="G26" s="231" t="s">
        <v>59</v>
      </c>
      <c r="H26" s="79"/>
      <c r="I26" s="220">
        <v>130</v>
      </c>
      <c r="J26" s="259" t="str">
        <f t="shared" si="2"/>
        <v>0</v>
      </c>
      <c r="K26" s="259" t="str">
        <f t="shared" si="1"/>
        <v>0</v>
      </c>
      <c r="L26" s="236"/>
      <c r="M26" s="236"/>
      <c r="N26" s="232" t="s">
        <v>271</v>
      </c>
      <c r="O26" s="326"/>
      <c r="P26" s="326"/>
      <c r="Q26" s="326"/>
      <c r="R26" s="102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>
        <v>23304</v>
      </c>
      <c r="C27" s="224" t="s">
        <v>330</v>
      </c>
      <c r="D27" s="244" t="s">
        <v>331</v>
      </c>
      <c r="E27" s="219" t="s">
        <v>53</v>
      </c>
      <c r="F27" s="224">
        <v>1325</v>
      </c>
      <c r="G27" s="231" t="s">
        <v>49</v>
      </c>
      <c r="H27" s="79"/>
      <c r="I27" s="220"/>
      <c r="J27" s="259" t="str">
        <f t="shared" si="2"/>
        <v>0</v>
      </c>
      <c r="K27" s="259" t="str">
        <f t="shared" si="1"/>
        <v>79.16</v>
      </c>
      <c r="L27" s="236"/>
      <c r="M27" s="236"/>
      <c r="N27" s="232" t="s">
        <v>4</v>
      </c>
      <c r="O27" s="326" t="s">
        <v>332</v>
      </c>
      <c r="P27" s="326"/>
      <c r="Q27" s="326"/>
      <c r="R27" s="385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>
        <v>23305</v>
      </c>
      <c r="C28" s="224" t="s">
        <v>333</v>
      </c>
      <c r="D28" s="244" t="s">
        <v>334</v>
      </c>
      <c r="E28" s="219" t="s">
        <v>53</v>
      </c>
      <c r="F28" s="224">
        <v>1325</v>
      </c>
      <c r="G28" s="231" t="s">
        <v>36</v>
      </c>
      <c r="H28" s="79"/>
      <c r="I28" s="220"/>
      <c r="J28" s="259" t="str">
        <f t="shared" si="2"/>
        <v>60.00</v>
      </c>
      <c r="K28" s="259" t="str">
        <f t="shared" si="1"/>
        <v>0</v>
      </c>
      <c r="L28" s="236"/>
      <c r="M28" s="236"/>
      <c r="N28" s="232" t="s">
        <v>4</v>
      </c>
      <c r="O28" s="326" t="s">
        <v>335</v>
      </c>
      <c r="P28" s="326"/>
      <c r="Q28" s="326"/>
      <c r="R28" s="387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>
        <v>23306</v>
      </c>
      <c r="C29" s="227" t="s">
        <v>336</v>
      </c>
      <c r="D29" s="239" t="s">
        <v>337</v>
      </c>
      <c r="E29" s="219" t="s">
        <v>35</v>
      </c>
      <c r="F29" s="224">
        <v>1330</v>
      </c>
      <c r="G29" s="231" t="s">
        <v>41</v>
      </c>
      <c r="H29" s="79"/>
      <c r="I29" s="220">
        <v>75</v>
      </c>
      <c r="J29" s="259" t="str">
        <f t="shared" si="2"/>
        <v>0</v>
      </c>
      <c r="K29" s="259" t="str">
        <f t="shared" si="1"/>
        <v>0</v>
      </c>
      <c r="L29" s="236"/>
      <c r="M29" s="236"/>
      <c r="N29" s="232" t="s">
        <v>4</v>
      </c>
      <c r="O29" s="326"/>
      <c r="P29" s="326"/>
      <c r="Q29" s="326"/>
      <c r="R29" s="388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86"/>
      <c r="C30" s="386"/>
      <c r="D30" s="386"/>
      <c r="E30" s="358"/>
      <c r="F30" s="386"/>
      <c r="G30" s="386"/>
      <c r="H30" s="172">
        <f t="shared" ref="H30:M30" si="3">SUM(H5:H29)</f>
        <v>95</v>
      </c>
      <c r="I30" s="95">
        <f>SUM(I5:I29)</f>
        <v>725</v>
      </c>
      <c r="J30" s="95">
        <f>J5+J6+J7+J8+J9+J10+J11+J12+J13+J14+J15+J16+J18+J19+J17+J20+J22+J23+J21+J24+J25+J26+J27+J28+J29</f>
        <v>140</v>
      </c>
      <c r="K30" s="95">
        <f>K5+K6+K7+K8+K9+K10+K11+K12+K13+K14+K15+K16+K18+K19+K17+K20+K22+K23+K21+K24+K25+K26+K27+K28+K29</f>
        <v>1232.79</v>
      </c>
      <c r="L30" s="96">
        <f t="shared" si="3"/>
        <v>0</v>
      </c>
      <c r="M30" s="96">
        <f t="shared" si="3"/>
        <v>0</v>
      </c>
      <c r="N30" s="177" t="s">
        <v>90</v>
      </c>
      <c r="O30" s="177" t="s">
        <v>18</v>
      </c>
      <c r="P30" s="177" t="s">
        <v>20</v>
      </c>
      <c r="Q30" s="86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4">H30+H62+H94</f>
        <v>95</v>
      </c>
      <c r="I31" s="93">
        <f t="shared" si="4"/>
        <v>1100</v>
      </c>
      <c r="J31" s="93">
        <f t="shared" si="4"/>
        <v>260</v>
      </c>
      <c r="K31" s="93">
        <f>K30+K62+K94</f>
        <v>1391.11</v>
      </c>
      <c r="L31" s="87">
        <f>L30+L62+L94</f>
        <v>0</v>
      </c>
      <c r="M31" s="87">
        <f>M30+M62+M94</f>
        <v>600</v>
      </c>
      <c r="N31" s="178">
        <f>COUNT(H5:H29,H37:H61,H69:H93)</f>
        <v>1</v>
      </c>
      <c r="O31" s="94">
        <f>COUNT(I5:I29,I37:I61,I69:I93)</f>
        <v>12</v>
      </c>
      <c r="P31" s="94">
        <f>COUNTIF(G5:G29,"G*")+COUNTIF(G37:G61,"G*")+COUNTIF(G69:G93,"G*")+COUNTIF(G5:G29,"P*")+COUNTIF(G37:G61,"P*")+COUNTIF(G69:G93,"P*")</f>
        <v>17</v>
      </c>
      <c r="Q31" s="107">
        <f>COUNTIF(G5:G29,"RSL*")+COUNTIF(G37:G61,"RSL*")+COUNTIF(G69:G93,"RSL*")</f>
        <v>4</v>
      </c>
      <c r="R31" s="88" t="s">
        <v>92</v>
      </c>
      <c r="S31" s="101">
        <f>H31+L31-U28-U29-U30</f>
        <v>95</v>
      </c>
      <c r="T31" s="351">
        <f>H31+I31+L31+M31</f>
        <v>1795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2846.1099999999997</v>
      </c>
      <c r="D32" s="168"/>
      <c r="E32" s="97"/>
      <c r="F32" s="367" t="s">
        <v>95</v>
      </c>
      <c r="G32" s="367"/>
      <c r="H32" s="99">
        <f>COUNT(B5:B29,B37:B61,B69:B93)</f>
        <v>33</v>
      </c>
      <c r="I32" s="368" t="s">
        <v>96</v>
      </c>
      <c r="J32" s="368"/>
      <c r="K32" s="98">
        <f>C32/H32</f>
        <v>86.245757575757565</v>
      </c>
      <c r="L32" s="179"/>
      <c r="M32" s="179"/>
      <c r="N32" s="179">
        <f>H31/C32</f>
        <v>3.3378892593750771E-2</v>
      </c>
      <c r="O32" s="179">
        <f>I31/C32</f>
        <v>0.3864924405592195</v>
      </c>
      <c r="P32" s="179">
        <f>K31/C32</f>
        <v>0.48877590816939614</v>
      </c>
      <c r="Q32" s="100">
        <f>J31/C32</f>
        <v>9.1352758677633691E-2</v>
      </c>
      <c r="R32" s="89" t="s">
        <v>97</v>
      </c>
      <c r="S32" s="174">
        <f>I31+M31</f>
        <v>1700</v>
      </c>
      <c r="T32" s="353"/>
      <c r="U32" s="354"/>
      <c r="V32" s="39"/>
      <c r="W32" s="39"/>
      <c r="X32" s="48" t="s">
        <v>98</v>
      </c>
      <c r="Y32" s="48"/>
      <c r="Z32" s="47">
        <f>I31</f>
        <v>1100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-1645</v>
      </c>
      <c r="AG33" s="35"/>
    </row>
    <row r="34" spans="1:33" ht="15.75" thickBot="1">
      <c r="A34" s="345">
        <f>A2</f>
        <v>45731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SUNNY</v>
      </c>
      <c r="K34" s="347"/>
      <c r="L34" s="349" t="s">
        <v>101</v>
      </c>
      <c r="M34" s="350"/>
      <c r="N34" s="348"/>
      <c r="O34" s="346" t="str">
        <f>O2</f>
        <v>SURESH</v>
      </c>
      <c r="P34" s="346"/>
      <c r="Q34" s="347"/>
      <c r="R34" s="349" t="s">
        <v>5</v>
      </c>
      <c r="S34" s="348"/>
      <c r="T34" s="343">
        <f>T2</f>
        <v>5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>
        <v>23307</v>
      </c>
      <c r="C37" s="59" t="s">
        <v>338</v>
      </c>
      <c r="D37" s="216" t="s">
        <v>339</v>
      </c>
      <c r="E37" s="153" t="s">
        <v>53</v>
      </c>
      <c r="F37" s="147">
        <v>1335</v>
      </c>
      <c r="G37" s="108" t="s">
        <v>36</v>
      </c>
      <c r="H37" s="81"/>
      <c r="I37" s="260"/>
      <c r="J37" s="259" t="str">
        <f>IF(G37="RSL","60.00","0")</f>
        <v>60.00</v>
      </c>
      <c r="K37" s="259" t="str">
        <f>IF(G37="GVS","37.5",IF(G37="GVM","41.5",IF(G37="GVL","50",IF(G37="PCS/X","62.5",IF(G37="PCS/HP","79.16",IF(G37="PCL/X","79.16",IF(G37="PCL/HP","100.00","0")))))))</f>
        <v>0</v>
      </c>
      <c r="L37" s="236"/>
      <c r="M37" s="236"/>
      <c r="N37" s="232" t="s">
        <v>4</v>
      </c>
      <c r="O37" s="326" t="s">
        <v>340</v>
      </c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>
        <v>23308</v>
      </c>
      <c r="C38" s="58" t="s">
        <v>341</v>
      </c>
      <c r="D38" s="167" t="s">
        <v>342</v>
      </c>
      <c r="E38" s="153" t="s">
        <v>53</v>
      </c>
      <c r="F38" s="151">
        <v>1440</v>
      </c>
      <c r="G38" s="108" t="s">
        <v>59</v>
      </c>
      <c r="H38" s="81"/>
      <c r="I38" s="260">
        <v>100</v>
      </c>
      <c r="J38" s="259" t="str">
        <f t="shared" ref="J38:J61" si="5">IF(G38="RSL","60.00","0")</f>
        <v>0</v>
      </c>
      <c r="K38" s="259" t="str">
        <f t="shared" ref="K38:K61" si="6">IF(G38="GVS","37.5",IF(G38="GVM","41.5",IF(G38="GVL","50",IF(G38="PCS/X","62.5",IF(G38="PCS/HP","79.16",IF(G38="PCL/X","79.16",IF(G38="PCL/HP","100.00","0")))))))</f>
        <v>0</v>
      </c>
      <c r="L38" s="236"/>
      <c r="M38" s="236"/>
      <c r="N38" s="232" t="s">
        <v>4</v>
      </c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7">A38+1</f>
        <v>28</v>
      </c>
      <c r="B39" s="108">
        <v>23309</v>
      </c>
      <c r="C39" s="26" t="s">
        <v>343</v>
      </c>
      <c r="D39" s="155" t="s">
        <v>344</v>
      </c>
      <c r="E39" s="153" t="s">
        <v>35</v>
      </c>
      <c r="F39" s="151">
        <v>1445</v>
      </c>
      <c r="G39" s="108" t="s">
        <v>59</v>
      </c>
      <c r="H39" s="81"/>
      <c r="I39" s="260">
        <v>130</v>
      </c>
      <c r="J39" s="259" t="str">
        <f t="shared" si="5"/>
        <v>0</v>
      </c>
      <c r="K39" s="259" t="str">
        <f t="shared" si="6"/>
        <v>0</v>
      </c>
      <c r="L39" s="236"/>
      <c r="M39" s="236"/>
      <c r="N39" s="232" t="s">
        <v>271</v>
      </c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7"/>
        <v>29</v>
      </c>
      <c r="B40" s="175">
        <v>23310</v>
      </c>
      <c r="C40" s="54" t="s">
        <v>345</v>
      </c>
      <c r="D40" s="156" t="s">
        <v>346</v>
      </c>
      <c r="E40" s="153" t="s">
        <v>53</v>
      </c>
      <c r="F40" s="152">
        <v>1445</v>
      </c>
      <c r="G40" s="109" t="s">
        <v>41</v>
      </c>
      <c r="H40" s="81"/>
      <c r="I40" s="81">
        <v>75</v>
      </c>
      <c r="J40" s="259" t="str">
        <f t="shared" si="5"/>
        <v>0</v>
      </c>
      <c r="K40" s="259" t="str">
        <f t="shared" si="6"/>
        <v>0</v>
      </c>
      <c r="L40" s="236"/>
      <c r="M40" s="236"/>
      <c r="N40" s="232" t="s">
        <v>271</v>
      </c>
      <c r="O40" s="326"/>
      <c r="P40" s="326"/>
      <c r="Q40" s="326"/>
      <c r="R40" s="68"/>
      <c r="S40" s="61"/>
      <c r="T40" s="61"/>
      <c r="U40" s="62"/>
    </row>
    <row r="41" spans="1:33">
      <c r="A41" s="305">
        <f t="shared" si="7"/>
        <v>30</v>
      </c>
      <c r="B41" s="310">
        <v>23311</v>
      </c>
      <c r="C41" s="263" t="s">
        <v>347</v>
      </c>
      <c r="D41" s="311" t="s">
        <v>348</v>
      </c>
      <c r="E41" s="312" t="s">
        <v>35</v>
      </c>
      <c r="F41" s="313">
        <v>1500</v>
      </c>
      <c r="G41" s="262" t="s">
        <v>49</v>
      </c>
      <c r="H41" s="267"/>
      <c r="I41" s="267"/>
      <c r="J41" s="267" t="str">
        <f t="shared" si="5"/>
        <v>0</v>
      </c>
      <c r="K41" s="267" t="str">
        <f t="shared" si="6"/>
        <v>79.16</v>
      </c>
      <c r="L41" s="266"/>
      <c r="M41" s="266">
        <v>600</v>
      </c>
      <c r="N41" s="263" t="s">
        <v>271</v>
      </c>
      <c r="O41" s="392" t="s">
        <v>349</v>
      </c>
      <c r="P41" s="392"/>
      <c r="Q41" s="392"/>
      <c r="R41" s="70"/>
      <c r="S41" s="63"/>
      <c r="T41" s="63"/>
      <c r="U41" s="64"/>
    </row>
    <row r="42" spans="1:33">
      <c r="A42" s="114">
        <f t="shared" si="7"/>
        <v>31</v>
      </c>
      <c r="B42" s="175">
        <v>23312</v>
      </c>
      <c r="C42" s="27" t="s">
        <v>350</v>
      </c>
      <c r="D42" s="157" t="s">
        <v>351</v>
      </c>
      <c r="E42" s="153" t="s">
        <v>35</v>
      </c>
      <c r="F42" s="146">
        <v>1535</v>
      </c>
      <c r="G42" s="110" t="s">
        <v>352</v>
      </c>
      <c r="H42" s="113"/>
      <c r="I42" s="261">
        <v>70</v>
      </c>
      <c r="J42" s="259" t="str">
        <f t="shared" si="5"/>
        <v>0</v>
      </c>
      <c r="K42" s="259" t="str">
        <f t="shared" si="6"/>
        <v>0</v>
      </c>
      <c r="L42" s="236"/>
      <c r="M42" s="236"/>
      <c r="N42" s="232" t="s">
        <v>4</v>
      </c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7"/>
        <v>32</v>
      </c>
      <c r="B43" s="108">
        <v>23313</v>
      </c>
      <c r="C43" s="17" t="s">
        <v>353</v>
      </c>
      <c r="D43" s="163" t="s">
        <v>354</v>
      </c>
      <c r="E43" s="153" t="s">
        <v>53</v>
      </c>
      <c r="F43" s="57">
        <v>1600</v>
      </c>
      <c r="G43" s="132" t="s">
        <v>36</v>
      </c>
      <c r="H43" s="113"/>
      <c r="I43" s="260"/>
      <c r="J43" s="259" t="str">
        <f t="shared" si="5"/>
        <v>60.00</v>
      </c>
      <c r="K43" s="259" t="str">
        <f t="shared" si="6"/>
        <v>0</v>
      </c>
      <c r="L43" s="236"/>
      <c r="M43" s="236"/>
      <c r="N43" s="232" t="s">
        <v>4</v>
      </c>
      <c r="O43" s="326" t="s">
        <v>355</v>
      </c>
      <c r="P43" s="326"/>
      <c r="Q43" s="326"/>
      <c r="R43" s="68"/>
      <c r="S43" s="61"/>
      <c r="T43" s="61"/>
      <c r="U43" s="62"/>
    </row>
    <row r="44" spans="1:33">
      <c r="A44" s="114">
        <f t="shared" si="7"/>
        <v>33</v>
      </c>
      <c r="B44" s="175">
        <v>23314</v>
      </c>
      <c r="C44" s="55" t="s">
        <v>356</v>
      </c>
      <c r="D44" s="158" t="s">
        <v>357</v>
      </c>
      <c r="E44" s="153" t="s">
        <v>53</v>
      </c>
      <c r="F44" s="146">
        <v>1605</v>
      </c>
      <c r="G44" s="109" t="s">
        <v>49</v>
      </c>
      <c r="H44" s="113"/>
      <c r="I44" s="261"/>
      <c r="J44" s="259" t="str">
        <f t="shared" si="5"/>
        <v>0</v>
      </c>
      <c r="K44" s="259" t="str">
        <f t="shared" si="6"/>
        <v>79.16</v>
      </c>
      <c r="L44" s="236"/>
      <c r="M44" s="236"/>
      <c r="N44" s="232" t="s">
        <v>4</v>
      </c>
      <c r="O44" s="326" t="s">
        <v>358</v>
      </c>
      <c r="P44" s="326"/>
      <c r="Q44" s="326"/>
      <c r="R44" s="5"/>
      <c r="S44" s="61"/>
      <c r="T44" s="61"/>
      <c r="U44" s="62"/>
    </row>
    <row r="45" spans="1:33">
      <c r="A45" s="114">
        <f t="shared" si="7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5"/>
        <v>0</v>
      </c>
      <c r="K45" s="259" t="str">
        <f t="shared" si="6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7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5"/>
        <v>0</v>
      </c>
      <c r="K46" s="259" t="str">
        <f t="shared" si="6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7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5"/>
        <v>0</v>
      </c>
      <c r="K47" s="259" t="str">
        <f t="shared" si="6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7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5"/>
        <v>0</v>
      </c>
      <c r="K48" s="259" t="str">
        <f t="shared" si="6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7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5"/>
        <v>0</v>
      </c>
      <c r="K49" s="259" t="str">
        <f t="shared" si="6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7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5"/>
        <v>0</v>
      </c>
      <c r="K50" s="259" t="str">
        <f t="shared" si="6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7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5"/>
        <v>0</v>
      </c>
      <c r="K51" s="259" t="str">
        <f t="shared" si="6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7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5"/>
        <v>0</v>
      </c>
      <c r="K52" s="259" t="str">
        <f t="shared" si="6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7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5"/>
        <v>0</v>
      </c>
      <c r="K53" s="259" t="str">
        <f t="shared" si="6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7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5"/>
        <v>0</v>
      </c>
      <c r="K54" s="259" t="str">
        <f t="shared" si="6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7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5"/>
        <v>0</v>
      </c>
      <c r="K55" s="259" t="str">
        <f t="shared" si="6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7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5"/>
        <v>0</v>
      </c>
      <c r="K56" s="259" t="str">
        <f t="shared" si="6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7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5"/>
        <v>0</v>
      </c>
      <c r="K57" s="259" t="str">
        <f t="shared" si="6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7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5"/>
        <v>0</v>
      </c>
      <c r="K58" s="259" t="str">
        <f t="shared" si="6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7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5"/>
        <v>0</v>
      </c>
      <c r="K59" s="259" t="str">
        <f t="shared" si="6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7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5"/>
        <v>0</v>
      </c>
      <c r="K60" s="259" t="str">
        <f t="shared" si="6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7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5"/>
        <v>0</v>
      </c>
      <c r="K61" s="259" t="str">
        <f t="shared" si="6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375</v>
      </c>
      <c r="J62" s="334">
        <f>J61+J60+J59+J58+J57+J56+J55+J54+J53+J52+J51+J50+J49+J48+J47+J46+J45+J44+J43+J42+J41+J40+J39+J38+J37</f>
        <v>120</v>
      </c>
      <c r="K62" s="334">
        <f>K61+K60+K59+K58+K57+K56+K55+K54+K53+K52+K51+K50+K49+K48+K47+K46+K45+K44+K43+K42+K41+K40+K39+K38+K37</f>
        <v>158.32</v>
      </c>
      <c r="L62" s="337">
        <f t="shared" si="8"/>
        <v>0</v>
      </c>
      <c r="M62" s="340">
        <f t="shared" si="8"/>
        <v>600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45731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SUNNY</v>
      </c>
      <c r="K66" s="347"/>
      <c r="L66" s="349" t="s">
        <v>101</v>
      </c>
      <c r="M66" s="350"/>
      <c r="N66" s="348"/>
      <c r="O66" s="346" t="str">
        <f>O34</f>
        <v>SURESH</v>
      </c>
      <c r="P66" s="346"/>
      <c r="Q66" s="347"/>
      <c r="R66" s="349" t="s">
        <v>5</v>
      </c>
      <c r="S66" s="348"/>
      <c r="T66" s="343">
        <f>T34</f>
        <v>5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9">IF(G70="RSL","60.00","0")</f>
        <v>0</v>
      </c>
      <c r="K70" s="259" t="str">
        <f t="shared" ref="K70:K93" si="10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1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9"/>
        <v>0</v>
      </c>
      <c r="K71" s="259" t="str">
        <f t="shared" si="10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1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9"/>
        <v>0</v>
      </c>
      <c r="K72" s="259" t="str">
        <f t="shared" si="10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1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9"/>
        <v>0</v>
      </c>
      <c r="K73" s="259" t="str">
        <f t="shared" si="10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1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9"/>
        <v>0</v>
      </c>
      <c r="K74" s="259" t="str">
        <f t="shared" si="10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1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9"/>
        <v>0</v>
      </c>
      <c r="K75" s="259" t="str">
        <f t="shared" si="10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1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9"/>
        <v>0</v>
      </c>
      <c r="K76" s="259" t="str">
        <f t="shared" si="10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1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9"/>
        <v>0</v>
      </c>
      <c r="K77" s="259" t="str">
        <f t="shared" si="10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1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9"/>
        <v>0</v>
      </c>
      <c r="K78" s="259" t="str">
        <f t="shared" si="10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1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9"/>
        <v>0</v>
      </c>
      <c r="K79" s="259" t="str">
        <f t="shared" si="10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1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9"/>
        <v>0</v>
      </c>
      <c r="K80" s="259" t="str">
        <f t="shared" si="10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1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9"/>
        <v>0</v>
      </c>
      <c r="K81" s="259" t="str">
        <f t="shared" si="10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1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9"/>
        <v>0</v>
      </c>
      <c r="K82" s="259" t="str">
        <f t="shared" si="10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1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9"/>
        <v>0</v>
      </c>
      <c r="K83" s="259" t="str">
        <f t="shared" si="10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1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9"/>
        <v>0</v>
      </c>
      <c r="K84" s="259" t="str">
        <f t="shared" si="10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1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9"/>
        <v>0</v>
      </c>
      <c r="K85" s="259" t="str">
        <f t="shared" si="10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1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9"/>
        <v>0</v>
      </c>
      <c r="K86" s="259" t="str">
        <f t="shared" si="10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1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9"/>
        <v>0</v>
      </c>
      <c r="K87" s="259" t="str">
        <f t="shared" si="10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1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9"/>
        <v>0</v>
      </c>
      <c r="K88" s="259" t="str">
        <f t="shared" si="10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1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9"/>
        <v>0</v>
      </c>
      <c r="K89" s="259" t="str">
        <f t="shared" si="10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1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9"/>
        <v>0</v>
      </c>
      <c r="K90" s="259" t="str">
        <f t="shared" si="10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1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9"/>
        <v>0</v>
      </c>
      <c r="K91" s="259" t="str">
        <f t="shared" si="10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1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9"/>
        <v>0</v>
      </c>
      <c r="K92" s="259" t="str">
        <f t="shared" si="10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1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9"/>
        <v>0</v>
      </c>
      <c r="K93" s="259" t="str">
        <f t="shared" si="10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23:Q23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1" right="1" top="1" bottom="1" header="0.5" footer="0.5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N18" sqref="N18"/>
    </sheetView>
  </sheetViews>
  <sheetFormatPr defaultColWidth="9" defaultRowHeight="15"/>
  <cols>
    <col min="1" max="1" width="5.125" style="14" bestFit="1" customWidth="1"/>
    <col min="2" max="2" width="7.625" style="14" customWidth="1"/>
    <col min="3" max="3" width="8.625" style="14" customWidth="1"/>
    <col min="4" max="4" width="10.25" style="165" customWidth="1"/>
    <col min="5" max="5" width="5.75" style="141" customWidth="1"/>
    <col min="6" max="6" width="5.625" style="14" customWidth="1"/>
    <col min="7" max="7" width="7.25" style="14" customWidth="1"/>
    <col min="8" max="8" width="6.75" style="14" customWidth="1"/>
    <col min="9" max="11" width="6.75" style="141" customWidth="1"/>
    <col min="12" max="13" width="6.75" style="14" customWidth="1"/>
    <col min="14" max="14" width="7.75" style="14" customWidth="1"/>
    <col min="15" max="15" width="5.375" style="141" customWidth="1"/>
    <col min="16" max="17" width="4.625" style="141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5.75" thickBot="1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7"/>
    </row>
    <row r="2" spans="1:44" ht="15.75" thickBot="1">
      <c r="A2" s="375">
        <v>45732</v>
      </c>
      <c r="B2" s="376"/>
      <c r="C2" s="376"/>
      <c r="D2" s="376"/>
      <c r="E2" s="376"/>
      <c r="F2" s="376"/>
      <c r="G2" s="377"/>
      <c r="H2" s="348" t="s">
        <v>1</v>
      </c>
      <c r="I2" s="349"/>
      <c r="J2" s="345" t="s">
        <v>165</v>
      </c>
      <c r="K2" s="347"/>
      <c r="L2" s="349" t="s">
        <v>3</v>
      </c>
      <c r="M2" s="350"/>
      <c r="N2" s="348"/>
      <c r="O2" s="346" t="s">
        <v>4</v>
      </c>
      <c r="P2" s="346"/>
      <c r="Q2" s="347"/>
      <c r="R2" s="349" t="s">
        <v>5</v>
      </c>
      <c r="S2" s="348"/>
      <c r="T2" s="343">
        <v>6</v>
      </c>
      <c r="U2" s="343"/>
      <c r="X2" s="34" t="s">
        <v>6</v>
      </c>
      <c r="Y2" s="34"/>
      <c r="Z2" s="34"/>
      <c r="AA2" s="34" t="s">
        <v>7</v>
      </c>
      <c r="AB2" s="34"/>
      <c r="AI2" s="136" t="s">
        <v>8</v>
      </c>
      <c r="AJ2" s="136"/>
      <c r="AK2" s="136"/>
      <c r="AL2" s="136" t="s">
        <v>7</v>
      </c>
      <c r="AM2" s="136"/>
    </row>
    <row r="3" spans="1:44" ht="9" customHeight="1" thickBot="1">
      <c r="A3" s="15" t="s">
        <v>9</v>
      </c>
      <c r="H3" s="9"/>
      <c r="I3" s="18"/>
      <c r="T3" s="10"/>
      <c r="U3" s="11"/>
    </row>
    <row r="4" spans="1:44" ht="13.5">
      <c r="A4" s="133" t="s">
        <v>10</v>
      </c>
      <c r="B4" s="176" t="s">
        <v>11</v>
      </c>
      <c r="C4" s="142" t="s">
        <v>12</v>
      </c>
      <c r="D4" s="166" t="s">
        <v>13</v>
      </c>
      <c r="E4" s="142" t="s">
        <v>14</v>
      </c>
      <c r="F4" s="176" t="s">
        <v>15</v>
      </c>
      <c r="G4" s="176" t="s">
        <v>16</v>
      </c>
      <c r="H4" s="176" t="s">
        <v>17</v>
      </c>
      <c r="I4" s="176" t="s">
        <v>18</v>
      </c>
      <c r="J4" s="176" t="s">
        <v>19</v>
      </c>
      <c r="K4" s="176" t="s">
        <v>20</v>
      </c>
      <c r="L4" s="176" t="s">
        <v>21</v>
      </c>
      <c r="M4" s="176" t="s">
        <v>22</v>
      </c>
      <c r="N4" s="176" t="s">
        <v>23</v>
      </c>
      <c r="O4" s="344" t="s">
        <v>24</v>
      </c>
      <c r="P4" s="344"/>
      <c r="Q4" s="344"/>
      <c r="R4" s="176" t="s">
        <v>25</v>
      </c>
      <c r="S4" s="134" t="s">
        <v>26</v>
      </c>
      <c r="T4" s="134" t="s">
        <v>27</v>
      </c>
      <c r="U4" s="135" t="s">
        <v>28</v>
      </c>
      <c r="Z4" s="14" t="s">
        <v>29</v>
      </c>
      <c r="AA4" s="14" t="s">
        <v>30</v>
      </c>
      <c r="AB4" s="14" t="s">
        <v>31</v>
      </c>
      <c r="AE4" s="14" t="s">
        <v>29</v>
      </c>
      <c r="AF4" s="14" t="s">
        <v>30</v>
      </c>
      <c r="AG4" s="14" t="s">
        <v>31</v>
      </c>
      <c r="AK4" s="14" t="s">
        <v>32</v>
      </c>
      <c r="AL4" s="14" t="s">
        <v>30</v>
      </c>
      <c r="AM4" s="14" t="s">
        <v>31</v>
      </c>
      <c r="AP4" s="14" t="s">
        <v>32</v>
      </c>
      <c r="AQ4" s="14" t="s">
        <v>30</v>
      </c>
      <c r="AR4" s="14" t="s">
        <v>31</v>
      </c>
    </row>
    <row r="5" spans="1:44" ht="16.5" customHeight="1">
      <c r="A5" s="298">
        <v>1</v>
      </c>
      <c r="B5" s="268">
        <v>23315</v>
      </c>
      <c r="C5" s="299" t="s">
        <v>359</v>
      </c>
      <c r="D5" s="300" t="s">
        <v>360</v>
      </c>
      <c r="E5" s="268" t="s">
        <v>35</v>
      </c>
      <c r="F5" s="271">
        <v>835</v>
      </c>
      <c r="G5" s="268" t="s">
        <v>361</v>
      </c>
      <c r="H5" s="272"/>
      <c r="I5" s="272">
        <v>500</v>
      </c>
      <c r="J5" s="273" t="str">
        <f>IF(G5="RSL","60.00","0")</f>
        <v>0</v>
      </c>
      <c r="K5" s="273" t="str">
        <f>IF(G5="GVS","37.5",IF(G5="GVM","41.5",IF(G5="GVL","50",IF(G5="PCS/X","62.5",IF(G5="PCS/HP","79.16",IF(G5="PCL/X","79.16",IF(G5="PCL/HP","100.00","0")))))))</f>
        <v>0</v>
      </c>
      <c r="L5" s="272"/>
      <c r="M5" s="272"/>
      <c r="N5" s="269" t="s">
        <v>4</v>
      </c>
      <c r="O5" s="391"/>
      <c r="P5" s="391"/>
      <c r="Q5" s="391"/>
      <c r="R5" s="32" t="s">
        <v>4</v>
      </c>
      <c r="S5" s="30">
        <v>0.32291666666666669</v>
      </c>
      <c r="T5" s="31">
        <v>0.70833333333333337</v>
      </c>
      <c r="U5" s="82">
        <f t="shared" ref="U5:U15" si="0">(T5-S5)*24</f>
        <v>9.25</v>
      </c>
      <c r="X5" s="141" t="s">
        <v>38</v>
      </c>
      <c r="Y5" s="141">
        <v>1</v>
      </c>
      <c r="Z5" s="22"/>
      <c r="AA5" s="22"/>
      <c r="AB5" s="22"/>
      <c r="AC5" s="35"/>
      <c r="AD5" s="141">
        <v>16</v>
      </c>
      <c r="AE5" s="22"/>
      <c r="AF5" s="22"/>
      <c r="AG5" s="22"/>
      <c r="AI5" s="141" t="s">
        <v>38</v>
      </c>
      <c r="AJ5" s="141">
        <v>1</v>
      </c>
      <c r="AK5" s="137"/>
      <c r="AL5" s="137"/>
      <c r="AM5" s="137"/>
      <c r="AN5" s="35"/>
      <c r="AO5" s="141">
        <v>16</v>
      </c>
      <c r="AP5" s="137"/>
      <c r="AQ5" s="137"/>
      <c r="AR5" s="137"/>
    </row>
    <row r="6" spans="1:44" ht="16.5" customHeight="1">
      <c r="A6" s="114">
        <v>2</v>
      </c>
      <c r="B6" s="219">
        <v>23316</v>
      </c>
      <c r="C6" s="223" t="s">
        <v>362</v>
      </c>
      <c r="D6" s="234" t="s">
        <v>363</v>
      </c>
      <c r="E6" s="219" t="s">
        <v>53</v>
      </c>
      <c r="F6" s="235">
        <v>850</v>
      </c>
      <c r="G6" s="219" t="s">
        <v>41</v>
      </c>
      <c r="H6" s="236"/>
      <c r="I6" s="220">
        <v>95</v>
      </c>
      <c r="J6" s="259" t="str">
        <f t="shared" ref="J6:J29" si="1">IF(G6="RSL","60.00","0")</f>
        <v>0</v>
      </c>
      <c r="K6" s="259" t="str">
        <f t="shared" ref="K6:K29" si="2">IF(G6="GVS","37.5",IF(G6="GVM","41.5",IF(G6="GVL","50",IF(G6="PCS/X","62.5",IF(G6="PCS/HP","79.16",IF(G6="PCL/X","79.16",IF(G6="PCL/HP","100.00","0")))))))</f>
        <v>0</v>
      </c>
      <c r="L6" s="236"/>
      <c r="M6" s="236"/>
      <c r="N6" s="232" t="s">
        <v>4</v>
      </c>
      <c r="O6" s="326"/>
      <c r="P6" s="326"/>
      <c r="Q6" s="326"/>
      <c r="R6" s="115" t="s">
        <v>364</v>
      </c>
      <c r="S6" s="30">
        <v>0.39583333333333331</v>
      </c>
      <c r="T6" s="31">
        <v>0.70833333333333337</v>
      </c>
      <c r="U6" s="82">
        <f t="shared" si="0"/>
        <v>7.5000000000000018</v>
      </c>
      <c r="W6" s="14" t="s">
        <v>43</v>
      </c>
      <c r="X6" s="141"/>
      <c r="Y6" s="141">
        <v>2</v>
      </c>
      <c r="Z6" s="22"/>
      <c r="AA6" s="22"/>
      <c r="AB6" s="22"/>
      <c r="AC6" s="35"/>
      <c r="AD6" s="141">
        <v>17</v>
      </c>
      <c r="AE6" s="22"/>
      <c r="AF6" s="22"/>
      <c r="AG6" s="22"/>
      <c r="AI6" s="141"/>
      <c r="AJ6" s="141">
        <v>2</v>
      </c>
      <c r="AK6" s="137"/>
      <c r="AL6" s="137"/>
      <c r="AM6" s="137"/>
      <c r="AN6" s="35"/>
      <c r="AO6" s="141">
        <v>17</v>
      </c>
      <c r="AP6" s="137"/>
      <c r="AQ6" s="137"/>
      <c r="AR6" s="137"/>
    </row>
    <row r="7" spans="1:44" ht="16.5" customHeight="1">
      <c r="A7" s="114">
        <v>3</v>
      </c>
      <c r="B7" s="219">
        <v>23317</v>
      </c>
      <c r="C7" s="223" t="s">
        <v>365</v>
      </c>
      <c r="D7" s="234" t="s">
        <v>366</v>
      </c>
      <c r="E7" s="219" t="s">
        <v>53</v>
      </c>
      <c r="F7" s="235">
        <v>905</v>
      </c>
      <c r="G7" s="219" t="s">
        <v>54</v>
      </c>
      <c r="H7" s="236"/>
      <c r="I7" s="220"/>
      <c r="J7" s="259" t="str">
        <f t="shared" si="1"/>
        <v>0</v>
      </c>
      <c r="K7" s="259">
        <v>95</v>
      </c>
      <c r="L7" s="236"/>
      <c r="M7" s="236"/>
      <c r="N7" s="232" t="s">
        <v>4</v>
      </c>
      <c r="O7" s="326" t="s">
        <v>367</v>
      </c>
      <c r="P7" s="326"/>
      <c r="Q7" s="326"/>
      <c r="R7" s="116" t="s">
        <v>42</v>
      </c>
      <c r="S7" s="30">
        <v>0.375</v>
      </c>
      <c r="T7" s="31">
        <v>0.70833333333333337</v>
      </c>
      <c r="U7" s="82">
        <f t="shared" si="0"/>
        <v>8</v>
      </c>
      <c r="W7" s="14" t="s">
        <v>46</v>
      </c>
      <c r="Y7" s="141">
        <v>3</v>
      </c>
      <c r="Z7" s="22"/>
      <c r="AA7" s="22"/>
      <c r="AB7" s="22"/>
      <c r="AC7" s="35"/>
      <c r="AD7" s="141">
        <v>18</v>
      </c>
      <c r="AE7" s="22"/>
      <c r="AF7" s="22"/>
      <c r="AG7" s="22"/>
      <c r="AJ7" s="141">
        <v>3</v>
      </c>
      <c r="AK7" s="137"/>
      <c r="AL7" s="137"/>
      <c r="AM7" s="137"/>
      <c r="AN7" s="35"/>
      <c r="AO7" s="141">
        <v>18</v>
      </c>
      <c r="AP7" s="137"/>
      <c r="AQ7" s="137"/>
      <c r="AR7" s="137"/>
    </row>
    <row r="8" spans="1:44" ht="16.5" customHeight="1">
      <c r="A8" s="114">
        <v>4</v>
      </c>
      <c r="B8" s="219">
        <v>23318</v>
      </c>
      <c r="C8" s="224" t="s">
        <v>368</v>
      </c>
      <c r="D8" s="234" t="s">
        <v>369</v>
      </c>
      <c r="E8" s="219" t="s">
        <v>35</v>
      </c>
      <c r="F8" s="235">
        <v>940</v>
      </c>
      <c r="G8" s="219" t="s">
        <v>59</v>
      </c>
      <c r="H8" s="236"/>
      <c r="I8" s="220">
        <v>140</v>
      </c>
      <c r="J8" s="259" t="str">
        <f t="shared" si="1"/>
        <v>0</v>
      </c>
      <c r="K8" s="259" t="str">
        <f t="shared" si="2"/>
        <v>0</v>
      </c>
      <c r="L8" s="236"/>
      <c r="M8" s="236"/>
      <c r="N8" s="232" t="s">
        <v>4</v>
      </c>
      <c r="O8" s="326" t="s">
        <v>110</v>
      </c>
      <c r="P8" s="326"/>
      <c r="Q8" s="326"/>
      <c r="R8" s="25" t="s">
        <v>277</v>
      </c>
      <c r="S8" s="30">
        <v>0.41666666666666669</v>
      </c>
      <c r="T8" s="31">
        <v>0.70833333333333337</v>
      </c>
      <c r="U8" s="82">
        <f t="shared" si="0"/>
        <v>7</v>
      </c>
      <c r="Y8" s="141">
        <v>4</v>
      </c>
      <c r="Z8" s="22"/>
      <c r="AA8" s="22"/>
      <c r="AB8" s="22"/>
      <c r="AC8" s="35"/>
      <c r="AD8" s="141">
        <v>19</v>
      </c>
      <c r="AE8" s="22"/>
      <c r="AF8" s="22"/>
      <c r="AG8" s="22"/>
      <c r="AJ8" s="141">
        <v>4</v>
      </c>
      <c r="AK8" s="137"/>
      <c r="AL8" s="137"/>
      <c r="AM8" s="137"/>
      <c r="AN8" s="35"/>
      <c r="AO8" s="141">
        <v>19</v>
      </c>
      <c r="AP8" s="137"/>
      <c r="AQ8" s="137"/>
      <c r="AR8" s="137"/>
    </row>
    <row r="9" spans="1:44" ht="16.5" customHeight="1">
      <c r="A9" s="307">
        <v>5</v>
      </c>
      <c r="B9" s="268">
        <v>23319</v>
      </c>
      <c r="C9" s="269" t="s">
        <v>370</v>
      </c>
      <c r="D9" s="270" t="s">
        <v>371</v>
      </c>
      <c r="E9" s="268" t="s">
        <v>53</v>
      </c>
      <c r="F9" s="271">
        <v>945</v>
      </c>
      <c r="G9" s="268" t="s">
        <v>135</v>
      </c>
      <c r="H9" s="272"/>
      <c r="I9" s="272">
        <v>180</v>
      </c>
      <c r="J9" s="273" t="str">
        <f t="shared" si="1"/>
        <v>0</v>
      </c>
      <c r="K9" s="273" t="str">
        <f t="shared" si="2"/>
        <v>0</v>
      </c>
      <c r="L9" s="272"/>
      <c r="M9" s="272"/>
      <c r="N9" s="269" t="s">
        <v>4</v>
      </c>
      <c r="O9" s="391"/>
      <c r="P9" s="391"/>
      <c r="Q9" s="391"/>
      <c r="R9" s="25" t="s">
        <v>224</v>
      </c>
      <c r="S9" s="30">
        <v>0.41666666666666669</v>
      </c>
      <c r="T9" s="31">
        <v>0.69791666666666663</v>
      </c>
      <c r="U9" s="82">
        <f t="shared" si="0"/>
        <v>6.7499999999999982</v>
      </c>
      <c r="X9" s="14" t="s">
        <v>56</v>
      </c>
      <c r="Y9" s="141">
        <v>5</v>
      </c>
      <c r="Z9" s="22"/>
      <c r="AA9" s="22"/>
      <c r="AB9" s="22"/>
      <c r="AC9" s="35"/>
      <c r="AD9" s="141">
        <v>20</v>
      </c>
      <c r="AE9" s="22"/>
      <c r="AF9" s="22"/>
      <c r="AG9" s="22"/>
      <c r="AJ9" s="141">
        <v>5</v>
      </c>
      <c r="AK9" s="137"/>
      <c r="AL9" s="137"/>
      <c r="AM9" s="137"/>
      <c r="AN9" s="35"/>
      <c r="AO9" s="141">
        <v>20</v>
      </c>
      <c r="AP9" s="137"/>
      <c r="AQ9" s="137"/>
      <c r="AR9" s="137"/>
    </row>
    <row r="10" spans="1:44" ht="16.5" customHeight="1">
      <c r="A10" s="117">
        <v>6</v>
      </c>
      <c r="B10" s="219">
        <v>23320</v>
      </c>
      <c r="C10" s="227" t="s">
        <v>372</v>
      </c>
      <c r="D10" s="239" t="s">
        <v>373</v>
      </c>
      <c r="E10" s="219" t="s">
        <v>53</v>
      </c>
      <c r="F10" s="225">
        <v>955</v>
      </c>
      <c r="G10" s="228" t="s">
        <v>41</v>
      </c>
      <c r="H10" s="79"/>
      <c r="I10" s="220">
        <v>95</v>
      </c>
      <c r="J10" s="259" t="str">
        <f t="shared" si="1"/>
        <v>0</v>
      </c>
      <c r="K10" s="259" t="str">
        <f t="shared" si="2"/>
        <v>0</v>
      </c>
      <c r="L10" s="236"/>
      <c r="M10" s="236"/>
      <c r="N10" s="232" t="s">
        <v>4</v>
      </c>
      <c r="O10" s="326"/>
      <c r="P10" s="326"/>
      <c r="Q10" s="326"/>
      <c r="R10" s="25" t="s">
        <v>178</v>
      </c>
      <c r="S10" s="30">
        <v>0.40625</v>
      </c>
      <c r="T10" s="31">
        <v>0.69791666666666663</v>
      </c>
      <c r="U10" s="82">
        <f t="shared" si="0"/>
        <v>6.9999999999999991</v>
      </c>
      <c r="X10" s="36"/>
      <c r="Y10" s="141">
        <v>6</v>
      </c>
      <c r="Z10" s="22"/>
      <c r="AA10" s="22"/>
      <c r="AB10" s="22"/>
      <c r="AC10" s="35"/>
      <c r="AD10" s="141">
        <v>21</v>
      </c>
      <c r="AE10" s="22"/>
      <c r="AF10" s="22"/>
      <c r="AG10" s="22"/>
      <c r="AI10" s="36"/>
      <c r="AJ10" s="141">
        <v>6</v>
      </c>
      <c r="AK10" s="137"/>
      <c r="AL10" s="137"/>
      <c r="AM10" s="137"/>
      <c r="AN10" s="35"/>
      <c r="AO10" s="141">
        <v>21</v>
      </c>
      <c r="AP10" s="137"/>
      <c r="AQ10" s="137"/>
      <c r="AR10" s="137"/>
    </row>
    <row r="11" spans="1:44" ht="16.5" customHeight="1">
      <c r="A11" s="117">
        <v>7</v>
      </c>
      <c r="B11" s="219">
        <v>23321</v>
      </c>
      <c r="C11" s="222" t="s">
        <v>374</v>
      </c>
      <c r="D11" s="240" t="s">
        <v>375</v>
      </c>
      <c r="E11" s="219" t="s">
        <v>53</v>
      </c>
      <c r="F11" s="223">
        <v>1020</v>
      </c>
      <c r="G11" s="229" t="s">
        <v>41</v>
      </c>
      <c r="H11" s="79"/>
      <c r="I11" s="220">
        <v>95</v>
      </c>
      <c r="J11" s="259" t="str">
        <f t="shared" si="1"/>
        <v>0</v>
      </c>
      <c r="K11" s="259" t="str">
        <f t="shared" si="2"/>
        <v>0</v>
      </c>
      <c r="L11" s="236"/>
      <c r="M11" s="236"/>
      <c r="N11" s="232" t="s">
        <v>4</v>
      </c>
      <c r="O11" s="326"/>
      <c r="P11" s="326"/>
      <c r="Q11" s="326"/>
      <c r="R11" s="25"/>
      <c r="S11" s="30"/>
      <c r="T11" s="31"/>
      <c r="U11" s="82">
        <f t="shared" si="0"/>
        <v>0</v>
      </c>
      <c r="Y11" s="141">
        <v>7</v>
      </c>
      <c r="Z11" s="22"/>
      <c r="AA11" s="22"/>
      <c r="AB11" s="22"/>
      <c r="AC11" s="35"/>
      <c r="AD11" s="141">
        <v>22</v>
      </c>
      <c r="AE11" s="22"/>
      <c r="AF11" s="22"/>
      <c r="AG11" s="22"/>
      <c r="AJ11" s="141">
        <v>7</v>
      </c>
      <c r="AK11" s="137"/>
      <c r="AL11" s="137"/>
      <c r="AM11" s="137"/>
      <c r="AN11" s="35"/>
      <c r="AO11" s="141">
        <v>22</v>
      </c>
      <c r="AP11" s="137"/>
      <c r="AQ11" s="137"/>
      <c r="AR11" s="137"/>
    </row>
    <row r="12" spans="1:44" ht="16.5" customHeight="1">
      <c r="A12" s="117">
        <v>8</v>
      </c>
      <c r="B12" s="219">
        <v>23322</v>
      </c>
      <c r="C12" s="230" t="s">
        <v>376</v>
      </c>
      <c r="D12" s="241" t="s">
        <v>377</v>
      </c>
      <c r="E12" s="219" t="s">
        <v>35</v>
      </c>
      <c r="F12" s="225">
        <v>1045</v>
      </c>
      <c r="G12" s="226" t="s">
        <v>49</v>
      </c>
      <c r="H12" s="79"/>
      <c r="I12" s="220"/>
      <c r="J12" s="259" t="str">
        <f t="shared" si="1"/>
        <v>0</v>
      </c>
      <c r="K12" s="259" t="str">
        <f t="shared" si="2"/>
        <v>79.16</v>
      </c>
      <c r="L12" s="236"/>
      <c r="M12" s="236"/>
      <c r="N12" s="232" t="s">
        <v>4</v>
      </c>
      <c r="O12" s="326" t="s">
        <v>378</v>
      </c>
      <c r="P12" s="326"/>
      <c r="Q12" s="326"/>
      <c r="R12" s="25"/>
      <c r="S12" s="30"/>
      <c r="T12" s="31"/>
      <c r="U12" s="82">
        <f t="shared" si="0"/>
        <v>0</v>
      </c>
      <c r="V12" s="140"/>
      <c r="Y12" s="141">
        <v>8</v>
      </c>
      <c r="Z12" s="22"/>
      <c r="AA12" s="22"/>
      <c r="AB12" s="22"/>
      <c r="AC12" s="35"/>
      <c r="AD12" s="141">
        <v>23</v>
      </c>
      <c r="AE12" s="22"/>
      <c r="AF12" s="22"/>
      <c r="AG12" s="22"/>
      <c r="AJ12" s="141">
        <v>8</v>
      </c>
      <c r="AK12" s="137"/>
      <c r="AL12" s="137"/>
      <c r="AM12" s="137"/>
      <c r="AN12" s="35"/>
      <c r="AO12" s="141">
        <v>23</v>
      </c>
      <c r="AP12" s="137"/>
      <c r="AQ12" s="137"/>
      <c r="AR12" s="137"/>
    </row>
    <row r="13" spans="1:44" ht="16.5" customHeight="1">
      <c r="A13" s="117">
        <v>9</v>
      </c>
      <c r="B13" s="219">
        <v>23323</v>
      </c>
      <c r="C13" s="230" t="s">
        <v>379</v>
      </c>
      <c r="D13" s="241" t="s">
        <v>380</v>
      </c>
      <c r="E13" s="219" t="s">
        <v>53</v>
      </c>
      <c r="F13" s="225">
        <v>1050</v>
      </c>
      <c r="G13" s="226" t="s">
        <v>381</v>
      </c>
      <c r="H13" s="79"/>
      <c r="I13" s="220"/>
      <c r="J13" s="259" t="str">
        <f t="shared" si="1"/>
        <v>0</v>
      </c>
      <c r="K13" s="259">
        <v>115.38</v>
      </c>
      <c r="L13" s="236"/>
      <c r="M13" s="236"/>
      <c r="N13" s="232" t="s">
        <v>4</v>
      </c>
      <c r="O13" s="326" t="s">
        <v>382</v>
      </c>
      <c r="P13" s="326"/>
      <c r="Q13" s="326"/>
      <c r="R13" s="32"/>
      <c r="S13" s="30"/>
      <c r="T13" s="31"/>
      <c r="U13" s="82">
        <f t="shared" si="0"/>
        <v>0</v>
      </c>
      <c r="Y13" s="141">
        <v>9</v>
      </c>
      <c r="Z13" s="22"/>
      <c r="AA13" s="22"/>
      <c r="AB13" s="22"/>
      <c r="AC13" s="35"/>
      <c r="AD13" s="141">
        <v>24</v>
      </c>
      <c r="AE13" s="22"/>
      <c r="AF13" s="22"/>
      <c r="AG13" s="22"/>
      <c r="AJ13" s="141">
        <v>9</v>
      </c>
      <c r="AK13" s="137"/>
      <c r="AL13" s="137"/>
      <c r="AM13" s="137"/>
      <c r="AN13" s="35"/>
      <c r="AO13" s="141">
        <v>24</v>
      </c>
      <c r="AP13" s="137"/>
      <c r="AQ13" s="137"/>
      <c r="AR13" s="137"/>
    </row>
    <row r="14" spans="1:44" ht="17.25" customHeight="1">
      <c r="A14" s="117">
        <v>10</v>
      </c>
      <c r="B14" s="219">
        <v>23324</v>
      </c>
      <c r="C14" s="232" t="s">
        <v>383</v>
      </c>
      <c r="D14" s="242" t="s">
        <v>384</v>
      </c>
      <c r="E14" s="219" t="s">
        <v>53</v>
      </c>
      <c r="F14" s="223">
        <v>1100</v>
      </c>
      <c r="G14" s="226" t="s">
        <v>36</v>
      </c>
      <c r="H14" s="79"/>
      <c r="I14" s="220"/>
      <c r="J14" s="259" t="str">
        <f t="shared" si="1"/>
        <v>60.00</v>
      </c>
      <c r="K14" s="259" t="str">
        <f t="shared" si="2"/>
        <v>0</v>
      </c>
      <c r="L14" s="236"/>
      <c r="M14" s="236"/>
      <c r="N14" s="232" t="s">
        <v>4</v>
      </c>
      <c r="O14" s="326" t="s">
        <v>385</v>
      </c>
      <c r="P14" s="326"/>
      <c r="Q14" s="326"/>
      <c r="R14" s="25"/>
      <c r="S14" s="30"/>
      <c r="T14" s="31"/>
      <c r="U14" s="82">
        <f t="shared" si="0"/>
        <v>0</v>
      </c>
      <c r="Y14" s="141">
        <v>10</v>
      </c>
      <c r="Z14" s="22"/>
      <c r="AA14" s="22"/>
      <c r="AB14" s="22"/>
      <c r="AC14" s="35"/>
      <c r="AD14" s="141">
        <v>25</v>
      </c>
      <c r="AE14" s="22"/>
      <c r="AF14" s="22"/>
      <c r="AG14" s="22"/>
      <c r="AJ14" s="141">
        <v>10</v>
      </c>
      <c r="AK14" s="137"/>
      <c r="AL14" s="137"/>
      <c r="AM14" s="137"/>
      <c r="AN14" s="35"/>
      <c r="AO14" s="141">
        <v>25</v>
      </c>
      <c r="AP14" s="137"/>
      <c r="AQ14" s="137"/>
      <c r="AR14" s="137"/>
    </row>
    <row r="15" spans="1:44" ht="16.5" customHeight="1">
      <c r="A15" s="117">
        <v>11</v>
      </c>
      <c r="B15" s="219">
        <v>23325</v>
      </c>
      <c r="C15" s="232" t="s">
        <v>386</v>
      </c>
      <c r="D15" s="242" t="s">
        <v>387</v>
      </c>
      <c r="E15" s="219" t="s">
        <v>35</v>
      </c>
      <c r="F15" s="223">
        <v>1115</v>
      </c>
      <c r="G15" s="226" t="s">
        <v>113</v>
      </c>
      <c r="H15" s="79"/>
      <c r="I15" s="220">
        <v>155</v>
      </c>
      <c r="J15" s="259" t="str">
        <f t="shared" si="1"/>
        <v>0</v>
      </c>
      <c r="K15" s="259" t="str">
        <f t="shared" si="2"/>
        <v>0</v>
      </c>
      <c r="L15" s="236"/>
      <c r="M15" s="236"/>
      <c r="N15" s="232" t="s">
        <v>4</v>
      </c>
      <c r="O15" s="326"/>
      <c r="P15" s="326"/>
      <c r="Q15" s="326"/>
      <c r="R15" s="25"/>
      <c r="S15" s="30"/>
      <c r="T15" s="31"/>
      <c r="U15" s="82">
        <f t="shared" si="0"/>
        <v>0</v>
      </c>
      <c r="W15" s="141"/>
      <c r="Y15" s="141">
        <v>11</v>
      </c>
      <c r="Z15" s="22"/>
      <c r="AA15" s="22"/>
      <c r="AB15" s="22"/>
      <c r="AC15" s="35"/>
      <c r="AD15" s="141">
        <v>26</v>
      </c>
      <c r="AE15" s="22"/>
      <c r="AF15" s="22"/>
      <c r="AG15" s="22"/>
      <c r="AJ15" s="141">
        <v>11</v>
      </c>
      <c r="AK15" s="137"/>
      <c r="AL15" s="137"/>
      <c r="AM15" s="137"/>
      <c r="AN15" s="35"/>
      <c r="AO15" s="141">
        <v>26</v>
      </c>
      <c r="AP15" s="137"/>
      <c r="AQ15" s="137"/>
      <c r="AR15" s="137"/>
    </row>
    <row r="16" spans="1:44" ht="15.75" customHeight="1">
      <c r="A16" s="117">
        <v>12</v>
      </c>
      <c r="B16" s="219">
        <v>23326</v>
      </c>
      <c r="C16" s="232" t="s">
        <v>388</v>
      </c>
      <c r="D16" s="242" t="s">
        <v>52</v>
      </c>
      <c r="E16" s="219" t="s">
        <v>53</v>
      </c>
      <c r="F16" s="223">
        <v>1115</v>
      </c>
      <c r="G16" s="226" t="s">
        <v>41</v>
      </c>
      <c r="H16" s="79"/>
      <c r="I16" s="220">
        <v>95</v>
      </c>
      <c r="J16" s="259" t="str">
        <f t="shared" si="1"/>
        <v>0</v>
      </c>
      <c r="K16" s="259" t="str">
        <f t="shared" si="2"/>
        <v>0</v>
      </c>
      <c r="L16" s="236"/>
      <c r="M16" s="236"/>
      <c r="N16" s="232" t="s">
        <v>4</v>
      </c>
      <c r="O16" s="326"/>
      <c r="P16" s="326"/>
      <c r="Q16" s="326"/>
      <c r="R16" s="72">
        <f>H32/U16</f>
        <v>0.63736263736263732</v>
      </c>
      <c r="S16" s="73">
        <f>H32/(U16-U5)</f>
        <v>0.8</v>
      </c>
      <c r="T16" s="73">
        <f>C32/U16</f>
        <v>68.616043956043953</v>
      </c>
      <c r="U16" s="73">
        <f>SUM(U5:U15)</f>
        <v>45.5</v>
      </c>
      <c r="Y16" s="141">
        <v>12</v>
      </c>
      <c r="Z16" s="22"/>
      <c r="AA16" s="22"/>
      <c r="AB16" s="22"/>
      <c r="AC16" s="35"/>
      <c r="AD16" s="141">
        <v>27</v>
      </c>
      <c r="AE16" s="22"/>
      <c r="AF16" s="22"/>
      <c r="AG16" s="22"/>
      <c r="AJ16" s="141">
        <v>12</v>
      </c>
      <c r="AK16" s="137"/>
      <c r="AL16" s="137"/>
      <c r="AM16" s="137"/>
      <c r="AN16" s="35"/>
      <c r="AO16" s="141">
        <v>27</v>
      </c>
      <c r="AP16" s="137"/>
      <c r="AQ16" s="137"/>
      <c r="AR16" s="137"/>
    </row>
    <row r="17" spans="1:44" ht="16.5" customHeight="1">
      <c r="A17" s="117">
        <v>13</v>
      </c>
      <c r="B17" s="219">
        <v>23327</v>
      </c>
      <c r="C17" s="222" t="s">
        <v>389</v>
      </c>
      <c r="D17" s="240" t="s">
        <v>390</v>
      </c>
      <c r="E17" s="219" t="s">
        <v>53</v>
      </c>
      <c r="F17" s="223">
        <v>1130</v>
      </c>
      <c r="G17" s="226" t="s">
        <v>41</v>
      </c>
      <c r="H17" s="79"/>
      <c r="I17" s="220">
        <v>95</v>
      </c>
      <c r="J17" s="259" t="str">
        <f t="shared" si="1"/>
        <v>0</v>
      </c>
      <c r="K17" s="259" t="str">
        <f t="shared" si="2"/>
        <v>0</v>
      </c>
      <c r="L17" s="236"/>
      <c r="M17" s="236"/>
      <c r="N17" s="232" t="s">
        <v>4</v>
      </c>
      <c r="O17" s="326"/>
      <c r="P17" s="326"/>
      <c r="Q17" s="326"/>
      <c r="R17" s="74" t="s">
        <v>70</v>
      </c>
      <c r="S17" s="75" t="s">
        <v>71</v>
      </c>
      <c r="T17" s="75" t="s">
        <v>72</v>
      </c>
      <c r="U17" s="73" t="s">
        <v>73</v>
      </c>
      <c r="Y17" s="141">
        <v>13</v>
      </c>
      <c r="Z17" s="22"/>
      <c r="AA17" s="22"/>
      <c r="AB17" s="22"/>
      <c r="AC17" s="35"/>
      <c r="AD17" s="141">
        <v>28</v>
      </c>
      <c r="AE17" s="22"/>
      <c r="AF17" s="22"/>
      <c r="AG17" s="22"/>
      <c r="AJ17" s="141">
        <v>13</v>
      </c>
      <c r="AK17" s="137"/>
      <c r="AL17" s="137"/>
      <c r="AM17" s="137"/>
      <c r="AN17" s="35"/>
      <c r="AO17" s="141">
        <v>28</v>
      </c>
      <c r="AP17" s="137"/>
      <c r="AQ17" s="137"/>
      <c r="AR17" s="137"/>
    </row>
    <row r="18" spans="1:44" ht="16.5" customHeight="1">
      <c r="A18" s="117">
        <v>14</v>
      </c>
      <c r="B18" s="219">
        <v>23328</v>
      </c>
      <c r="C18" s="222" t="s">
        <v>391</v>
      </c>
      <c r="D18" s="240" t="s">
        <v>392</v>
      </c>
      <c r="E18" s="219" t="s">
        <v>53</v>
      </c>
      <c r="F18" s="223">
        <v>1140</v>
      </c>
      <c r="G18" s="231" t="s">
        <v>201</v>
      </c>
      <c r="H18" s="79"/>
      <c r="I18" s="220">
        <v>55</v>
      </c>
      <c r="J18" s="259" t="str">
        <f t="shared" si="1"/>
        <v>0</v>
      </c>
      <c r="K18" s="259" t="str">
        <f t="shared" si="2"/>
        <v>0</v>
      </c>
      <c r="L18" s="236"/>
      <c r="M18" s="236"/>
      <c r="N18" s="232" t="s">
        <v>4</v>
      </c>
      <c r="O18" s="326"/>
      <c r="P18" s="326"/>
      <c r="Q18" s="326"/>
      <c r="R18" s="76" t="s">
        <v>74</v>
      </c>
      <c r="S18" s="77" t="s">
        <v>75</v>
      </c>
      <c r="T18" s="77" t="s">
        <v>76</v>
      </c>
      <c r="U18" s="78" t="s">
        <v>77</v>
      </c>
      <c r="Y18" s="141">
        <v>14</v>
      </c>
      <c r="Z18" s="22"/>
      <c r="AA18" s="22"/>
      <c r="AB18" s="22"/>
      <c r="AC18" s="35"/>
      <c r="AD18" s="141">
        <v>29</v>
      </c>
      <c r="AE18" s="22"/>
      <c r="AF18" s="22"/>
      <c r="AG18" s="22"/>
      <c r="AJ18" s="141">
        <v>14</v>
      </c>
      <c r="AK18" s="137"/>
      <c r="AL18" s="137"/>
      <c r="AM18" s="137"/>
      <c r="AN18" s="35"/>
      <c r="AO18" s="141">
        <v>29</v>
      </c>
      <c r="AP18" s="137"/>
      <c r="AQ18" s="137"/>
      <c r="AR18" s="137"/>
    </row>
    <row r="19" spans="1:44" ht="16.5" customHeight="1">
      <c r="A19" s="117">
        <v>15</v>
      </c>
      <c r="B19" s="219">
        <v>23329</v>
      </c>
      <c r="C19" s="222" t="s">
        <v>393</v>
      </c>
      <c r="D19" s="240" t="s">
        <v>318</v>
      </c>
      <c r="E19" s="219" t="s">
        <v>35</v>
      </c>
      <c r="F19" s="223">
        <v>1200</v>
      </c>
      <c r="G19" s="229" t="s">
        <v>59</v>
      </c>
      <c r="H19" s="79"/>
      <c r="I19" s="220">
        <v>160</v>
      </c>
      <c r="J19" s="259" t="str">
        <f t="shared" si="1"/>
        <v>0</v>
      </c>
      <c r="K19" s="259" t="str">
        <f t="shared" si="2"/>
        <v>0</v>
      </c>
      <c r="L19" s="236"/>
      <c r="M19" s="236"/>
      <c r="N19" s="232" t="s">
        <v>4</v>
      </c>
      <c r="O19" s="326"/>
      <c r="P19" s="326"/>
      <c r="Q19" s="326"/>
      <c r="R19" s="83" t="s">
        <v>20</v>
      </c>
      <c r="S19" s="84">
        <f>COUNT(L5:M29,L37:M61,L69:M93)</f>
        <v>1</v>
      </c>
      <c r="T19" s="106">
        <f>SUM(L5:M29,L37:M61,L69:M93)</f>
        <v>100</v>
      </c>
      <c r="U19" s="85"/>
      <c r="Y19" s="141">
        <v>15</v>
      </c>
      <c r="Z19" s="22"/>
      <c r="AA19" s="22"/>
      <c r="AB19" s="22"/>
      <c r="AC19" s="35"/>
      <c r="AD19" s="141">
        <v>30</v>
      </c>
      <c r="AE19" s="22"/>
      <c r="AF19" s="22"/>
      <c r="AG19" s="22"/>
      <c r="AH19" s="36"/>
      <c r="AJ19" s="141">
        <v>15</v>
      </c>
      <c r="AK19" s="137"/>
      <c r="AL19" s="137"/>
      <c r="AM19" s="137"/>
      <c r="AN19" s="35"/>
      <c r="AO19" s="141">
        <v>30</v>
      </c>
      <c r="AP19" s="137"/>
      <c r="AQ19" s="137"/>
      <c r="AR19" s="137"/>
    </row>
    <row r="20" spans="1:44" ht="16.5" customHeight="1">
      <c r="A20" s="117">
        <v>16</v>
      </c>
      <c r="B20" s="219">
        <v>23330</v>
      </c>
      <c r="C20" s="222" t="s">
        <v>394</v>
      </c>
      <c r="D20" s="240" t="s">
        <v>395</v>
      </c>
      <c r="E20" s="219" t="s">
        <v>53</v>
      </c>
      <c r="F20" s="223">
        <v>1205</v>
      </c>
      <c r="G20" s="229" t="s">
        <v>173</v>
      </c>
      <c r="H20" s="79"/>
      <c r="I20" s="220"/>
      <c r="J20" s="259" t="str">
        <f t="shared" si="1"/>
        <v>0</v>
      </c>
      <c r="K20" s="259" t="str">
        <f t="shared" si="2"/>
        <v>100.00</v>
      </c>
      <c r="L20" s="222"/>
      <c r="M20" s="222"/>
      <c r="N20" s="232" t="s">
        <v>4</v>
      </c>
      <c r="O20" s="326" t="s">
        <v>396</v>
      </c>
      <c r="P20" s="326"/>
      <c r="Q20" s="326"/>
      <c r="R20" s="118"/>
      <c r="S20" s="119"/>
      <c r="T20" s="120"/>
      <c r="U20" s="121"/>
      <c r="X20" s="37"/>
      <c r="Y20" s="141"/>
      <c r="Z20" s="37"/>
      <c r="AD20" s="141">
        <v>31</v>
      </c>
      <c r="AE20" s="22"/>
      <c r="AF20" s="22"/>
      <c r="AG20" s="22"/>
      <c r="AI20" s="37"/>
      <c r="AJ20" s="141"/>
      <c r="AK20" s="37"/>
      <c r="AO20" s="141">
        <v>31</v>
      </c>
      <c r="AP20" s="137"/>
      <c r="AQ20" s="35"/>
      <c r="AR20" s="137"/>
    </row>
    <row r="21" spans="1:44" ht="16.5" customHeight="1">
      <c r="A21" s="117">
        <v>17</v>
      </c>
      <c r="B21" s="219">
        <v>23331</v>
      </c>
      <c r="C21" s="222" t="s">
        <v>397</v>
      </c>
      <c r="D21" s="240" t="s">
        <v>398</v>
      </c>
      <c r="E21" s="219" t="s">
        <v>35</v>
      </c>
      <c r="F21" s="223">
        <v>1215</v>
      </c>
      <c r="G21" s="231" t="s">
        <v>280</v>
      </c>
      <c r="H21" s="79"/>
      <c r="I21" s="79"/>
      <c r="J21" s="259" t="str">
        <f t="shared" si="1"/>
        <v>0</v>
      </c>
      <c r="K21" s="259">
        <v>65</v>
      </c>
      <c r="L21" s="236"/>
      <c r="M21" s="236"/>
      <c r="N21" s="232" t="s">
        <v>4</v>
      </c>
      <c r="O21" s="326" t="s">
        <v>399</v>
      </c>
      <c r="P21" s="326"/>
      <c r="Q21" s="326"/>
      <c r="R21" s="103"/>
      <c r="S21" s="139"/>
      <c r="T21" s="138"/>
      <c r="U21" s="105"/>
      <c r="X21" s="38"/>
      <c r="Z21" s="39"/>
      <c r="AK21" s="39"/>
    </row>
    <row r="22" spans="1:44" ht="16.5" customHeight="1">
      <c r="A22" s="122">
        <v>18</v>
      </c>
      <c r="B22" s="219">
        <v>23332</v>
      </c>
      <c r="C22" s="221" t="s">
        <v>400</v>
      </c>
      <c r="D22" s="243" t="s">
        <v>401</v>
      </c>
      <c r="E22" s="219" t="s">
        <v>35</v>
      </c>
      <c r="F22" s="232">
        <v>1220</v>
      </c>
      <c r="G22" s="219" t="s">
        <v>116</v>
      </c>
      <c r="H22" s="79"/>
      <c r="I22" s="220">
        <v>65</v>
      </c>
      <c r="J22" s="259" t="str">
        <f t="shared" si="1"/>
        <v>0</v>
      </c>
      <c r="K22" s="259" t="str">
        <f t="shared" si="2"/>
        <v>0</v>
      </c>
      <c r="L22" s="236"/>
      <c r="M22" s="236"/>
      <c r="N22" s="232" t="s">
        <v>4</v>
      </c>
      <c r="O22" s="326"/>
      <c r="P22" s="326"/>
      <c r="Q22" s="326"/>
      <c r="R22" s="103"/>
      <c r="S22" s="104"/>
      <c r="T22" s="104"/>
      <c r="U22" s="105"/>
      <c r="AD22" s="14" t="s">
        <v>78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9</v>
      </c>
      <c r="AO22" s="14" t="s">
        <v>78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>
      <c r="A23" s="117">
        <v>19</v>
      </c>
      <c r="B23" s="219">
        <v>23333</v>
      </c>
      <c r="C23" s="221" t="s">
        <v>402</v>
      </c>
      <c r="D23" s="243" t="s">
        <v>403</v>
      </c>
      <c r="E23" s="219" t="s">
        <v>53</v>
      </c>
      <c r="F23" s="232">
        <v>1220</v>
      </c>
      <c r="G23" s="219" t="s">
        <v>41</v>
      </c>
      <c r="H23" s="79"/>
      <c r="I23" s="220">
        <v>95</v>
      </c>
      <c r="J23" s="259" t="str">
        <f t="shared" si="1"/>
        <v>0</v>
      </c>
      <c r="K23" s="259" t="str">
        <f t="shared" si="2"/>
        <v>0</v>
      </c>
      <c r="L23" s="236"/>
      <c r="M23" s="236"/>
      <c r="N23" s="232" t="s">
        <v>4</v>
      </c>
      <c r="O23" s="326" t="s">
        <v>110</v>
      </c>
      <c r="P23" s="326"/>
      <c r="Q23" s="326"/>
      <c r="R23" s="103"/>
      <c r="S23" s="104"/>
      <c r="T23" s="104"/>
      <c r="U23" s="105"/>
      <c r="X23" s="371"/>
      <c r="Y23" s="372"/>
      <c r="Z23" s="372"/>
    </row>
    <row r="24" spans="1:44" ht="16.5" customHeight="1">
      <c r="A24" s="117">
        <v>20</v>
      </c>
      <c r="B24" s="219">
        <v>23334</v>
      </c>
      <c r="C24" s="221" t="s">
        <v>404</v>
      </c>
      <c r="D24" s="243" t="s">
        <v>405</v>
      </c>
      <c r="E24" s="219" t="s">
        <v>53</v>
      </c>
      <c r="F24" s="232">
        <v>1235</v>
      </c>
      <c r="G24" s="219" t="s">
        <v>41</v>
      </c>
      <c r="H24" s="79"/>
      <c r="I24" s="220">
        <v>75</v>
      </c>
      <c r="J24" s="259" t="str">
        <f t="shared" si="1"/>
        <v>0</v>
      </c>
      <c r="K24" s="259" t="str">
        <f t="shared" si="2"/>
        <v>0</v>
      </c>
      <c r="L24" s="236"/>
      <c r="M24" s="236"/>
      <c r="N24" s="232" t="s">
        <v>4</v>
      </c>
      <c r="O24" s="326"/>
      <c r="P24" s="326"/>
      <c r="Q24" s="326"/>
      <c r="R24" s="123" t="s">
        <v>79</v>
      </c>
      <c r="S24" s="124" t="s">
        <v>80</v>
      </c>
      <c r="T24" s="124" t="s">
        <v>81</v>
      </c>
      <c r="U24" s="125" t="s">
        <v>82</v>
      </c>
      <c r="X24" s="38"/>
      <c r="AD24" s="23" t="s">
        <v>83</v>
      </c>
      <c r="AE24" s="21" t="s">
        <v>29</v>
      </c>
      <c r="AF24" s="21" t="s">
        <v>32</v>
      </c>
      <c r="AG24" s="21" t="s">
        <v>30</v>
      </c>
      <c r="AH24" s="21" t="s">
        <v>84</v>
      </c>
      <c r="AI24" s="21" t="s">
        <v>85</v>
      </c>
    </row>
    <row r="25" spans="1:44" ht="16.5" customHeight="1">
      <c r="A25" s="117">
        <v>21</v>
      </c>
      <c r="B25" s="219">
        <v>23335</v>
      </c>
      <c r="C25" s="232" t="s">
        <v>406</v>
      </c>
      <c r="D25" s="242" t="s">
        <v>407</v>
      </c>
      <c r="E25" s="219" t="s">
        <v>35</v>
      </c>
      <c r="F25" s="232">
        <v>1240</v>
      </c>
      <c r="G25" s="219" t="s">
        <v>41</v>
      </c>
      <c r="H25" s="220"/>
      <c r="I25" s="220">
        <v>75</v>
      </c>
      <c r="J25" s="259" t="str">
        <f t="shared" si="1"/>
        <v>0</v>
      </c>
      <c r="K25" s="259" t="str">
        <f t="shared" si="2"/>
        <v>0</v>
      </c>
      <c r="L25" s="236"/>
      <c r="M25" s="236"/>
      <c r="N25" s="232" t="s">
        <v>4</v>
      </c>
      <c r="O25" s="326"/>
      <c r="P25" s="326"/>
      <c r="Q25" s="326"/>
      <c r="R25" s="90">
        <f>COUNTIF(G5:G29,"GV1")+COUNTIF(G37:G61,"GV1")+COUNTIF(G69:G93,"GV1")</f>
        <v>0</v>
      </c>
      <c r="S25" s="91">
        <f>COUNTIF(G5:G29,"GV2")+COUNTIF(G37:G61,"GV2")+COUNTIF(G69:G93,"GV2")</f>
        <v>0</v>
      </c>
      <c r="T25" s="91">
        <f>COUNTIF(G5:G29,"GV3")+COUNTIF(G37:G61,"GV3")+COUNTIF(G69:G93,"GV3")</f>
        <v>0</v>
      </c>
      <c r="U25" s="373">
        <f>((C32+(R26+S26+T26)*0.5))</f>
        <v>3122.0299999999997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>
      <c r="A26" s="117">
        <v>22</v>
      </c>
      <c r="B26" s="219">
        <v>23336</v>
      </c>
      <c r="C26" s="224" t="s">
        <v>408</v>
      </c>
      <c r="D26" s="244" t="s">
        <v>409</v>
      </c>
      <c r="E26" s="219" t="s">
        <v>35</v>
      </c>
      <c r="F26" s="224">
        <v>1305</v>
      </c>
      <c r="G26" s="231" t="s">
        <v>59</v>
      </c>
      <c r="H26" s="79">
        <v>140</v>
      </c>
      <c r="I26" s="220"/>
      <c r="J26" s="259" t="str">
        <f t="shared" si="1"/>
        <v>0</v>
      </c>
      <c r="K26" s="259" t="str">
        <f t="shared" si="2"/>
        <v>0</v>
      </c>
      <c r="L26" s="236"/>
      <c r="M26" s="236"/>
      <c r="N26" s="232" t="s">
        <v>4</v>
      </c>
      <c r="O26" s="326"/>
      <c r="P26" s="326"/>
      <c r="Q26" s="326"/>
      <c r="R26" s="102">
        <f>R25*37.5</f>
        <v>0</v>
      </c>
      <c r="S26" s="92">
        <f>S25*41.5</f>
        <v>0</v>
      </c>
      <c r="T26" s="92">
        <f>T25*50</f>
        <v>0</v>
      </c>
      <c r="U26" s="374"/>
      <c r="X26" s="41" t="s">
        <v>86</v>
      </c>
      <c r="Y26" s="41"/>
      <c r="Z26" s="41"/>
      <c r="AD26" s="42"/>
      <c r="AE26" s="43"/>
      <c r="AF26" s="44"/>
    </row>
    <row r="27" spans="1:44" ht="16.5" customHeight="1">
      <c r="A27" s="117">
        <v>23</v>
      </c>
      <c r="B27" s="219">
        <v>23337</v>
      </c>
      <c r="C27" s="224" t="s">
        <v>410</v>
      </c>
      <c r="D27" s="244" t="s">
        <v>411</v>
      </c>
      <c r="E27" s="219" t="s">
        <v>35</v>
      </c>
      <c r="F27" s="224">
        <v>1355</v>
      </c>
      <c r="G27" s="231" t="s">
        <v>201</v>
      </c>
      <c r="H27" s="79">
        <v>55</v>
      </c>
      <c r="I27" s="220"/>
      <c r="J27" s="259" t="str">
        <f t="shared" si="1"/>
        <v>0</v>
      </c>
      <c r="K27" s="259" t="str">
        <f t="shared" si="2"/>
        <v>0</v>
      </c>
      <c r="L27" s="236"/>
      <c r="M27" s="236"/>
      <c r="N27" s="232" t="s">
        <v>4</v>
      </c>
      <c r="O27" s="326"/>
      <c r="P27" s="326"/>
      <c r="Q27" s="326"/>
      <c r="R27" s="385" t="s">
        <v>87</v>
      </c>
      <c r="S27" s="369"/>
      <c r="T27" s="369"/>
      <c r="U27" s="370"/>
      <c r="V27" s="14" t="s">
        <v>88</v>
      </c>
      <c r="W27" s="14" t="s">
        <v>88</v>
      </c>
      <c r="X27" s="14">
        <v>1</v>
      </c>
      <c r="Y27" s="28"/>
      <c r="Z27" s="45">
        <v>-2745</v>
      </c>
    </row>
    <row r="28" spans="1:44" ht="16.5" customHeight="1">
      <c r="A28" s="117">
        <v>24</v>
      </c>
      <c r="B28" s="219">
        <v>23338</v>
      </c>
      <c r="C28" s="224" t="s">
        <v>412</v>
      </c>
      <c r="D28" s="244" t="s">
        <v>413</v>
      </c>
      <c r="E28" s="219" t="s">
        <v>53</v>
      </c>
      <c r="F28" s="224">
        <v>1410</v>
      </c>
      <c r="G28" s="231" t="s">
        <v>54</v>
      </c>
      <c r="H28" s="79"/>
      <c r="I28" s="220"/>
      <c r="J28" s="259" t="str">
        <f t="shared" si="1"/>
        <v>0</v>
      </c>
      <c r="K28" s="259">
        <v>95</v>
      </c>
      <c r="L28" s="236"/>
      <c r="M28" s="236"/>
      <c r="N28" s="232" t="s">
        <v>4</v>
      </c>
      <c r="O28" s="326" t="s">
        <v>414</v>
      </c>
      <c r="P28" s="326"/>
      <c r="Q28" s="326"/>
      <c r="R28" s="387"/>
      <c r="S28" s="363"/>
      <c r="T28" s="364"/>
      <c r="U28" s="126"/>
      <c r="X28" s="14">
        <v>2</v>
      </c>
      <c r="Z28" s="45"/>
      <c r="AE28" s="39"/>
    </row>
    <row r="29" spans="1:44" ht="16.5" customHeight="1">
      <c r="A29" s="127">
        <v>25</v>
      </c>
      <c r="B29" s="219">
        <v>23339</v>
      </c>
      <c r="C29" s="227" t="s">
        <v>415</v>
      </c>
      <c r="D29" s="239" t="s">
        <v>416</v>
      </c>
      <c r="E29" s="219" t="s">
        <v>53</v>
      </c>
      <c r="F29" s="224">
        <v>1425</v>
      </c>
      <c r="G29" s="231" t="s">
        <v>49</v>
      </c>
      <c r="H29" s="79"/>
      <c r="I29" s="79"/>
      <c r="J29" s="259" t="str">
        <f t="shared" si="1"/>
        <v>0</v>
      </c>
      <c r="K29" s="259" t="str">
        <f t="shared" si="2"/>
        <v>79.16</v>
      </c>
      <c r="L29" s="236"/>
      <c r="M29" s="236"/>
      <c r="N29" s="232" t="s">
        <v>4</v>
      </c>
      <c r="O29" s="326" t="s">
        <v>417</v>
      </c>
      <c r="P29" s="326"/>
      <c r="Q29" s="326"/>
      <c r="R29" s="388"/>
      <c r="S29" s="355"/>
      <c r="T29" s="356"/>
      <c r="U29" s="129"/>
      <c r="X29" s="14">
        <v>3</v>
      </c>
      <c r="Z29" s="45"/>
      <c r="AE29" s="39"/>
    </row>
    <row r="30" spans="1:44" ht="16.5" customHeight="1">
      <c r="A30" s="357" t="s">
        <v>89</v>
      </c>
      <c r="B30" s="386"/>
      <c r="C30" s="386"/>
      <c r="D30" s="386"/>
      <c r="E30" s="358"/>
      <c r="F30" s="386"/>
      <c r="G30" s="386"/>
      <c r="H30" s="172">
        <f t="shared" ref="H30:M30" si="3">SUM(H5:H29)</f>
        <v>195</v>
      </c>
      <c r="I30" s="95">
        <f>SUM(I5:I29)</f>
        <v>1975</v>
      </c>
      <c r="J30" s="95">
        <f>J5+J6+J7+J8+J9+J10+J11+J12+J13+J14+J15+J16+J18+J19+J17+J20+J22+J23+J21+J24+J25+J26+J27+J28+J29</f>
        <v>60</v>
      </c>
      <c r="K30" s="95">
        <f>K5+K6+K7+K8+K9+K10+K11+K12+K13+K14+K15+K16+K18+K19+K17+K20+K22+K23+K21+K24+K25+K26+K27+K28+K29</f>
        <v>628.69999999999993</v>
      </c>
      <c r="L30" s="96">
        <f t="shared" si="3"/>
        <v>0</v>
      </c>
      <c r="M30" s="96">
        <f t="shared" si="3"/>
        <v>0</v>
      </c>
      <c r="N30" s="177" t="s">
        <v>90</v>
      </c>
      <c r="O30" s="177" t="s">
        <v>18</v>
      </c>
      <c r="P30" s="177" t="s">
        <v>20</v>
      </c>
      <c r="Q30" s="86" t="s">
        <v>19</v>
      </c>
      <c r="R30" s="359"/>
      <c r="S30" s="359"/>
      <c r="T30" s="360"/>
      <c r="U30" s="130"/>
      <c r="X30" s="14">
        <v>4</v>
      </c>
      <c r="Z30" s="45"/>
      <c r="AD30" s="46"/>
    </row>
    <row r="31" spans="1:44">
      <c r="A31" s="361" t="s">
        <v>91</v>
      </c>
      <c r="B31" s="362"/>
      <c r="C31" s="362"/>
      <c r="D31" s="362"/>
      <c r="E31" s="362"/>
      <c r="F31" s="362"/>
      <c r="G31" s="362"/>
      <c r="H31" s="173">
        <f t="shared" ref="H31:J31" si="4">H30+H62+H94</f>
        <v>195</v>
      </c>
      <c r="I31" s="93">
        <f t="shared" si="4"/>
        <v>2070</v>
      </c>
      <c r="J31" s="93">
        <f t="shared" si="4"/>
        <v>120</v>
      </c>
      <c r="K31" s="93">
        <f>K30+K62+K94</f>
        <v>737.03</v>
      </c>
      <c r="L31" s="87">
        <f>L30+L62+L94</f>
        <v>0</v>
      </c>
      <c r="M31" s="87">
        <f>M30+M62+M94</f>
        <v>100</v>
      </c>
      <c r="N31" s="178">
        <f>COUNT(H5:H29,H37:H61,H69:H93)</f>
        <v>2</v>
      </c>
      <c r="O31" s="94">
        <f>COUNT(I5:I29,I37:I61,I69:I93)</f>
        <v>16</v>
      </c>
      <c r="P31" s="94">
        <f>COUNTIF(G5:G29,"G*")+COUNTIF(G37:G61,"G*")+COUNTIF(G69:G93,"G*")+COUNTIF(G5:G29,"P*")+COUNTIF(G37:G61,"P*")+COUNTIF(G69:G93,"P*")</f>
        <v>8</v>
      </c>
      <c r="Q31" s="107">
        <f>COUNTIF(G5:G29,"RSL*")+COUNTIF(G37:G61,"RSL*")+COUNTIF(G69:G93,"RSL*")</f>
        <v>2</v>
      </c>
      <c r="R31" s="88" t="s">
        <v>92</v>
      </c>
      <c r="S31" s="101">
        <f>H31+L31-U28-U29-U30</f>
        <v>195</v>
      </c>
      <c r="T31" s="351">
        <f>H31+I31+L31+M31</f>
        <v>2365</v>
      </c>
      <c r="U31" s="352"/>
      <c r="X31" s="47" t="s">
        <v>93</v>
      </c>
      <c r="Y31" s="47"/>
      <c r="Z31" s="47">
        <f>SUM(Z27:Z30)</f>
        <v>-2745</v>
      </c>
      <c r="AE31" s="39"/>
    </row>
    <row r="32" spans="1:44" ht="15.75" thickBot="1">
      <c r="A32" s="365" t="s">
        <v>94</v>
      </c>
      <c r="B32" s="366"/>
      <c r="C32" s="97">
        <f>H31+I31+J31+K31</f>
        <v>3122.0299999999997</v>
      </c>
      <c r="D32" s="168"/>
      <c r="E32" s="97"/>
      <c r="F32" s="367" t="s">
        <v>95</v>
      </c>
      <c r="G32" s="367"/>
      <c r="H32" s="99">
        <f>COUNT(B5:B29,B37:B61,B69:B93)</f>
        <v>29</v>
      </c>
      <c r="I32" s="368" t="s">
        <v>96</v>
      </c>
      <c r="J32" s="368"/>
      <c r="K32" s="98">
        <f>C32/H32</f>
        <v>107.65620689655171</v>
      </c>
      <c r="L32" s="179"/>
      <c r="M32" s="179"/>
      <c r="N32" s="179">
        <f>H31/C32</f>
        <v>6.2459361377052755E-2</v>
      </c>
      <c r="O32" s="179">
        <f>I31/C32</f>
        <v>0.66303014384871384</v>
      </c>
      <c r="P32" s="179">
        <f>K31/C32</f>
        <v>0.23607396469604713</v>
      </c>
      <c r="Q32" s="100">
        <f>J31/C32</f>
        <v>3.8436530078186308E-2</v>
      </c>
      <c r="R32" s="89" t="s">
        <v>97</v>
      </c>
      <c r="S32" s="174">
        <f>I31+M31</f>
        <v>2170</v>
      </c>
      <c r="T32" s="353"/>
      <c r="U32" s="354"/>
      <c r="V32" s="39"/>
      <c r="W32" s="39"/>
      <c r="X32" s="48" t="s">
        <v>98</v>
      </c>
      <c r="Y32" s="48"/>
      <c r="Z32" s="47">
        <f>I31</f>
        <v>2070</v>
      </c>
    </row>
    <row r="33" spans="1:33" ht="15.75" thickBot="1">
      <c r="A33" s="320" t="s">
        <v>99</v>
      </c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46"/>
      <c r="U33" s="347"/>
      <c r="X33" s="49" t="s">
        <v>100</v>
      </c>
      <c r="Y33" s="49"/>
      <c r="Z33" s="50">
        <f>SUM(Z31:Z32)</f>
        <v>-675</v>
      </c>
      <c r="AG33" s="35"/>
    </row>
    <row r="34" spans="1:33" ht="15.75" thickBot="1">
      <c r="A34" s="345">
        <f>A2</f>
        <v>45732</v>
      </c>
      <c r="B34" s="346"/>
      <c r="C34" s="346"/>
      <c r="D34" s="346"/>
      <c r="E34" s="346"/>
      <c r="F34" s="346"/>
      <c r="G34" s="347"/>
      <c r="H34" s="348" t="s">
        <v>1</v>
      </c>
      <c r="I34" s="349"/>
      <c r="J34" s="345" t="str">
        <f>J2</f>
        <v>SUNNY</v>
      </c>
      <c r="K34" s="347"/>
      <c r="L34" s="349" t="s">
        <v>101</v>
      </c>
      <c r="M34" s="350"/>
      <c r="N34" s="348"/>
      <c r="O34" s="346" t="str">
        <f>O2</f>
        <v>SURESH</v>
      </c>
      <c r="P34" s="346"/>
      <c r="Q34" s="347"/>
      <c r="R34" s="349" t="s">
        <v>5</v>
      </c>
      <c r="S34" s="348"/>
      <c r="T34" s="343">
        <f>T2</f>
        <v>6</v>
      </c>
      <c r="U34" s="343"/>
      <c r="Z34" s="39"/>
    </row>
    <row r="35" spans="1:33" ht="15.75" thickBot="1">
      <c r="A35" s="15" t="s">
        <v>9</v>
      </c>
      <c r="H35" s="9"/>
      <c r="I35" s="18"/>
      <c r="T35" s="10"/>
      <c r="U35" s="11"/>
    </row>
    <row r="36" spans="1:33" ht="13.5">
      <c r="A36" s="133" t="s">
        <v>10</v>
      </c>
      <c r="B36" s="176" t="s">
        <v>11</v>
      </c>
      <c r="C36" s="142" t="s">
        <v>12</v>
      </c>
      <c r="D36" s="166" t="s">
        <v>13</v>
      </c>
      <c r="E36" s="142" t="s">
        <v>14</v>
      </c>
      <c r="F36" s="176" t="s">
        <v>15</v>
      </c>
      <c r="G36" s="176" t="s">
        <v>16</v>
      </c>
      <c r="H36" s="176" t="s">
        <v>17</v>
      </c>
      <c r="I36" s="176" t="s">
        <v>18</v>
      </c>
      <c r="J36" s="176" t="s">
        <v>19</v>
      </c>
      <c r="K36" s="176" t="s">
        <v>20</v>
      </c>
      <c r="L36" s="176" t="s">
        <v>21</v>
      </c>
      <c r="M36" s="176" t="s">
        <v>22</v>
      </c>
      <c r="N36" s="176" t="s">
        <v>23</v>
      </c>
      <c r="O36" s="344" t="s">
        <v>24</v>
      </c>
      <c r="P36" s="344"/>
      <c r="Q36" s="344"/>
      <c r="R36" s="176" t="s">
        <v>25</v>
      </c>
      <c r="S36" s="134" t="s">
        <v>26</v>
      </c>
      <c r="T36" s="134" t="s">
        <v>27</v>
      </c>
      <c r="U36" s="135" t="s">
        <v>28</v>
      </c>
    </row>
    <row r="37" spans="1:33">
      <c r="A37" s="131">
        <f>A29+1</f>
        <v>26</v>
      </c>
      <c r="B37" s="108">
        <v>23340</v>
      </c>
      <c r="C37" s="59" t="s">
        <v>418</v>
      </c>
      <c r="D37" s="216" t="s">
        <v>419</v>
      </c>
      <c r="E37" s="153" t="s">
        <v>53</v>
      </c>
      <c r="F37" s="147">
        <v>1505</v>
      </c>
      <c r="G37" s="108" t="s">
        <v>173</v>
      </c>
      <c r="H37" s="81"/>
      <c r="I37" s="260"/>
      <c r="J37" s="259" t="str">
        <f>IF(G37="RSL","60.00","0")</f>
        <v>0</v>
      </c>
      <c r="K37" s="259">
        <v>108.33</v>
      </c>
      <c r="L37" s="236"/>
      <c r="M37" s="236"/>
      <c r="N37" s="232" t="s">
        <v>4</v>
      </c>
      <c r="O37" s="326" t="s">
        <v>420</v>
      </c>
      <c r="P37" s="326"/>
      <c r="Q37" s="326"/>
      <c r="R37" s="51"/>
      <c r="S37" s="52"/>
      <c r="T37" s="52"/>
      <c r="U37" s="60"/>
    </row>
    <row r="38" spans="1:33">
      <c r="A38" s="114">
        <f>A37+1</f>
        <v>27</v>
      </c>
      <c r="B38" s="175">
        <v>23341</v>
      </c>
      <c r="C38" s="58" t="s">
        <v>421</v>
      </c>
      <c r="D38" s="167" t="s">
        <v>422</v>
      </c>
      <c r="E38" s="153" t="s">
        <v>35</v>
      </c>
      <c r="F38" s="151">
        <v>1510</v>
      </c>
      <c r="G38" s="108" t="s">
        <v>41</v>
      </c>
      <c r="H38" s="81"/>
      <c r="I38" s="260">
        <v>95</v>
      </c>
      <c r="J38" s="259" t="str">
        <f t="shared" ref="J38:J61" si="5">IF(G38="RSL","60.00","0")</f>
        <v>0</v>
      </c>
      <c r="K38" s="259" t="str">
        <f t="shared" ref="K38:K61" si="6">IF(G38="GVS","37.5",IF(G38="GVM","41.5",IF(G38="GVL","50",IF(G38="PCS/X","62.5",IF(G38="PCS/HP","79.16",IF(G38="PCL/X","79.16",IF(G38="PCL/HP","100.00","0")))))))</f>
        <v>0</v>
      </c>
      <c r="L38" s="236"/>
      <c r="M38" s="236"/>
      <c r="N38" s="232" t="s">
        <v>4</v>
      </c>
      <c r="O38" s="326"/>
      <c r="P38" s="326"/>
      <c r="Q38" s="326"/>
      <c r="R38" s="68"/>
      <c r="S38" s="61"/>
      <c r="T38" s="16"/>
      <c r="U38" s="62"/>
    </row>
    <row r="39" spans="1:33">
      <c r="A39" s="114">
        <f t="shared" ref="A39:A61" si="7">A38+1</f>
        <v>28</v>
      </c>
      <c r="B39" s="108">
        <v>23342</v>
      </c>
      <c r="C39" s="26" t="s">
        <v>423</v>
      </c>
      <c r="D39" s="155" t="s">
        <v>424</v>
      </c>
      <c r="E39" s="153" t="s">
        <v>53</v>
      </c>
      <c r="F39" s="151">
        <v>1515</v>
      </c>
      <c r="G39" s="108" t="s">
        <v>59</v>
      </c>
      <c r="H39" s="81"/>
      <c r="I39" s="260"/>
      <c r="J39" s="259" t="str">
        <f t="shared" si="5"/>
        <v>0</v>
      </c>
      <c r="K39" s="259" t="str">
        <f t="shared" si="6"/>
        <v>0</v>
      </c>
      <c r="L39" s="236"/>
      <c r="M39" s="236">
        <v>100</v>
      </c>
      <c r="N39" s="232" t="s">
        <v>4</v>
      </c>
      <c r="O39" s="326"/>
      <c r="P39" s="326"/>
      <c r="Q39" s="326"/>
      <c r="R39" s="69"/>
      <c r="S39" s="13"/>
      <c r="T39" s="12"/>
      <c r="U39" s="62"/>
    </row>
    <row r="40" spans="1:33">
      <c r="A40" s="114">
        <f t="shared" si="7"/>
        <v>29</v>
      </c>
      <c r="B40" s="175">
        <v>23343</v>
      </c>
      <c r="C40" s="54" t="s">
        <v>425</v>
      </c>
      <c r="D40" s="156" t="s">
        <v>426</v>
      </c>
      <c r="E40" s="153" t="s">
        <v>35</v>
      </c>
      <c r="F40" s="152">
        <v>1525</v>
      </c>
      <c r="G40" s="109" t="s">
        <v>36</v>
      </c>
      <c r="H40" s="81"/>
      <c r="I40" s="81"/>
      <c r="J40" s="259" t="str">
        <f t="shared" si="5"/>
        <v>60.00</v>
      </c>
      <c r="K40" s="259" t="str">
        <f t="shared" si="6"/>
        <v>0</v>
      </c>
      <c r="L40" s="236"/>
      <c r="M40" s="236"/>
      <c r="N40" s="232" t="s">
        <v>4</v>
      </c>
      <c r="O40" s="326" t="s">
        <v>427</v>
      </c>
      <c r="P40" s="326"/>
      <c r="Q40" s="326"/>
      <c r="R40" s="68"/>
      <c r="S40" s="61"/>
      <c r="T40" s="61"/>
      <c r="U40" s="62"/>
    </row>
    <row r="41" spans="1:33">
      <c r="A41" s="114">
        <f t="shared" si="7"/>
        <v>30</v>
      </c>
      <c r="B41" s="108"/>
      <c r="C41" s="54"/>
      <c r="D41" s="156"/>
      <c r="E41" s="153"/>
      <c r="F41" s="152"/>
      <c r="G41" s="109"/>
      <c r="H41" s="81"/>
      <c r="I41" s="81"/>
      <c r="J41" s="259" t="str">
        <f t="shared" si="5"/>
        <v>0</v>
      </c>
      <c r="K41" s="259" t="str">
        <f t="shared" si="6"/>
        <v>0</v>
      </c>
      <c r="L41" s="236"/>
      <c r="M41" s="236"/>
      <c r="N41" s="232"/>
      <c r="O41" s="326"/>
      <c r="P41" s="326"/>
      <c r="Q41" s="326"/>
      <c r="R41" s="70"/>
      <c r="S41" s="63"/>
      <c r="T41" s="63"/>
      <c r="U41" s="64"/>
    </row>
    <row r="42" spans="1:33">
      <c r="A42" s="114">
        <f t="shared" si="7"/>
        <v>31</v>
      </c>
      <c r="B42" s="175"/>
      <c r="C42" s="27"/>
      <c r="D42" s="157"/>
      <c r="E42" s="153"/>
      <c r="F42" s="146"/>
      <c r="G42" s="110"/>
      <c r="H42" s="113"/>
      <c r="I42" s="261"/>
      <c r="J42" s="259" t="str">
        <f t="shared" si="5"/>
        <v>0</v>
      </c>
      <c r="K42" s="259" t="str">
        <f t="shared" si="6"/>
        <v>0</v>
      </c>
      <c r="L42" s="236"/>
      <c r="M42" s="236"/>
      <c r="N42" s="232"/>
      <c r="O42" s="326"/>
      <c r="P42" s="326"/>
      <c r="Q42" s="326"/>
      <c r="R42" s="70"/>
      <c r="S42" s="63"/>
      <c r="T42" s="63"/>
      <c r="U42" s="64"/>
    </row>
    <row r="43" spans="1:33">
      <c r="A43" s="114">
        <f t="shared" si="7"/>
        <v>32</v>
      </c>
      <c r="B43" s="108"/>
      <c r="C43" s="17"/>
      <c r="D43" s="163"/>
      <c r="E43" s="153"/>
      <c r="F43" s="57"/>
      <c r="G43" s="132"/>
      <c r="H43" s="113"/>
      <c r="I43" s="260"/>
      <c r="J43" s="259" t="str">
        <f t="shared" si="5"/>
        <v>0</v>
      </c>
      <c r="K43" s="259" t="str">
        <f t="shared" si="6"/>
        <v>0</v>
      </c>
      <c r="L43" s="236"/>
      <c r="M43" s="236"/>
      <c r="N43" s="232"/>
      <c r="O43" s="326"/>
      <c r="P43" s="326"/>
      <c r="Q43" s="326"/>
      <c r="R43" s="68"/>
      <c r="S43" s="61"/>
      <c r="T43" s="61"/>
      <c r="U43" s="62"/>
    </row>
    <row r="44" spans="1:33">
      <c r="A44" s="114">
        <f t="shared" si="7"/>
        <v>33</v>
      </c>
      <c r="B44" s="175"/>
      <c r="C44" s="55"/>
      <c r="D44" s="158"/>
      <c r="E44" s="153"/>
      <c r="F44" s="146"/>
      <c r="G44" s="109"/>
      <c r="H44" s="113"/>
      <c r="I44" s="261"/>
      <c r="J44" s="259" t="str">
        <f t="shared" si="5"/>
        <v>0</v>
      </c>
      <c r="K44" s="259" t="str">
        <f t="shared" si="6"/>
        <v>0</v>
      </c>
      <c r="L44" s="236"/>
      <c r="M44" s="236"/>
      <c r="N44" s="232"/>
      <c r="O44" s="326"/>
      <c r="P44" s="326"/>
      <c r="Q44" s="326"/>
      <c r="R44" s="5"/>
      <c r="S44" s="61"/>
      <c r="T44" s="61"/>
      <c r="U44" s="62"/>
    </row>
    <row r="45" spans="1:33">
      <c r="A45" s="114">
        <f t="shared" si="7"/>
        <v>34</v>
      </c>
      <c r="B45" s="108"/>
      <c r="C45" s="55"/>
      <c r="D45" s="158"/>
      <c r="E45" s="153"/>
      <c r="F45" s="146"/>
      <c r="G45" s="109"/>
      <c r="H45" s="113"/>
      <c r="I45" s="261"/>
      <c r="J45" s="259" t="str">
        <f t="shared" si="5"/>
        <v>0</v>
      </c>
      <c r="K45" s="259" t="str">
        <f t="shared" si="6"/>
        <v>0</v>
      </c>
      <c r="L45" s="236"/>
      <c r="M45" s="236"/>
      <c r="N45" s="232"/>
      <c r="O45" s="326"/>
      <c r="P45" s="326"/>
      <c r="Q45" s="326"/>
      <c r="R45" s="5"/>
      <c r="S45" s="61"/>
      <c r="T45" s="61"/>
      <c r="U45" s="62"/>
    </row>
    <row r="46" spans="1:33">
      <c r="A46" s="114">
        <f t="shared" si="7"/>
        <v>35</v>
      </c>
      <c r="B46" s="175"/>
      <c r="C46" s="56"/>
      <c r="D46" s="159"/>
      <c r="E46" s="153"/>
      <c r="F46" s="143"/>
      <c r="G46" s="112"/>
      <c r="H46" s="113"/>
      <c r="I46" s="260"/>
      <c r="J46" s="259" t="str">
        <f t="shared" si="5"/>
        <v>0</v>
      </c>
      <c r="K46" s="259" t="str">
        <f t="shared" si="6"/>
        <v>0</v>
      </c>
      <c r="L46" s="236"/>
      <c r="M46" s="236"/>
      <c r="N46" s="232"/>
      <c r="O46" s="326"/>
      <c r="P46" s="326"/>
      <c r="Q46" s="326"/>
      <c r="R46" s="5"/>
      <c r="S46" s="61"/>
      <c r="T46" s="61"/>
      <c r="U46" s="62"/>
    </row>
    <row r="47" spans="1:33">
      <c r="A47" s="114">
        <f t="shared" si="7"/>
        <v>36</v>
      </c>
      <c r="B47" s="108"/>
      <c r="C47" s="17"/>
      <c r="D47" s="163"/>
      <c r="E47" s="153"/>
      <c r="F47" s="57"/>
      <c r="G47" s="111"/>
      <c r="H47" s="113"/>
      <c r="I47" s="260"/>
      <c r="J47" s="259" t="str">
        <f t="shared" si="5"/>
        <v>0</v>
      </c>
      <c r="K47" s="259" t="str">
        <f t="shared" si="6"/>
        <v>0</v>
      </c>
      <c r="L47" s="236"/>
      <c r="M47" s="236"/>
      <c r="N47" s="232"/>
      <c r="O47" s="326"/>
      <c r="P47" s="326"/>
      <c r="Q47" s="326"/>
      <c r="R47" s="5"/>
      <c r="S47" s="61"/>
      <c r="T47" s="61"/>
      <c r="U47" s="62"/>
    </row>
    <row r="48" spans="1:33">
      <c r="A48" s="114">
        <f t="shared" si="7"/>
        <v>37</v>
      </c>
      <c r="B48" s="175"/>
      <c r="C48" s="56"/>
      <c r="D48" s="159"/>
      <c r="E48" s="153"/>
      <c r="F48" s="143"/>
      <c r="G48" s="112"/>
      <c r="H48" s="113"/>
      <c r="I48" s="260"/>
      <c r="J48" s="259" t="str">
        <f t="shared" si="5"/>
        <v>0</v>
      </c>
      <c r="K48" s="259" t="str">
        <f t="shared" si="6"/>
        <v>0</v>
      </c>
      <c r="L48" s="236"/>
      <c r="M48" s="236"/>
      <c r="N48" s="232"/>
      <c r="O48" s="326"/>
      <c r="P48" s="326"/>
      <c r="Q48" s="326"/>
      <c r="R48" s="5"/>
      <c r="S48" s="61"/>
      <c r="T48" s="61"/>
      <c r="U48" s="62"/>
    </row>
    <row r="49" spans="1:21">
      <c r="A49" s="114">
        <f t="shared" si="7"/>
        <v>38</v>
      </c>
      <c r="B49" s="175"/>
      <c r="C49" s="17"/>
      <c r="D49" s="163"/>
      <c r="E49" s="153"/>
      <c r="F49" s="57"/>
      <c r="G49" s="111"/>
      <c r="H49" s="113"/>
      <c r="I49" s="260"/>
      <c r="J49" s="259" t="str">
        <f t="shared" si="5"/>
        <v>0</v>
      </c>
      <c r="K49" s="259" t="str">
        <f t="shared" si="6"/>
        <v>0</v>
      </c>
      <c r="L49" s="236"/>
      <c r="M49" s="236"/>
      <c r="N49" s="232"/>
      <c r="O49" s="326"/>
      <c r="P49" s="326"/>
      <c r="Q49" s="326"/>
      <c r="R49" s="5"/>
      <c r="S49" s="61"/>
      <c r="T49" s="65"/>
      <c r="U49" s="62"/>
    </row>
    <row r="50" spans="1:21">
      <c r="A50" s="114">
        <f t="shared" si="7"/>
        <v>39</v>
      </c>
      <c r="B50" s="175"/>
      <c r="C50" s="17"/>
      <c r="D50" s="163"/>
      <c r="E50" s="153"/>
      <c r="F50" s="57"/>
      <c r="G50" s="19"/>
      <c r="H50" s="113"/>
      <c r="I50" s="260"/>
      <c r="J50" s="259" t="str">
        <f t="shared" si="5"/>
        <v>0</v>
      </c>
      <c r="K50" s="259" t="str">
        <f t="shared" si="6"/>
        <v>0</v>
      </c>
      <c r="L50" s="236"/>
      <c r="M50" s="236"/>
      <c r="N50" s="232"/>
      <c r="O50" s="326"/>
      <c r="P50" s="326"/>
      <c r="Q50" s="326"/>
      <c r="R50" s="5"/>
      <c r="S50" s="61"/>
      <c r="T50" s="65"/>
      <c r="U50" s="62"/>
    </row>
    <row r="51" spans="1:21">
      <c r="A51" s="114">
        <f t="shared" si="7"/>
        <v>40</v>
      </c>
      <c r="B51" s="175"/>
      <c r="C51" s="17"/>
      <c r="D51" s="163"/>
      <c r="E51" s="153"/>
      <c r="F51" s="57"/>
      <c r="G51" s="111"/>
      <c r="H51" s="113"/>
      <c r="I51" s="260"/>
      <c r="J51" s="259" t="str">
        <f t="shared" si="5"/>
        <v>0</v>
      </c>
      <c r="K51" s="259" t="str">
        <f t="shared" si="6"/>
        <v>0</v>
      </c>
      <c r="L51" s="236"/>
      <c r="M51" s="236"/>
      <c r="N51" s="232"/>
      <c r="O51" s="326"/>
      <c r="P51" s="326"/>
      <c r="Q51" s="326"/>
      <c r="R51" s="5"/>
      <c r="S51" s="61"/>
      <c r="T51" s="65"/>
      <c r="U51" s="62"/>
    </row>
    <row r="52" spans="1:21">
      <c r="A52" s="114">
        <f t="shared" si="7"/>
        <v>41</v>
      </c>
      <c r="B52" s="175"/>
      <c r="C52" s="57"/>
      <c r="D52" s="164"/>
      <c r="E52" s="153"/>
      <c r="F52" s="57"/>
      <c r="G52" s="111"/>
      <c r="H52" s="113"/>
      <c r="I52" s="260"/>
      <c r="J52" s="259" t="str">
        <f t="shared" si="5"/>
        <v>0</v>
      </c>
      <c r="K52" s="259" t="str">
        <f t="shared" si="6"/>
        <v>0</v>
      </c>
      <c r="L52" s="222"/>
      <c r="M52" s="222"/>
      <c r="N52" s="232"/>
      <c r="O52" s="326"/>
      <c r="P52" s="326"/>
      <c r="Q52" s="326"/>
      <c r="R52" s="71"/>
      <c r="S52" s="59"/>
      <c r="T52" s="66"/>
      <c r="U52" s="67"/>
    </row>
    <row r="53" spans="1:21">
      <c r="A53" s="114">
        <f t="shared" si="7"/>
        <v>42</v>
      </c>
      <c r="B53" s="175"/>
      <c r="C53" s="21"/>
      <c r="D53" s="160"/>
      <c r="E53" s="153"/>
      <c r="F53" s="148"/>
      <c r="G53" s="175"/>
      <c r="H53" s="79"/>
      <c r="I53" s="220"/>
      <c r="J53" s="259" t="str">
        <f t="shared" si="5"/>
        <v>0</v>
      </c>
      <c r="K53" s="259" t="str">
        <f t="shared" si="6"/>
        <v>0</v>
      </c>
      <c r="L53" s="236"/>
      <c r="M53" s="236"/>
      <c r="N53" s="232"/>
      <c r="O53" s="326"/>
      <c r="P53" s="326"/>
      <c r="Q53" s="326"/>
      <c r="R53" s="71"/>
      <c r="S53" s="59"/>
      <c r="T53" s="66"/>
      <c r="U53" s="67"/>
    </row>
    <row r="54" spans="1:21">
      <c r="A54" s="114">
        <f t="shared" si="7"/>
        <v>43</v>
      </c>
      <c r="B54" s="175"/>
      <c r="C54" s="21"/>
      <c r="D54" s="160"/>
      <c r="E54" s="153"/>
      <c r="F54" s="148"/>
      <c r="G54" s="175"/>
      <c r="H54" s="79"/>
      <c r="I54" s="220"/>
      <c r="J54" s="259" t="str">
        <f t="shared" si="5"/>
        <v>0</v>
      </c>
      <c r="K54" s="259" t="str">
        <f t="shared" si="6"/>
        <v>0</v>
      </c>
      <c r="L54" s="236"/>
      <c r="M54" s="236"/>
      <c r="N54" s="232"/>
      <c r="O54" s="326"/>
      <c r="P54" s="326"/>
      <c r="Q54" s="326"/>
      <c r="R54" s="71"/>
      <c r="S54" s="59"/>
      <c r="T54" s="66"/>
      <c r="U54" s="67"/>
    </row>
    <row r="55" spans="1:21">
      <c r="A55" s="114">
        <f t="shared" si="7"/>
        <v>44</v>
      </c>
      <c r="B55" s="175"/>
      <c r="C55" s="21"/>
      <c r="D55" s="160"/>
      <c r="E55" s="153"/>
      <c r="F55" s="148"/>
      <c r="G55" s="175"/>
      <c r="H55" s="79"/>
      <c r="I55" s="220"/>
      <c r="J55" s="259" t="str">
        <f t="shared" si="5"/>
        <v>0</v>
      </c>
      <c r="K55" s="259" t="str">
        <f t="shared" si="6"/>
        <v>0</v>
      </c>
      <c r="L55" s="236"/>
      <c r="M55" s="236"/>
      <c r="N55" s="236"/>
      <c r="O55" s="326"/>
      <c r="P55" s="326"/>
      <c r="Q55" s="326"/>
      <c r="R55" s="71"/>
      <c r="S55" s="59"/>
      <c r="T55" s="66"/>
      <c r="U55" s="67"/>
    </row>
    <row r="56" spans="1:21">
      <c r="A56" s="114">
        <f t="shared" si="7"/>
        <v>45</v>
      </c>
      <c r="B56" s="175"/>
      <c r="C56" s="115"/>
      <c r="D56" s="161"/>
      <c r="E56" s="153"/>
      <c r="F56" s="148"/>
      <c r="G56" s="175"/>
      <c r="H56" s="80"/>
      <c r="I56" s="80"/>
      <c r="J56" s="259" t="str">
        <f t="shared" si="5"/>
        <v>0</v>
      </c>
      <c r="K56" s="259" t="str">
        <f t="shared" si="6"/>
        <v>0</v>
      </c>
      <c r="L56" s="236"/>
      <c r="M56" s="236"/>
      <c r="N56" s="232"/>
      <c r="O56" s="326"/>
      <c r="P56" s="326"/>
      <c r="Q56" s="326"/>
      <c r="R56" s="71"/>
      <c r="S56" s="59"/>
      <c r="T56" s="66"/>
      <c r="U56" s="67"/>
    </row>
    <row r="57" spans="1:21">
      <c r="A57" s="114">
        <f t="shared" si="7"/>
        <v>46</v>
      </c>
      <c r="B57" s="175"/>
      <c r="C57" s="26"/>
      <c r="D57" s="155"/>
      <c r="E57" s="153"/>
      <c r="F57" s="149"/>
      <c r="G57" s="19"/>
      <c r="H57" s="79"/>
      <c r="I57" s="220"/>
      <c r="J57" s="259" t="str">
        <f t="shared" si="5"/>
        <v>0</v>
      </c>
      <c r="K57" s="259" t="str">
        <f t="shared" si="6"/>
        <v>0</v>
      </c>
      <c r="L57" s="236"/>
      <c r="M57" s="236"/>
      <c r="N57" s="232"/>
      <c r="O57" s="326"/>
      <c r="P57" s="326"/>
      <c r="Q57" s="326"/>
      <c r="R57" s="71"/>
      <c r="S57" s="59"/>
      <c r="T57" s="59"/>
      <c r="U57" s="67"/>
    </row>
    <row r="58" spans="1:21">
      <c r="A58" s="114">
        <f t="shared" si="7"/>
        <v>47</v>
      </c>
      <c r="B58" s="175"/>
      <c r="C58" s="26"/>
      <c r="D58" s="155"/>
      <c r="E58" s="153"/>
      <c r="F58" s="149"/>
      <c r="G58" s="19"/>
      <c r="H58" s="79"/>
      <c r="I58" s="220"/>
      <c r="J58" s="259" t="str">
        <f t="shared" si="5"/>
        <v>0</v>
      </c>
      <c r="K58" s="259" t="str">
        <f t="shared" si="6"/>
        <v>0</v>
      </c>
      <c r="L58" s="236"/>
      <c r="M58" s="236"/>
      <c r="N58" s="232"/>
      <c r="O58" s="326"/>
      <c r="P58" s="326"/>
      <c r="Q58" s="326"/>
      <c r="R58" s="71"/>
      <c r="S58" s="59"/>
      <c r="T58" s="59"/>
      <c r="U58" s="67"/>
    </row>
    <row r="59" spans="1:21">
      <c r="A59" s="114">
        <f t="shared" si="7"/>
        <v>48</v>
      </c>
      <c r="B59" s="175"/>
      <c r="C59" s="26"/>
      <c r="D59" s="155"/>
      <c r="E59" s="153"/>
      <c r="F59" s="149"/>
      <c r="G59" s="19"/>
      <c r="H59" s="79"/>
      <c r="I59" s="220"/>
      <c r="J59" s="259" t="str">
        <f t="shared" si="5"/>
        <v>0</v>
      </c>
      <c r="K59" s="259" t="str">
        <f t="shared" si="6"/>
        <v>0</v>
      </c>
      <c r="L59" s="236"/>
      <c r="M59" s="236"/>
      <c r="N59" s="232"/>
      <c r="O59" s="326"/>
      <c r="P59" s="326"/>
      <c r="Q59" s="326"/>
      <c r="R59" s="71"/>
      <c r="S59" s="59"/>
      <c r="T59" s="59"/>
      <c r="U59" s="67"/>
    </row>
    <row r="60" spans="1:21">
      <c r="A60" s="114">
        <f t="shared" si="7"/>
        <v>49</v>
      </c>
      <c r="B60" s="175"/>
      <c r="C60" s="33"/>
      <c r="D60" s="162"/>
      <c r="E60" s="153"/>
      <c r="F60" s="149"/>
      <c r="G60" s="19"/>
      <c r="H60" s="79"/>
      <c r="I60" s="79"/>
      <c r="J60" s="259" t="str">
        <f t="shared" si="5"/>
        <v>0</v>
      </c>
      <c r="K60" s="259" t="str">
        <f t="shared" si="6"/>
        <v>0</v>
      </c>
      <c r="L60" s="236"/>
      <c r="M60" s="236"/>
      <c r="N60" s="232"/>
      <c r="O60" s="326"/>
      <c r="P60" s="326"/>
      <c r="Q60" s="326"/>
      <c r="R60" s="71"/>
      <c r="S60" s="59"/>
      <c r="T60" s="59"/>
      <c r="U60" s="67"/>
    </row>
    <row r="61" spans="1:21" ht="15.75" customHeight="1">
      <c r="A61" s="114">
        <f t="shared" si="7"/>
        <v>50</v>
      </c>
      <c r="B61" s="175"/>
      <c r="C61" s="29"/>
      <c r="D61" s="170"/>
      <c r="F61" s="29"/>
      <c r="G61" s="175"/>
      <c r="H61" s="128"/>
      <c r="I61" s="128"/>
      <c r="J61" s="259" t="str">
        <f t="shared" si="5"/>
        <v>0</v>
      </c>
      <c r="K61" s="259" t="str">
        <f t="shared" si="6"/>
        <v>0</v>
      </c>
      <c r="L61" s="236"/>
      <c r="M61" s="236"/>
      <c r="N61" s="232"/>
      <c r="O61" s="326"/>
      <c r="P61" s="326"/>
      <c r="Q61" s="326"/>
      <c r="R61" s="71"/>
      <c r="S61" s="59"/>
      <c r="T61" s="59"/>
      <c r="U61" s="67"/>
    </row>
    <row r="62" spans="1:21" ht="13.5">
      <c r="A62" s="327" t="s">
        <v>89</v>
      </c>
      <c r="B62" s="328"/>
      <c r="C62" s="328"/>
      <c r="D62" s="328"/>
      <c r="E62" s="328"/>
      <c r="F62" s="328"/>
      <c r="G62" s="328"/>
      <c r="H62" s="328">
        <f t="shared" ref="H62:M62" si="8">SUM(H37:H61)</f>
        <v>0</v>
      </c>
      <c r="I62" s="334">
        <f t="shared" si="8"/>
        <v>95</v>
      </c>
      <c r="J62" s="334">
        <f>J61+J60+J59+J58+J57+J56+J55+J54+J53+J52+J51+J50+J49+J48+J47+J46+J45+J44+J43+J42+J41+J40+J39+J38+J37</f>
        <v>60</v>
      </c>
      <c r="K62" s="334">
        <f>K61+K60+K59+K58+K57+K56+K55+K54+K53+K52+K51+K50+K49+K48+K47+K46+K45+K44+K43+K42+K41+K40+K39+K38+K37</f>
        <v>108.33</v>
      </c>
      <c r="L62" s="337">
        <f t="shared" si="8"/>
        <v>0</v>
      </c>
      <c r="M62" s="340">
        <f t="shared" si="8"/>
        <v>100</v>
      </c>
      <c r="N62" s="314"/>
      <c r="O62" s="315"/>
      <c r="P62" s="315"/>
      <c r="Q62" s="316"/>
      <c r="R62" s="5"/>
      <c r="S62" s="6"/>
      <c r="T62" s="7"/>
      <c r="U62" s="8"/>
    </row>
    <row r="63" spans="1:21" ht="15.75" thickBot="1">
      <c r="A63" s="330"/>
      <c r="B63" s="331"/>
      <c r="C63" s="331"/>
      <c r="D63" s="331"/>
      <c r="E63" s="331"/>
      <c r="F63" s="331"/>
      <c r="G63" s="331"/>
      <c r="H63" s="331"/>
      <c r="I63" s="335"/>
      <c r="J63" s="335"/>
      <c r="K63" s="335"/>
      <c r="L63" s="338"/>
      <c r="M63" s="341"/>
      <c r="N63" s="317"/>
      <c r="O63" s="318"/>
      <c r="P63" s="318"/>
      <c r="Q63" s="319"/>
      <c r="R63" s="1"/>
      <c r="S63" s="2"/>
      <c r="T63" s="3"/>
      <c r="U63" s="4"/>
    </row>
    <row r="64" spans="1:21" ht="15.75" thickBot="1">
      <c r="A64" s="332"/>
      <c r="B64" s="333"/>
      <c r="C64" s="333"/>
      <c r="D64" s="333"/>
      <c r="E64" s="333"/>
      <c r="F64" s="333"/>
      <c r="G64" s="333"/>
      <c r="H64" s="333"/>
      <c r="I64" s="336"/>
      <c r="J64" s="336"/>
      <c r="K64" s="336"/>
      <c r="L64" s="339"/>
      <c r="M64" s="342"/>
      <c r="N64" s="320"/>
      <c r="O64" s="321"/>
      <c r="P64" s="321"/>
      <c r="Q64" s="322"/>
      <c r="R64" s="323" t="s">
        <v>102</v>
      </c>
      <c r="S64" s="324"/>
      <c r="T64" s="324"/>
      <c r="U64" s="325"/>
    </row>
    <row r="65" spans="1:21" ht="15.75" thickBot="1">
      <c r="A65" s="345" t="s">
        <v>99</v>
      </c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7"/>
    </row>
    <row r="66" spans="1:21" ht="15.75" thickBot="1">
      <c r="A66" s="345">
        <f>A34</f>
        <v>45732</v>
      </c>
      <c r="B66" s="346"/>
      <c r="C66" s="346"/>
      <c r="D66" s="346"/>
      <c r="E66" s="346"/>
      <c r="F66" s="346"/>
      <c r="G66" s="347"/>
      <c r="H66" s="348" t="s">
        <v>1</v>
      </c>
      <c r="I66" s="349"/>
      <c r="J66" s="345" t="str">
        <f>J34</f>
        <v>SUNNY</v>
      </c>
      <c r="K66" s="347"/>
      <c r="L66" s="349" t="s">
        <v>101</v>
      </c>
      <c r="M66" s="350"/>
      <c r="N66" s="348"/>
      <c r="O66" s="346" t="str">
        <f>O34</f>
        <v>SURESH</v>
      </c>
      <c r="P66" s="346"/>
      <c r="Q66" s="347"/>
      <c r="R66" s="349" t="s">
        <v>5</v>
      </c>
      <c r="S66" s="348"/>
      <c r="T66" s="343">
        <f>T34</f>
        <v>6</v>
      </c>
      <c r="U66" s="343"/>
    </row>
    <row r="67" spans="1:21" ht="15.75" thickBot="1">
      <c r="A67" s="15" t="s">
        <v>9</v>
      </c>
      <c r="H67" s="9"/>
      <c r="I67" s="18"/>
      <c r="T67" s="10"/>
      <c r="U67" s="11"/>
    </row>
    <row r="68" spans="1:21" ht="13.5">
      <c r="A68" s="133" t="s">
        <v>10</v>
      </c>
      <c r="B68" s="176" t="s">
        <v>11</v>
      </c>
      <c r="C68" s="142" t="s">
        <v>12</v>
      </c>
      <c r="D68" s="166" t="s">
        <v>13</v>
      </c>
      <c r="E68" s="142" t="s">
        <v>14</v>
      </c>
      <c r="F68" s="176" t="s">
        <v>15</v>
      </c>
      <c r="G68" s="176" t="s">
        <v>16</v>
      </c>
      <c r="H68" s="176" t="s">
        <v>17</v>
      </c>
      <c r="I68" s="176" t="s">
        <v>18</v>
      </c>
      <c r="J68" s="176" t="s">
        <v>19</v>
      </c>
      <c r="K68" s="176" t="s">
        <v>20</v>
      </c>
      <c r="L68" s="176" t="s">
        <v>21</v>
      </c>
      <c r="M68" s="176" t="s">
        <v>22</v>
      </c>
      <c r="N68" s="176" t="s">
        <v>23</v>
      </c>
      <c r="O68" s="344" t="s">
        <v>24</v>
      </c>
      <c r="P68" s="344"/>
      <c r="Q68" s="344"/>
      <c r="R68" s="176" t="s">
        <v>25</v>
      </c>
      <c r="S68" s="134" t="s">
        <v>26</v>
      </c>
      <c r="T68" s="134" t="s">
        <v>27</v>
      </c>
      <c r="U68" s="135" t="s">
        <v>28</v>
      </c>
    </row>
    <row r="69" spans="1:21">
      <c r="A69" s="131">
        <f>A61+1</f>
        <v>51</v>
      </c>
      <c r="B69" s="175"/>
      <c r="C69" s="59"/>
      <c r="D69" s="169"/>
      <c r="E69" s="153"/>
      <c r="F69" s="144"/>
      <c r="G69" s="108"/>
      <c r="H69" s="81"/>
      <c r="I69" s="260"/>
      <c r="J69" s="259" t="str">
        <f>IF(G69="RSL","60.00","0")</f>
        <v>0</v>
      </c>
      <c r="K69" s="259" t="str">
        <f>IF(G69="GVS","37.5",IF(G69="GVM","41.5",IF(G69="GVL","50",IF(G69="PCS/X","62.5",IF(G69="PCS/HP","79.16",IF(G69="PCL/X","79.16",IF(G69="PCL/HP","100.00","0")))))))</f>
        <v>0</v>
      </c>
      <c r="L69" s="236"/>
      <c r="M69" s="236"/>
      <c r="N69" s="232"/>
      <c r="O69" s="326"/>
      <c r="P69" s="326"/>
      <c r="Q69" s="326"/>
      <c r="R69" s="51"/>
      <c r="S69" s="52"/>
      <c r="T69" s="52"/>
      <c r="U69" s="60"/>
    </row>
    <row r="70" spans="1:21">
      <c r="A70" s="114">
        <f>A69+1</f>
        <v>52</v>
      </c>
      <c r="B70" s="175"/>
      <c r="C70" s="58"/>
      <c r="D70" s="167"/>
      <c r="E70" s="153"/>
      <c r="F70" s="144"/>
      <c r="G70" s="108"/>
      <c r="H70" s="81"/>
      <c r="I70" s="260"/>
      <c r="J70" s="259" t="str">
        <f t="shared" ref="J70:J93" si="9">IF(G70="RSL","60.00","0")</f>
        <v>0</v>
      </c>
      <c r="K70" s="259" t="str">
        <f t="shared" ref="K70:K93" si="10">IF(G70="GVS","37.5",IF(G70="GVM","41.5",IF(G70="GVL","50",IF(G70="PCS/X","62.5",IF(G70="PCS/HP","79.16",IF(G70="PCL/X","79.16",IF(G70="PCL/HP","100.00","0")))))))</f>
        <v>0</v>
      </c>
      <c r="L70" s="236"/>
      <c r="M70" s="236"/>
      <c r="N70" s="232"/>
      <c r="O70" s="326"/>
      <c r="P70" s="326"/>
      <c r="Q70" s="326"/>
      <c r="R70" s="68"/>
      <c r="S70" s="61"/>
      <c r="T70" s="16"/>
      <c r="U70" s="62"/>
    </row>
    <row r="71" spans="1:21">
      <c r="A71" s="114">
        <f t="shared" ref="A71:A93" si="11">A70+1</f>
        <v>53</v>
      </c>
      <c r="B71" s="175"/>
      <c r="C71" s="26"/>
      <c r="D71" s="155"/>
      <c r="E71" s="153"/>
      <c r="F71" s="144"/>
      <c r="G71" s="108"/>
      <c r="H71" s="81"/>
      <c r="I71" s="260"/>
      <c r="J71" s="259" t="str">
        <f t="shared" si="9"/>
        <v>0</v>
      </c>
      <c r="K71" s="259" t="str">
        <f t="shared" si="10"/>
        <v>0</v>
      </c>
      <c r="L71" s="236"/>
      <c r="M71" s="236"/>
      <c r="N71" s="232"/>
      <c r="O71" s="326"/>
      <c r="P71" s="326"/>
      <c r="Q71" s="326"/>
      <c r="R71" s="69"/>
      <c r="S71" s="13"/>
      <c r="T71" s="12"/>
      <c r="U71" s="62"/>
    </row>
    <row r="72" spans="1:21">
      <c r="A72" s="114">
        <f t="shared" si="11"/>
        <v>54</v>
      </c>
      <c r="B72" s="175"/>
      <c r="C72" s="54"/>
      <c r="D72" s="156"/>
      <c r="E72" s="153"/>
      <c r="F72" s="145"/>
      <c r="G72" s="109"/>
      <c r="H72" s="81"/>
      <c r="I72" s="81"/>
      <c r="J72" s="259" t="str">
        <f t="shared" si="9"/>
        <v>0</v>
      </c>
      <c r="K72" s="259" t="str">
        <f t="shared" si="10"/>
        <v>0</v>
      </c>
      <c r="L72" s="236"/>
      <c r="M72" s="236"/>
      <c r="N72" s="232"/>
      <c r="O72" s="326"/>
      <c r="P72" s="326"/>
      <c r="Q72" s="326"/>
      <c r="R72" s="68"/>
      <c r="S72" s="61"/>
      <c r="T72" s="61"/>
      <c r="U72" s="62"/>
    </row>
    <row r="73" spans="1:21">
      <c r="A73" s="114">
        <f t="shared" si="11"/>
        <v>55</v>
      </c>
      <c r="B73" s="175"/>
      <c r="C73" s="54"/>
      <c r="D73" s="156"/>
      <c r="E73" s="153"/>
      <c r="F73" s="145"/>
      <c r="G73" s="109"/>
      <c r="H73" s="81"/>
      <c r="I73" s="81"/>
      <c r="J73" s="259" t="str">
        <f t="shared" si="9"/>
        <v>0</v>
      </c>
      <c r="K73" s="259" t="str">
        <f t="shared" si="10"/>
        <v>0</v>
      </c>
      <c r="L73" s="236"/>
      <c r="M73" s="236"/>
      <c r="N73" s="232"/>
      <c r="O73" s="326"/>
      <c r="P73" s="326"/>
      <c r="Q73" s="326"/>
      <c r="R73" s="70"/>
      <c r="S73" s="63"/>
      <c r="T73" s="63"/>
      <c r="U73" s="64"/>
    </row>
    <row r="74" spans="1:21">
      <c r="A74" s="114">
        <f t="shared" si="11"/>
        <v>56</v>
      </c>
      <c r="B74" s="175"/>
      <c r="C74" s="27"/>
      <c r="D74" s="157"/>
      <c r="E74" s="153"/>
      <c r="F74" s="146"/>
      <c r="G74" s="110"/>
      <c r="H74" s="113"/>
      <c r="I74" s="261"/>
      <c r="J74" s="259" t="str">
        <f t="shared" si="9"/>
        <v>0</v>
      </c>
      <c r="K74" s="259" t="str">
        <f t="shared" si="10"/>
        <v>0</v>
      </c>
      <c r="L74" s="236"/>
      <c r="M74" s="236"/>
      <c r="N74" s="232"/>
      <c r="O74" s="326"/>
      <c r="P74" s="326"/>
      <c r="Q74" s="326"/>
      <c r="R74" s="70"/>
      <c r="S74" s="63"/>
      <c r="T74" s="63"/>
      <c r="U74" s="64"/>
    </row>
    <row r="75" spans="1:21">
      <c r="A75" s="114">
        <f t="shared" si="11"/>
        <v>57</v>
      </c>
      <c r="B75" s="175"/>
      <c r="C75" s="17"/>
      <c r="D75" s="163"/>
      <c r="E75" s="153"/>
      <c r="F75" s="57"/>
      <c r="G75" s="111"/>
      <c r="H75" s="113"/>
      <c r="I75" s="260"/>
      <c r="J75" s="259" t="str">
        <f t="shared" si="9"/>
        <v>0</v>
      </c>
      <c r="K75" s="259" t="str">
        <f t="shared" si="10"/>
        <v>0</v>
      </c>
      <c r="L75" s="236"/>
      <c r="M75" s="236"/>
      <c r="N75" s="232"/>
      <c r="O75" s="326"/>
      <c r="P75" s="326"/>
      <c r="Q75" s="326"/>
      <c r="R75" s="68"/>
      <c r="S75" s="61"/>
      <c r="T75" s="61"/>
      <c r="U75" s="62"/>
    </row>
    <row r="76" spans="1:21">
      <c r="A76" s="114">
        <f t="shared" si="11"/>
        <v>58</v>
      </c>
      <c r="B76" s="175"/>
      <c r="C76" s="55"/>
      <c r="D76" s="158"/>
      <c r="E76" s="153"/>
      <c r="F76" s="146"/>
      <c r="G76" s="109"/>
      <c r="H76" s="113"/>
      <c r="I76" s="261"/>
      <c r="J76" s="259" t="str">
        <f t="shared" si="9"/>
        <v>0</v>
      </c>
      <c r="K76" s="259" t="str">
        <f t="shared" si="10"/>
        <v>0</v>
      </c>
      <c r="L76" s="236"/>
      <c r="M76" s="236"/>
      <c r="N76" s="232"/>
      <c r="O76" s="326"/>
      <c r="P76" s="326"/>
      <c r="Q76" s="326"/>
      <c r="R76" s="5"/>
      <c r="S76" s="61"/>
      <c r="T76" s="61"/>
      <c r="U76" s="62"/>
    </row>
    <row r="77" spans="1:21">
      <c r="A77" s="114">
        <f t="shared" si="11"/>
        <v>59</v>
      </c>
      <c r="B77" s="175"/>
      <c r="C77" s="55"/>
      <c r="D77" s="158"/>
      <c r="E77" s="153"/>
      <c r="F77" s="146"/>
      <c r="G77" s="109"/>
      <c r="H77" s="113"/>
      <c r="I77" s="261"/>
      <c r="J77" s="259" t="str">
        <f t="shared" si="9"/>
        <v>0</v>
      </c>
      <c r="K77" s="259" t="str">
        <f t="shared" si="10"/>
        <v>0</v>
      </c>
      <c r="L77" s="236"/>
      <c r="M77" s="236"/>
      <c r="N77" s="232"/>
      <c r="O77" s="326"/>
      <c r="P77" s="326"/>
      <c r="Q77" s="326"/>
      <c r="R77" s="5"/>
      <c r="S77" s="61"/>
      <c r="T77" s="61"/>
      <c r="U77" s="62"/>
    </row>
    <row r="78" spans="1:21">
      <c r="A78" s="114">
        <f t="shared" si="11"/>
        <v>60</v>
      </c>
      <c r="B78" s="175"/>
      <c r="C78" s="56"/>
      <c r="D78" s="159"/>
      <c r="E78" s="153"/>
      <c r="F78" s="143"/>
      <c r="G78" s="112"/>
      <c r="H78" s="113"/>
      <c r="I78" s="260"/>
      <c r="J78" s="259" t="str">
        <f t="shared" si="9"/>
        <v>0</v>
      </c>
      <c r="K78" s="259" t="str">
        <f t="shared" si="10"/>
        <v>0</v>
      </c>
      <c r="L78" s="236"/>
      <c r="M78" s="236"/>
      <c r="N78" s="232"/>
      <c r="O78" s="326"/>
      <c r="P78" s="326"/>
      <c r="Q78" s="326"/>
      <c r="R78" s="5"/>
      <c r="S78" s="61"/>
      <c r="T78" s="61"/>
      <c r="U78" s="62"/>
    </row>
    <row r="79" spans="1:21">
      <c r="A79" s="114">
        <f t="shared" si="11"/>
        <v>61</v>
      </c>
      <c r="B79" s="175"/>
      <c r="C79" s="17"/>
      <c r="D79" s="163"/>
      <c r="E79" s="153"/>
      <c r="F79" s="57"/>
      <c r="G79" s="111"/>
      <c r="H79" s="113"/>
      <c r="I79" s="260"/>
      <c r="J79" s="259" t="str">
        <f t="shared" si="9"/>
        <v>0</v>
      </c>
      <c r="K79" s="259" t="str">
        <f t="shared" si="10"/>
        <v>0</v>
      </c>
      <c r="L79" s="236"/>
      <c r="M79" s="236"/>
      <c r="N79" s="232"/>
      <c r="O79" s="326"/>
      <c r="P79" s="326"/>
      <c r="Q79" s="326"/>
      <c r="R79" s="5"/>
      <c r="S79" s="61"/>
      <c r="T79" s="61"/>
      <c r="U79" s="62"/>
    </row>
    <row r="80" spans="1:21">
      <c r="A80" s="114">
        <f t="shared" si="11"/>
        <v>62</v>
      </c>
      <c r="B80" s="175"/>
      <c r="C80" s="56"/>
      <c r="D80" s="159"/>
      <c r="E80" s="153"/>
      <c r="F80" s="143"/>
      <c r="G80" s="112"/>
      <c r="H80" s="113"/>
      <c r="I80" s="260"/>
      <c r="J80" s="259" t="str">
        <f t="shared" si="9"/>
        <v>0</v>
      </c>
      <c r="K80" s="259" t="str">
        <f t="shared" si="10"/>
        <v>0</v>
      </c>
      <c r="L80" s="236"/>
      <c r="M80" s="236"/>
      <c r="N80" s="232"/>
      <c r="O80" s="326"/>
      <c r="P80" s="326"/>
      <c r="Q80" s="326"/>
      <c r="R80" s="5"/>
      <c r="S80" s="61"/>
      <c r="T80" s="61"/>
      <c r="U80" s="62"/>
    </row>
    <row r="81" spans="1:21">
      <c r="A81" s="114">
        <f t="shared" si="11"/>
        <v>63</v>
      </c>
      <c r="B81" s="175"/>
      <c r="C81" s="17"/>
      <c r="D81" s="163"/>
      <c r="E81" s="153"/>
      <c r="F81" s="57"/>
      <c r="G81" s="111"/>
      <c r="H81" s="113"/>
      <c r="I81" s="260"/>
      <c r="J81" s="259" t="str">
        <f t="shared" si="9"/>
        <v>0</v>
      </c>
      <c r="K81" s="259" t="str">
        <f t="shared" si="10"/>
        <v>0</v>
      </c>
      <c r="L81" s="236"/>
      <c r="M81" s="236"/>
      <c r="N81" s="232"/>
      <c r="O81" s="326"/>
      <c r="P81" s="326"/>
      <c r="Q81" s="326"/>
      <c r="R81" s="5"/>
      <c r="S81" s="61"/>
      <c r="T81" s="65"/>
      <c r="U81" s="62"/>
    </row>
    <row r="82" spans="1:21">
      <c r="A82" s="114">
        <f t="shared" si="11"/>
        <v>64</v>
      </c>
      <c r="B82" s="175"/>
      <c r="C82" s="17"/>
      <c r="D82" s="163"/>
      <c r="E82" s="153"/>
      <c r="F82" s="57"/>
      <c r="G82" s="19"/>
      <c r="H82" s="113"/>
      <c r="I82" s="260"/>
      <c r="J82" s="259" t="str">
        <f t="shared" si="9"/>
        <v>0</v>
      </c>
      <c r="K82" s="259" t="str">
        <f t="shared" si="10"/>
        <v>0</v>
      </c>
      <c r="L82" s="236"/>
      <c r="M82" s="236"/>
      <c r="N82" s="232"/>
      <c r="O82" s="326"/>
      <c r="P82" s="326"/>
      <c r="Q82" s="326"/>
      <c r="R82" s="5"/>
      <c r="S82" s="61"/>
      <c r="T82" s="65"/>
      <c r="U82" s="62"/>
    </row>
    <row r="83" spans="1:21">
      <c r="A83" s="114">
        <f t="shared" si="11"/>
        <v>65</v>
      </c>
      <c r="B83" s="175"/>
      <c r="C83" s="17"/>
      <c r="D83" s="163"/>
      <c r="E83" s="153"/>
      <c r="F83" s="57"/>
      <c r="G83" s="111"/>
      <c r="H83" s="113"/>
      <c r="I83" s="260"/>
      <c r="J83" s="259" t="str">
        <f t="shared" si="9"/>
        <v>0</v>
      </c>
      <c r="K83" s="259" t="str">
        <f t="shared" si="10"/>
        <v>0</v>
      </c>
      <c r="L83" s="236"/>
      <c r="M83" s="236"/>
      <c r="N83" s="232"/>
      <c r="O83" s="326"/>
      <c r="P83" s="326"/>
      <c r="Q83" s="326"/>
      <c r="R83" s="5"/>
      <c r="S83" s="61"/>
      <c r="T83" s="65"/>
      <c r="U83" s="62"/>
    </row>
    <row r="84" spans="1:21">
      <c r="A84" s="114">
        <f t="shared" si="11"/>
        <v>66</v>
      </c>
      <c r="B84" s="175"/>
      <c r="C84" s="57"/>
      <c r="D84" s="164"/>
      <c r="E84" s="153"/>
      <c r="F84" s="57"/>
      <c r="G84" s="111"/>
      <c r="H84" s="113"/>
      <c r="I84" s="260"/>
      <c r="J84" s="259" t="str">
        <f t="shared" si="9"/>
        <v>0</v>
      </c>
      <c r="K84" s="259" t="str">
        <f t="shared" si="10"/>
        <v>0</v>
      </c>
      <c r="L84" s="222"/>
      <c r="M84" s="222"/>
      <c r="N84" s="232"/>
      <c r="O84" s="326"/>
      <c r="P84" s="326"/>
      <c r="Q84" s="326"/>
      <c r="R84" s="71"/>
      <c r="S84" s="59"/>
      <c r="T84" s="66"/>
      <c r="U84" s="67"/>
    </row>
    <row r="85" spans="1:21">
      <c r="A85" s="114">
        <f t="shared" si="11"/>
        <v>67</v>
      </c>
      <c r="B85" s="175"/>
      <c r="C85" s="21"/>
      <c r="D85" s="160"/>
      <c r="E85" s="153"/>
      <c r="F85" s="148"/>
      <c r="G85" s="175"/>
      <c r="H85" s="79"/>
      <c r="I85" s="220"/>
      <c r="J85" s="259" t="str">
        <f t="shared" si="9"/>
        <v>0</v>
      </c>
      <c r="K85" s="259" t="str">
        <f t="shared" si="10"/>
        <v>0</v>
      </c>
      <c r="L85" s="236"/>
      <c r="M85" s="236"/>
      <c r="N85" s="232"/>
      <c r="O85" s="326"/>
      <c r="P85" s="326"/>
      <c r="Q85" s="326"/>
      <c r="R85" s="71"/>
      <c r="S85" s="59"/>
      <c r="T85" s="66"/>
      <c r="U85" s="67"/>
    </row>
    <row r="86" spans="1:21">
      <c r="A86" s="114">
        <f t="shared" si="11"/>
        <v>68</v>
      </c>
      <c r="B86" s="175"/>
      <c r="C86" s="21"/>
      <c r="D86" s="160"/>
      <c r="E86" s="153"/>
      <c r="F86" s="148"/>
      <c r="G86" s="175"/>
      <c r="H86" s="79"/>
      <c r="I86" s="220"/>
      <c r="J86" s="259" t="str">
        <f t="shared" si="9"/>
        <v>0</v>
      </c>
      <c r="K86" s="259" t="str">
        <f t="shared" si="10"/>
        <v>0</v>
      </c>
      <c r="L86" s="236"/>
      <c r="M86" s="236"/>
      <c r="N86" s="232"/>
      <c r="O86" s="326"/>
      <c r="P86" s="326"/>
      <c r="Q86" s="326"/>
      <c r="R86" s="71"/>
      <c r="S86" s="59"/>
      <c r="T86" s="66"/>
      <c r="U86" s="67"/>
    </row>
    <row r="87" spans="1:21">
      <c r="A87" s="114">
        <f t="shared" si="11"/>
        <v>69</v>
      </c>
      <c r="B87" s="175"/>
      <c r="C87" s="21"/>
      <c r="D87" s="160"/>
      <c r="E87" s="153"/>
      <c r="F87" s="148"/>
      <c r="G87" s="175"/>
      <c r="H87" s="79"/>
      <c r="I87" s="220"/>
      <c r="J87" s="259" t="str">
        <f t="shared" si="9"/>
        <v>0</v>
      </c>
      <c r="K87" s="259" t="str">
        <f t="shared" si="10"/>
        <v>0</v>
      </c>
      <c r="L87" s="236"/>
      <c r="M87" s="236"/>
      <c r="N87" s="236"/>
      <c r="O87" s="326"/>
      <c r="P87" s="326"/>
      <c r="Q87" s="326"/>
      <c r="R87" s="71"/>
      <c r="S87" s="59"/>
      <c r="T87" s="66"/>
      <c r="U87" s="67"/>
    </row>
    <row r="88" spans="1:21">
      <c r="A88" s="114">
        <f t="shared" si="11"/>
        <v>70</v>
      </c>
      <c r="B88" s="175"/>
      <c r="C88" s="115"/>
      <c r="D88" s="161"/>
      <c r="E88" s="153"/>
      <c r="F88" s="148"/>
      <c r="G88" s="175"/>
      <c r="H88" s="80"/>
      <c r="I88" s="80"/>
      <c r="J88" s="259" t="str">
        <f t="shared" si="9"/>
        <v>0</v>
      </c>
      <c r="K88" s="259" t="str">
        <f t="shared" si="10"/>
        <v>0</v>
      </c>
      <c r="L88" s="236"/>
      <c r="M88" s="236"/>
      <c r="N88" s="232"/>
      <c r="O88" s="326"/>
      <c r="P88" s="326"/>
      <c r="Q88" s="326"/>
      <c r="R88" s="71"/>
      <c r="S88" s="59"/>
      <c r="T88" s="66"/>
      <c r="U88" s="67"/>
    </row>
    <row r="89" spans="1:21">
      <c r="A89" s="114">
        <f t="shared" si="11"/>
        <v>71</v>
      </c>
      <c r="B89" s="175"/>
      <c r="C89" s="26"/>
      <c r="D89" s="155"/>
      <c r="E89" s="153"/>
      <c r="F89" s="149"/>
      <c r="G89" s="19"/>
      <c r="H89" s="79"/>
      <c r="I89" s="220"/>
      <c r="J89" s="259" t="str">
        <f t="shared" si="9"/>
        <v>0</v>
      </c>
      <c r="K89" s="259" t="str">
        <f t="shared" si="10"/>
        <v>0</v>
      </c>
      <c r="L89" s="236"/>
      <c r="M89" s="236"/>
      <c r="N89" s="232"/>
      <c r="O89" s="326"/>
      <c r="P89" s="326"/>
      <c r="Q89" s="326"/>
      <c r="R89" s="71"/>
      <c r="S89" s="59"/>
      <c r="T89" s="59"/>
      <c r="U89" s="67"/>
    </row>
    <row r="90" spans="1:21">
      <c r="A90" s="114">
        <f t="shared" si="11"/>
        <v>72</v>
      </c>
      <c r="B90" s="175"/>
      <c r="C90" s="26"/>
      <c r="D90" s="155"/>
      <c r="E90" s="153"/>
      <c r="F90" s="149"/>
      <c r="G90" s="19"/>
      <c r="H90" s="79"/>
      <c r="I90" s="220"/>
      <c r="J90" s="259" t="str">
        <f t="shared" si="9"/>
        <v>0</v>
      </c>
      <c r="K90" s="259" t="str">
        <f t="shared" si="10"/>
        <v>0</v>
      </c>
      <c r="L90" s="236"/>
      <c r="M90" s="236"/>
      <c r="N90" s="232"/>
      <c r="O90" s="326"/>
      <c r="P90" s="326"/>
      <c r="Q90" s="326"/>
      <c r="R90" s="71"/>
      <c r="S90" s="59"/>
      <c r="T90" s="59"/>
      <c r="U90" s="67"/>
    </row>
    <row r="91" spans="1:21">
      <c r="A91" s="114">
        <f t="shared" si="11"/>
        <v>73</v>
      </c>
      <c r="B91" s="175"/>
      <c r="C91" s="26"/>
      <c r="D91" s="155"/>
      <c r="E91" s="153"/>
      <c r="F91" s="149"/>
      <c r="G91" s="19"/>
      <c r="H91" s="79"/>
      <c r="I91" s="220"/>
      <c r="J91" s="259" t="str">
        <f t="shared" si="9"/>
        <v>0</v>
      </c>
      <c r="K91" s="259" t="str">
        <f t="shared" si="10"/>
        <v>0</v>
      </c>
      <c r="L91" s="236"/>
      <c r="M91" s="236"/>
      <c r="N91" s="232"/>
      <c r="O91" s="326"/>
      <c r="P91" s="326"/>
      <c r="Q91" s="326"/>
      <c r="R91" s="71"/>
      <c r="S91" s="59"/>
      <c r="T91" s="59"/>
      <c r="U91" s="67"/>
    </row>
    <row r="92" spans="1:21">
      <c r="A92" s="114">
        <f t="shared" si="11"/>
        <v>74</v>
      </c>
      <c r="B92" s="175"/>
      <c r="C92" s="33"/>
      <c r="D92" s="162"/>
      <c r="E92" s="153"/>
      <c r="F92" s="149"/>
      <c r="G92" s="19"/>
      <c r="H92" s="79"/>
      <c r="I92" s="79"/>
      <c r="J92" s="259" t="str">
        <f t="shared" si="9"/>
        <v>0</v>
      </c>
      <c r="K92" s="259" t="str">
        <f t="shared" si="10"/>
        <v>0</v>
      </c>
      <c r="L92" s="236"/>
      <c r="M92" s="236"/>
      <c r="N92" s="232"/>
      <c r="O92" s="326"/>
      <c r="P92" s="326"/>
      <c r="Q92" s="326"/>
      <c r="R92" s="71"/>
      <c r="S92" s="59"/>
      <c r="T92" s="59"/>
      <c r="U92" s="67"/>
    </row>
    <row r="93" spans="1:21" ht="15.75" customHeight="1">
      <c r="A93" s="114">
        <f t="shared" si="11"/>
        <v>75</v>
      </c>
      <c r="B93" s="175"/>
      <c r="C93" s="29"/>
      <c r="D93" s="171"/>
      <c r="E93" s="154"/>
      <c r="F93" s="150"/>
      <c r="G93" s="175"/>
      <c r="H93" s="128"/>
      <c r="I93" s="128"/>
      <c r="J93" s="259" t="str">
        <f t="shared" si="9"/>
        <v>0</v>
      </c>
      <c r="K93" s="259" t="str">
        <f t="shared" si="10"/>
        <v>0</v>
      </c>
      <c r="L93" s="236"/>
      <c r="M93" s="236"/>
      <c r="N93" s="232"/>
      <c r="O93" s="326"/>
      <c r="P93" s="326"/>
      <c r="Q93" s="326"/>
      <c r="R93" s="71"/>
      <c r="S93" s="59"/>
      <c r="T93" s="59"/>
      <c r="U93" s="67"/>
    </row>
    <row r="94" spans="1:21" ht="13.5">
      <c r="A94" s="327" t="s">
        <v>89</v>
      </c>
      <c r="B94" s="328"/>
      <c r="C94" s="328"/>
      <c r="D94" s="328"/>
      <c r="E94" s="329"/>
      <c r="F94" s="328"/>
      <c r="G94" s="328"/>
      <c r="H94" s="328">
        <f t="shared" ref="H94:M94" si="12">SUM(H69:H93)</f>
        <v>0</v>
      </c>
      <c r="I94" s="334">
        <f t="shared" si="12"/>
        <v>0</v>
      </c>
      <c r="J94" s="334">
        <f>J93+J92+J91+J90+J89+J88+J87+J86+J85+J84+J83+J82+J81+J80+J79+J78+J77+J76+J75+J74+J73+J72+J71+J70+J69</f>
        <v>0</v>
      </c>
      <c r="K94" s="334">
        <f>K93+K92+K91+K90+K89+K88+K87+K86+K85+K84+K83+K82+K81+K80+K79+K78+K77+K76+K75+K74+K73+K72+K71+K70+K69</f>
        <v>0</v>
      </c>
      <c r="L94" s="337">
        <f t="shared" si="12"/>
        <v>0</v>
      </c>
      <c r="M94" s="340">
        <f t="shared" si="12"/>
        <v>0</v>
      </c>
      <c r="N94" s="314"/>
      <c r="O94" s="315"/>
      <c r="P94" s="315"/>
      <c r="Q94" s="316"/>
      <c r="R94" s="5"/>
      <c r="S94" s="6"/>
      <c r="T94" s="7"/>
      <c r="U94" s="8"/>
    </row>
    <row r="95" spans="1:21" ht="15.75" thickBot="1">
      <c r="A95" s="330"/>
      <c r="B95" s="331"/>
      <c r="C95" s="331"/>
      <c r="D95" s="331"/>
      <c r="E95" s="331"/>
      <c r="F95" s="331"/>
      <c r="G95" s="331"/>
      <c r="H95" s="331"/>
      <c r="I95" s="335"/>
      <c r="J95" s="335"/>
      <c r="K95" s="335"/>
      <c r="L95" s="338"/>
      <c r="M95" s="341"/>
      <c r="N95" s="317"/>
      <c r="O95" s="318"/>
      <c r="P95" s="318"/>
      <c r="Q95" s="319"/>
      <c r="R95" s="1"/>
      <c r="S95" s="2"/>
      <c r="T95" s="3"/>
      <c r="U95" s="4"/>
    </row>
    <row r="96" spans="1:21" ht="15.75" thickBot="1">
      <c r="A96" s="332"/>
      <c r="B96" s="333"/>
      <c r="C96" s="333"/>
      <c r="D96" s="333"/>
      <c r="E96" s="333"/>
      <c r="F96" s="333"/>
      <c r="G96" s="333"/>
      <c r="H96" s="333"/>
      <c r="I96" s="336"/>
      <c r="J96" s="336"/>
      <c r="K96" s="336"/>
      <c r="L96" s="339"/>
      <c r="M96" s="342"/>
      <c r="N96" s="320"/>
      <c r="O96" s="321"/>
      <c r="P96" s="321"/>
      <c r="Q96" s="322"/>
      <c r="R96" s="323" t="s">
        <v>103</v>
      </c>
      <c r="S96" s="324"/>
      <c r="T96" s="324"/>
      <c r="U96" s="325"/>
    </row>
  </sheetData>
  <mergeCells count="132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1" right="1" top="1" bottom="1" header="0.5" footer="0.5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30" workbookViewId="0">
      <selection activeCell="H24" sqref="H24:K24"/>
    </sheetView>
  </sheetViews>
  <sheetFormatPr defaultColWidth="9" defaultRowHeight="15"/>
  <cols>
    <col min="1" max="477" width="2.625" style="14" customWidth="1"/>
    <col min="478" max="16384" width="9" style="14"/>
  </cols>
  <sheetData>
    <row r="1" spans="1:30" ht="32.25" customHeight="1">
      <c r="A1" s="621"/>
      <c r="B1" s="621"/>
      <c r="C1" s="621"/>
      <c r="D1" s="621"/>
      <c r="E1" s="620" t="s">
        <v>428</v>
      </c>
      <c r="F1" s="620"/>
      <c r="G1" s="620"/>
      <c r="H1" s="620" t="s">
        <v>429</v>
      </c>
      <c r="I1" s="620"/>
      <c r="J1" s="620"/>
      <c r="K1" s="620"/>
      <c r="L1" s="620" t="s">
        <v>430</v>
      </c>
      <c r="M1" s="620"/>
      <c r="N1" s="620"/>
      <c r="O1" s="620"/>
      <c r="P1" s="620"/>
      <c r="Q1" s="620" t="s">
        <v>431</v>
      </c>
      <c r="R1" s="620"/>
      <c r="S1" s="620"/>
      <c r="T1" s="620"/>
      <c r="U1" s="620"/>
      <c r="V1" s="620" t="s">
        <v>432</v>
      </c>
      <c r="W1" s="620"/>
      <c r="X1" s="620"/>
      <c r="Y1" s="620"/>
      <c r="Z1" s="620"/>
      <c r="AA1" s="620" t="s">
        <v>433</v>
      </c>
      <c r="AB1" s="620"/>
      <c r="AC1" s="620"/>
      <c r="AD1" s="620"/>
    </row>
    <row r="2" spans="1:30" ht="20.100000000000001" customHeight="1">
      <c r="A2" s="701" t="s">
        <v>434</v>
      </c>
      <c r="B2" s="512" t="s">
        <v>435</v>
      </c>
      <c r="C2" s="512"/>
      <c r="D2" s="536"/>
      <c r="E2" s="536">
        <f>MON!N31</f>
        <v>1</v>
      </c>
      <c r="F2" s="536"/>
      <c r="G2" s="536"/>
      <c r="H2" s="505">
        <f>MON!S31</f>
        <v>150</v>
      </c>
      <c r="I2" s="505"/>
      <c r="J2" s="505"/>
      <c r="K2" s="505"/>
      <c r="L2" s="506">
        <f>MON!N32</f>
        <v>0.1890788080471941</v>
      </c>
      <c r="M2" s="506"/>
      <c r="N2" s="506"/>
      <c r="O2" s="506"/>
      <c r="P2" s="506"/>
      <c r="Q2" s="566">
        <f>SUM(E2:G5)</f>
        <v>9</v>
      </c>
      <c r="R2" s="567"/>
      <c r="S2" s="567"/>
      <c r="T2" s="567"/>
      <c r="U2" s="568"/>
      <c r="V2" s="631">
        <f>SUM(H2,H3,H5)</f>
        <v>540</v>
      </c>
      <c r="W2" s="632"/>
      <c r="X2" s="632"/>
      <c r="Y2" s="632"/>
      <c r="Z2" s="633"/>
      <c r="AA2" s="640">
        <f>V2/Q2</f>
        <v>60</v>
      </c>
      <c r="AB2" s="641"/>
      <c r="AC2" s="641"/>
      <c r="AD2" s="642"/>
    </row>
    <row r="3" spans="1:30" ht="20.100000000000001" customHeight="1">
      <c r="A3" s="702"/>
      <c r="B3" s="512" t="s">
        <v>436</v>
      </c>
      <c r="C3" s="512"/>
      <c r="D3" s="536"/>
      <c r="E3" s="536">
        <f>MON!O31</f>
        <v>2</v>
      </c>
      <c r="F3" s="536"/>
      <c r="G3" s="536"/>
      <c r="H3" s="505">
        <f>MON!S32</f>
        <v>150</v>
      </c>
      <c r="I3" s="505"/>
      <c r="J3" s="505"/>
      <c r="K3" s="505"/>
      <c r="L3" s="506">
        <f>MON!O32</f>
        <v>0.1890788080471941</v>
      </c>
      <c r="M3" s="506"/>
      <c r="N3" s="506"/>
      <c r="O3" s="506"/>
      <c r="P3" s="506"/>
      <c r="Q3" s="569"/>
      <c r="R3" s="570"/>
      <c r="S3" s="570"/>
      <c r="T3" s="570"/>
      <c r="U3" s="571"/>
      <c r="V3" s="634"/>
      <c r="W3" s="635"/>
      <c r="X3" s="635"/>
      <c r="Y3" s="635"/>
      <c r="Z3" s="636"/>
      <c r="AA3" s="643"/>
      <c r="AB3" s="644"/>
      <c r="AC3" s="644"/>
      <c r="AD3" s="645"/>
    </row>
    <row r="4" spans="1:30" ht="20.100000000000001" customHeight="1">
      <c r="A4" s="702"/>
      <c r="B4" s="512" t="s">
        <v>20</v>
      </c>
      <c r="C4" s="512"/>
      <c r="D4" s="536"/>
      <c r="E4" s="536">
        <f>MON!P31</f>
        <v>3</v>
      </c>
      <c r="F4" s="536"/>
      <c r="G4" s="536"/>
      <c r="H4" s="505">
        <f>MON!K31</f>
        <v>253.32</v>
      </c>
      <c r="I4" s="505"/>
      <c r="J4" s="505"/>
      <c r="K4" s="505"/>
      <c r="L4" s="506">
        <f>MON!P32</f>
        <v>0.31931629103010134</v>
      </c>
      <c r="M4" s="506"/>
      <c r="N4" s="506"/>
      <c r="O4" s="506"/>
      <c r="P4" s="506"/>
      <c r="Q4" s="569"/>
      <c r="R4" s="570"/>
      <c r="S4" s="570"/>
      <c r="T4" s="570"/>
      <c r="U4" s="571"/>
      <c r="V4" s="634"/>
      <c r="W4" s="635"/>
      <c r="X4" s="635"/>
      <c r="Y4" s="635"/>
      <c r="Z4" s="636"/>
      <c r="AA4" s="643"/>
      <c r="AB4" s="644"/>
      <c r="AC4" s="644"/>
      <c r="AD4" s="645"/>
    </row>
    <row r="5" spans="1:30" ht="20.100000000000001" customHeight="1">
      <c r="A5" s="702"/>
      <c r="B5" s="510" t="s">
        <v>19</v>
      </c>
      <c r="C5" s="511"/>
      <c r="D5" s="512"/>
      <c r="E5" s="510">
        <f>MON!Q31</f>
        <v>3</v>
      </c>
      <c r="F5" s="511"/>
      <c r="G5" s="512"/>
      <c r="H5" s="558">
        <f>MON!J31</f>
        <v>240</v>
      </c>
      <c r="I5" s="559"/>
      <c r="J5" s="559"/>
      <c r="K5" s="560"/>
      <c r="L5" s="561">
        <f>MON!Q32</f>
        <v>0.30252609287551052</v>
      </c>
      <c r="M5" s="562"/>
      <c r="N5" s="562"/>
      <c r="O5" s="562"/>
      <c r="P5" s="563"/>
      <c r="Q5" s="572"/>
      <c r="R5" s="573"/>
      <c r="S5" s="573"/>
      <c r="T5" s="573"/>
      <c r="U5" s="574"/>
      <c r="V5" s="637"/>
      <c r="W5" s="638"/>
      <c r="X5" s="638"/>
      <c r="Y5" s="638"/>
      <c r="Z5" s="639"/>
      <c r="AA5" s="646"/>
      <c r="AB5" s="647"/>
      <c r="AC5" s="647"/>
      <c r="AD5" s="648"/>
    </row>
    <row r="6" spans="1:30" ht="20.100000000000001" customHeight="1">
      <c r="A6" s="703"/>
      <c r="B6" s="510" t="s">
        <v>437</v>
      </c>
      <c r="C6" s="511"/>
      <c r="D6" s="512"/>
      <c r="E6" s="510">
        <f>MON!U16</f>
        <v>16.75</v>
      </c>
      <c r="F6" s="511"/>
      <c r="G6" s="512"/>
      <c r="H6" s="558" t="s">
        <v>438</v>
      </c>
      <c r="I6" s="559"/>
      <c r="J6" s="559"/>
      <c r="K6" s="560"/>
      <c r="L6" s="614">
        <f>MON!T2</f>
        <v>2</v>
      </c>
      <c r="M6" s="615"/>
      <c r="N6" s="615"/>
      <c r="O6" s="615"/>
      <c r="P6" s="616"/>
      <c r="Q6" s="617"/>
      <c r="R6" s="618"/>
      <c r="S6" s="618"/>
      <c r="T6" s="618"/>
      <c r="U6" s="619"/>
      <c r="V6" s="722"/>
      <c r="W6" s="723"/>
      <c r="X6" s="723"/>
      <c r="Y6" s="723"/>
      <c r="Z6" s="724"/>
      <c r="AA6" s="725"/>
      <c r="AB6" s="726"/>
      <c r="AC6" s="726"/>
      <c r="AD6" s="727"/>
    </row>
    <row r="7" spans="1:30" ht="20.100000000000001" customHeight="1">
      <c r="A7" s="704" t="s">
        <v>439</v>
      </c>
      <c r="B7" s="528" t="s">
        <v>435</v>
      </c>
      <c r="C7" s="528"/>
      <c r="D7" s="529"/>
      <c r="E7" s="529">
        <f>TUE!N31</f>
        <v>1</v>
      </c>
      <c r="F7" s="529"/>
      <c r="G7" s="529"/>
      <c r="H7" s="507">
        <f>TUE!S31</f>
        <v>95</v>
      </c>
      <c r="I7" s="507"/>
      <c r="J7" s="507"/>
      <c r="K7" s="507"/>
      <c r="L7" s="520">
        <f>TUE!N32</f>
        <v>0.10930093423535368</v>
      </c>
      <c r="M7" s="521"/>
      <c r="N7" s="521"/>
      <c r="O7" s="521"/>
      <c r="P7" s="522"/>
      <c r="Q7" s="596">
        <f>SUM(E7:G10)</f>
        <v>8</v>
      </c>
      <c r="R7" s="597"/>
      <c r="S7" s="597"/>
      <c r="T7" s="597"/>
      <c r="U7" s="598"/>
      <c r="V7" s="622">
        <f>SUM(H7,H8,H10)</f>
        <v>1190</v>
      </c>
      <c r="W7" s="623"/>
      <c r="X7" s="623"/>
      <c r="Y7" s="623"/>
      <c r="Z7" s="624"/>
      <c r="AA7" s="649">
        <f>V7/Q7</f>
        <v>148.75</v>
      </c>
      <c r="AB7" s="650"/>
      <c r="AC7" s="650"/>
      <c r="AD7" s="651"/>
    </row>
    <row r="8" spans="1:30" ht="20.100000000000001" customHeight="1">
      <c r="A8" s="705"/>
      <c r="B8" s="528" t="s">
        <v>436</v>
      </c>
      <c r="C8" s="528"/>
      <c r="D8" s="529"/>
      <c r="E8" s="529">
        <f>TUE!O31</f>
        <v>5</v>
      </c>
      <c r="F8" s="529"/>
      <c r="G8" s="529"/>
      <c r="H8" s="507">
        <f>TUE!S32</f>
        <v>1095</v>
      </c>
      <c r="I8" s="507"/>
      <c r="J8" s="507"/>
      <c r="K8" s="507"/>
      <c r="L8" s="520">
        <f>TUE!O32</f>
        <v>0.71333241290441352</v>
      </c>
      <c r="M8" s="521"/>
      <c r="N8" s="521"/>
      <c r="O8" s="521"/>
      <c r="P8" s="522"/>
      <c r="Q8" s="599"/>
      <c r="R8" s="600"/>
      <c r="S8" s="600"/>
      <c r="T8" s="600"/>
      <c r="U8" s="601"/>
      <c r="V8" s="625"/>
      <c r="W8" s="626"/>
      <c r="X8" s="626"/>
      <c r="Y8" s="626"/>
      <c r="Z8" s="627"/>
      <c r="AA8" s="652"/>
      <c r="AB8" s="653"/>
      <c r="AC8" s="653"/>
      <c r="AD8" s="654"/>
    </row>
    <row r="9" spans="1:30" ht="20.100000000000001" customHeight="1">
      <c r="A9" s="705"/>
      <c r="B9" s="528" t="s">
        <v>20</v>
      </c>
      <c r="C9" s="528"/>
      <c r="D9" s="529"/>
      <c r="E9" s="529">
        <f>TUE!P31</f>
        <v>2</v>
      </c>
      <c r="F9" s="529"/>
      <c r="G9" s="529"/>
      <c r="H9" s="507">
        <f>TUE!K31</f>
        <v>154.16</v>
      </c>
      <c r="I9" s="507"/>
      <c r="J9" s="507"/>
      <c r="K9" s="507"/>
      <c r="L9" s="520">
        <f>TUE!P32</f>
        <v>0.17736665286023287</v>
      </c>
      <c r="M9" s="521"/>
      <c r="N9" s="521"/>
      <c r="O9" s="521"/>
      <c r="P9" s="522"/>
      <c r="Q9" s="599"/>
      <c r="R9" s="600"/>
      <c r="S9" s="600"/>
      <c r="T9" s="600"/>
      <c r="U9" s="601"/>
      <c r="V9" s="625"/>
      <c r="W9" s="626"/>
      <c r="X9" s="626"/>
      <c r="Y9" s="626"/>
      <c r="Z9" s="627"/>
      <c r="AA9" s="652"/>
      <c r="AB9" s="653"/>
      <c r="AC9" s="653"/>
      <c r="AD9" s="654"/>
    </row>
    <row r="10" spans="1:30" ht="20.100000000000001" customHeight="1">
      <c r="A10" s="705"/>
      <c r="B10" s="564" t="s">
        <v>19</v>
      </c>
      <c r="C10" s="565"/>
      <c r="D10" s="528"/>
      <c r="E10" s="564">
        <f>TUE!Q31</f>
        <v>0</v>
      </c>
      <c r="F10" s="565"/>
      <c r="G10" s="528"/>
      <c r="H10" s="537">
        <f>TUE!J31</f>
        <v>0</v>
      </c>
      <c r="I10" s="538"/>
      <c r="J10" s="538"/>
      <c r="K10" s="539"/>
      <c r="L10" s="520">
        <f>TUE!Q32</f>
        <v>0</v>
      </c>
      <c r="M10" s="521"/>
      <c r="N10" s="521"/>
      <c r="O10" s="521"/>
      <c r="P10" s="522"/>
      <c r="Q10" s="602"/>
      <c r="R10" s="603"/>
      <c r="S10" s="603"/>
      <c r="T10" s="603"/>
      <c r="U10" s="604"/>
      <c r="V10" s="628"/>
      <c r="W10" s="629"/>
      <c r="X10" s="629"/>
      <c r="Y10" s="629"/>
      <c r="Z10" s="630"/>
      <c r="AA10" s="655"/>
      <c r="AB10" s="656"/>
      <c r="AC10" s="656"/>
      <c r="AD10" s="657"/>
    </row>
    <row r="11" spans="1:30" ht="20.100000000000001" customHeight="1">
      <c r="A11" s="706"/>
      <c r="B11" s="564" t="s">
        <v>437</v>
      </c>
      <c r="C11" s="565"/>
      <c r="D11" s="528"/>
      <c r="E11" s="564">
        <f>TUE!U16</f>
        <v>15.5</v>
      </c>
      <c r="F11" s="565"/>
      <c r="G11" s="528"/>
      <c r="H11" s="537" t="s">
        <v>438</v>
      </c>
      <c r="I11" s="538"/>
      <c r="J11" s="538"/>
      <c r="K11" s="539"/>
      <c r="L11" s="728">
        <f>TUE!T2</f>
        <v>2</v>
      </c>
      <c r="M11" s="729"/>
      <c r="N11" s="729"/>
      <c r="O11" s="729"/>
      <c r="P11" s="730"/>
      <c r="Q11" s="731"/>
      <c r="R11" s="732"/>
      <c r="S11" s="732"/>
      <c r="T11" s="732"/>
      <c r="U11" s="733"/>
      <c r="V11" s="734"/>
      <c r="W11" s="735"/>
      <c r="X11" s="735"/>
      <c r="Y11" s="735"/>
      <c r="Z11" s="736"/>
      <c r="AA11" s="737"/>
      <c r="AB11" s="738"/>
      <c r="AC11" s="738"/>
      <c r="AD11" s="739"/>
    </row>
    <row r="12" spans="1:30" ht="20.100000000000001" customHeight="1">
      <c r="A12" s="707" t="s">
        <v>440</v>
      </c>
      <c r="B12" s="513" t="s">
        <v>435</v>
      </c>
      <c r="C12" s="513"/>
      <c r="D12" s="331"/>
      <c r="E12" s="331">
        <f>WED!N31</f>
        <v>1</v>
      </c>
      <c r="F12" s="331"/>
      <c r="G12" s="331"/>
      <c r="H12" s="514">
        <f>WED!S31</f>
        <v>95</v>
      </c>
      <c r="I12" s="515"/>
      <c r="J12" s="515"/>
      <c r="K12" s="516"/>
      <c r="L12" s="517">
        <f>WED!N32</f>
        <v>5.9623929907363246E-2</v>
      </c>
      <c r="M12" s="518"/>
      <c r="N12" s="518"/>
      <c r="O12" s="518"/>
      <c r="P12" s="519"/>
      <c r="Q12" s="575">
        <f>SUM(E12:G15)</f>
        <v>12</v>
      </c>
      <c r="R12" s="576"/>
      <c r="S12" s="576"/>
      <c r="T12" s="576"/>
      <c r="U12" s="577"/>
      <c r="V12" s="749">
        <f>SUM(H12,H13,H15)</f>
        <v>1440</v>
      </c>
      <c r="W12" s="750"/>
      <c r="X12" s="750"/>
      <c r="Y12" s="750"/>
      <c r="Z12" s="751"/>
      <c r="AA12" s="740">
        <f>V12/Q12</f>
        <v>120</v>
      </c>
      <c r="AB12" s="741"/>
      <c r="AC12" s="741"/>
      <c r="AD12" s="742"/>
    </row>
    <row r="13" spans="1:30" ht="20.100000000000001" customHeight="1">
      <c r="A13" s="708"/>
      <c r="B13" s="513" t="s">
        <v>436</v>
      </c>
      <c r="C13" s="513"/>
      <c r="D13" s="331"/>
      <c r="E13" s="331">
        <f>WED!O31</f>
        <v>5</v>
      </c>
      <c r="F13" s="331"/>
      <c r="G13" s="331"/>
      <c r="H13" s="514">
        <f>WED!S32</f>
        <v>1225</v>
      </c>
      <c r="I13" s="515"/>
      <c r="J13" s="515"/>
      <c r="K13" s="516"/>
      <c r="L13" s="517">
        <f>WED!O32</f>
        <v>0.45502472824040369</v>
      </c>
      <c r="M13" s="518"/>
      <c r="N13" s="518"/>
      <c r="O13" s="518"/>
      <c r="P13" s="519"/>
      <c r="Q13" s="578"/>
      <c r="R13" s="579"/>
      <c r="S13" s="579"/>
      <c r="T13" s="579"/>
      <c r="U13" s="580"/>
      <c r="V13" s="752"/>
      <c r="W13" s="753"/>
      <c r="X13" s="753"/>
      <c r="Y13" s="753"/>
      <c r="Z13" s="754"/>
      <c r="AA13" s="743"/>
      <c r="AB13" s="744"/>
      <c r="AC13" s="744"/>
      <c r="AD13" s="745"/>
    </row>
    <row r="14" spans="1:30" ht="20.100000000000001" customHeight="1">
      <c r="A14" s="708"/>
      <c r="B14" s="513" t="s">
        <v>20</v>
      </c>
      <c r="C14" s="513"/>
      <c r="D14" s="331"/>
      <c r="E14" s="331">
        <f>WED!P31</f>
        <v>4</v>
      </c>
      <c r="F14" s="331"/>
      <c r="G14" s="331"/>
      <c r="H14" s="514">
        <f>WED!K31</f>
        <v>653.31999999999994</v>
      </c>
      <c r="I14" s="515"/>
      <c r="J14" s="515"/>
      <c r="K14" s="516"/>
      <c r="L14" s="517">
        <f>WED!P32</f>
        <v>0.41003690407451104</v>
      </c>
      <c r="M14" s="518"/>
      <c r="N14" s="518"/>
      <c r="O14" s="518"/>
      <c r="P14" s="519"/>
      <c r="Q14" s="578"/>
      <c r="R14" s="579"/>
      <c r="S14" s="579"/>
      <c r="T14" s="579"/>
      <c r="U14" s="580"/>
      <c r="V14" s="752"/>
      <c r="W14" s="753"/>
      <c r="X14" s="753"/>
      <c r="Y14" s="753"/>
      <c r="Z14" s="754"/>
      <c r="AA14" s="743"/>
      <c r="AB14" s="744"/>
      <c r="AC14" s="744"/>
      <c r="AD14" s="745"/>
    </row>
    <row r="15" spans="1:30" ht="20.100000000000001" customHeight="1">
      <c r="A15" s="708"/>
      <c r="B15" s="530" t="s">
        <v>19</v>
      </c>
      <c r="C15" s="531"/>
      <c r="D15" s="513"/>
      <c r="E15" s="530">
        <f>WED!Q31</f>
        <v>2</v>
      </c>
      <c r="F15" s="531"/>
      <c r="G15" s="513"/>
      <c r="H15" s="514">
        <f>WED!J31</f>
        <v>120</v>
      </c>
      <c r="I15" s="515"/>
      <c r="J15" s="515"/>
      <c r="K15" s="516"/>
      <c r="L15" s="517">
        <f>WED!Q32</f>
        <v>7.5314437777721996E-2</v>
      </c>
      <c r="M15" s="518"/>
      <c r="N15" s="518"/>
      <c r="O15" s="518"/>
      <c r="P15" s="519"/>
      <c r="Q15" s="581"/>
      <c r="R15" s="582"/>
      <c r="S15" s="582"/>
      <c r="T15" s="582"/>
      <c r="U15" s="583"/>
      <c r="V15" s="755"/>
      <c r="W15" s="756"/>
      <c r="X15" s="756"/>
      <c r="Y15" s="756"/>
      <c r="Z15" s="757"/>
      <c r="AA15" s="746"/>
      <c r="AB15" s="747"/>
      <c r="AC15" s="747"/>
      <c r="AD15" s="748"/>
    </row>
    <row r="16" spans="1:30" ht="20.100000000000001" customHeight="1">
      <c r="A16" s="709"/>
      <c r="B16" s="530" t="s">
        <v>437</v>
      </c>
      <c r="C16" s="531"/>
      <c r="D16" s="513"/>
      <c r="E16" s="530">
        <f>WED!U16</f>
        <v>31</v>
      </c>
      <c r="F16" s="531"/>
      <c r="G16" s="513"/>
      <c r="H16" s="514" t="s">
        <v>438</v>
      </c>
      <c r="I16" s="515"/>
      <c r="J16" s="515"/>
      <c r="K16" s="516"/>
      <c r="L16" s="533">
        <f>WED!T2</f>
        <v>3</v>
      </c>
      <c r="M16" s="534"/>
      <c r="N16" s="534"/>
      <c r="O16" s="534"/>
      <c r="P16" s="535"/>
      <c r="Q16" s="192"/>
      <c r="R16" s="193"/>
      <c r="S16" s="193"/>
      <c r="T16" s="193"/>
      <c r="U16" s="194"/>
      <c r="V16" s="183"/>
      <c r="W16" s="184"/>
      <c r="X16" s="184"/>
      <c r="Y16" s="184"/>
      <c r="Z16" s="185"/>
      <c r="AA16" s="180"/>
      <c r="AB16" s="181"/>
      <c r="AC16" s="181"/>
      <c r="AD16" s="182"/>
    </row>
    <row r="17" spans="1:30" ht="20.100000000000001" customHeight="1">
      <c r="A17" s="710" t="s">
        <v>441</v>
      </c>
      <c r="B17" s="477" t="s">
        <v>435</v>
      </c>
      <c r="C17" s="477"/>
      <c r="D17" s="524"/>
      <c r="E17" s="524">
        <f>THU!N31</f>
        <v>3</v>
      </c>
      <c r="F17" s="524"/>
      <c r="G17" s="524"/>
      <c r="H17" s="532">
        <f>THU!S31</f>
        <v>270</v>
      </c>
      <c r="I17" s="532"/>
      <c r="J17" s="532"/>
      <c r="K17" s="532"/>
      <c r="L17" s="523">
        <f>THU!N32</f>
        <v>0.13717281742806048</v>
      </c>
      <c r="M17" s="523"/>
      <c r="N17" s="523"/>
      <c r="O17" s="523"/>
      <c r="P17" s="523"/>
      <c r="Q17" s="605">
        <f>SUM(E17:G20)</f>
        <v>18</v>
      </c>
      <c r="R17" s="606"/>
      <c r="S17" s="606"/>
      <c r="T17" s="606"/>
      <c r="U17" s="607"/>
      <c r="V17" s="549">
        <f>SUM(H17,H18,H20)</f>
        <v>2060</v>
      </c>
      <c r="W17" s="550"/>
      <c r="X17" s="550"/>
      <c r="Y17" s="550"/>
      <c r="Z17" s="551"/>
      <c r="AA17" s="540">
        <f>V17/Q17</f>
        <v>114.44444444444444</v>
      </c>
      <c r="AB17" s="541"/>
      <c r="AC17" s="541"/>
      <c r="AD17" s="542"/>
    </row>
    <row r="18" spans="1:30" ht="20.100000000000001" customHeight="1">
      <c r="A18" s="711"/>
      <c r="B18" s="477" t="s">
        <v>436</v>
      </c>
      <c r="C18" s="477"/>
      <c r="D18" s="524"/>
      <c r="E18" s="524">
        <f>THU!O31</f>
        <v>9</v>
      </c>
      <c r="F18" s="524"/>
      <c r="G18" s="524"/>
      <c r="H18" s="532">
        <f>THU!S32</f>
        <v>1670</v>
      </c>
      <c r="I18" s="532"/>
      <c r="J18" s="532"/>
      <c r="K18" s="532"/>
      <c r="L18" s="523">
        <f>THU!O32</f>
        <v>0.60711672898715663</v>
      </c>
      <c r="M18" s="523"/>
      <c r="N18" s="523"/>
      <c r="O18" s="523"/>
      <c r="P18" s="523"/>
      <c r="Q18" s="608"/>
      <c r="R18" s="609"/>
      <c r="S18" s="609"/>
      <c r="T18" s="609"/>
      <c r="U18" s="610"/>
      <c r="V18" s="552"/>
      <c r="W18" s="553"/>
      <c r="X18" s="553"/>
      <c r="Y18" s="553"/>
      <c r="Z18" s="554"/>
      <c r="AA18" s="543"/>
      <c r="AB18" s="544"/>
      <c r="AC18" s="544"/>
      <c r="AD18" s="545"/>
    </row>
    <row r="19" spans="1:30" ht="20.100000000000001" customHeight="1">
      <c r="A19" s="711"/>
      <c r="B19" s="477" t="s">
        <v>20</v>
      </c>
      <c r="C19" s="477"/>
      <c r="D19" s="524"/>
      <c r="E19" s="524">
        <f>THU!P31</f>
        <v>4</v>
      </c>
      <c r="F19" s="524"/>
      <c r="G19" s="524"/>
      <c r="H19" s="532">
        <f>THU!K31</f>
        <v>383.32</v>
      </c>
      <c r="I19" s="532"/>
      <c r="J19" s="532"/>
      <c r="K19" s="532"/>
      <c r="L19" s="523">
        <f>THU!P32</f>
        <v>0.19474475695008941</v>
      </c>
      <c r="M19" s="523"/>
      <c r="N19" s="523"/>
      <c r="O19" s="523"/>
      <c r="P19" s="523"/>
      <c r="Q19" s="608"/>
      <c r="R19" s="609"/>
      <c r="S19" s="609"/>
      <c r="T19" s="609"/>
      <c r="U19" s="610"/>
      <c r="V19" s="552"/>
      <c r="W19" s="553"/>
      <c r="X19" s="553"/>
      <c r="Y19" s="553"/>
      <c r="Z19" s="554"/>
      <c r="AA19" s="543"/>
      <c r="AB19" s="544"/>
      <c r="AC19" s="544"/>
      <c r="AD19" s="545"/>
    </row>
    <row r="20" spans="1:30" ht="20.100000000000001" customHeight="1">
      <c r="A20" s="711"/>
      <c r="B20" s="475" t="s">
        <v>19</v>
      </c>
      <c r="C20" s="476"/>
      <c r="D20" s="477"/>
      <c r="E20" s="475">
        <f>THU!Q31</f>
        <v>2</v>
      </c>
      <c r="F20" s="476"/>
      <c r="G20" s="477"/>
      <c r="H20" s="469">
        <f>THU!J31</f>
        <v>120</v>
      </c>
      <c r="I20" s="470"/>
      <c r="J20" s="470"/>
      <c r="K20" s="471"/>
      <c r="L20" s="525">
        <f>THU!Q32</f>
        <v>6.0965696634693547E-2</v>
      </c>
      <c r="M20" s="526"/>
      <c r="N20" s="526"/>
      <c r="O20" s="526"/>
      <c r="P20" s="527"/>
      <c r="Q20" s="611"/>
      <c r="R20" s="612"/>
      <c r="S20" s="612"/>
      <c r="T20" s="612"/>
      <c r="U20" s="613"/>
      <c r="V20" s="555"/>
      <c r="W20" s="556"/>
      <c r="X20" s="556"/>
      <c r="Y20" s="556"/>
      <c r="Z20" s="557"/>
      <c r="AA20" s="546"/>
      <c r="AB20" s="547"/>
      <c r="AC20" s="547"/>
      <c r="AD20" s="548"/>
    </row>
    <row r="21" spans="1:30" ht="20.100000000000001" customHeight="1">
      <c r="A21" s="712"/>
      <c r="B21" s="475" t="s">
        <v>437</v>
      </c>
      <c r="C21" s="476"/>
      <c r="D21" s="477"/>
      <c r="E21" s="475">
        <f>THU!U16</f>
        <v>32</v>
      </c>
      <c r="F21" s="476"/>
      <c r="G21" s="477"/>
      <c r="H21" s="469" t="s">
        <v>438</v>
      </c>
      <c r="I21" s="470"/>
      <c r="J21" s="470"/>
      <c r="K21" s="471"/>
      <c r="L21" s="434">
        <f>THU!T2</f>
        <v>4</v>
      </c>
      <c r="M21" s="435"/>
      <c r="N21" s="435"/>
      <c r="O21" s="435"/>
      <c r="P21" s="436"/>
      <c r="Q21" s="198"/>
      <c r="R21" s="199"/>
      <c r="S21" s="199"/>
      <c r="T21" s="199"/>
      <c r="U21" s="200"/>
      <c r="V21" s="189"/>
      <c r="W21" s="190"/>
      <c r="X21" s="190"/>
      <c r="Y21" s="190"/>
      <c r="Z21" s="191"/>
      <c r="AA21" s="186"/>
      <c r="AB21" s="187"/>
      <c r="AC21" s="187"/>
      <c r="AD21" s="188"/>
    </row>
    <row r="22" spans="1:30" ht="20.100000000000001" customHeight="1">
      <c r="A22" s="713" t="s">
        <v>442</v>
      </c>
      <c r="B22" s="432" t="s">
        <v>435</v>
      </c>
      <c r="C22" s="432"/>
      <c r="D22" s="433"/>
      <c r="E22" s="433">
        <f>FRI!N31</f>
        <v>1</v>
      </c>
      <c r="F22" s="433"/>
      <c r="G22" s="433"/>
      <c r="H22" s="508">
        <f>FRI!S31</f>
        <v>100</v>
      </c>
      <c r="I22" s="508"/>
      <c r="J22" s="508"/>
      <c r="K22" s="508"/>
      <c r="L22" s="509">
        <f>FRI!N32</f>
        <v>5.0912867718187101E-2</v>
      </c>
      <c r="M22" s="509"/>
      <c r="N22" s="509"/>
      <c r="O22" s="509"/>
      <c r="P22" s="509"/>
      <c r="Q22" s="487">
        <f>SUM(E22:G25)</f>
        <v>20</v>
      </c>
      <c r="R22" s="488"/>
      <c r="S22" s="488"/>
      <c r="T22" s="488"/>
      <c r="U22" s="489"/>
      <c r="V22" s="496">
        <f>SUM(H22,H23,H25)</f>
        <v>2085</v>
      </c>
      <c r="W22" s="497"/>
      <c r="X22" s="497"/>
      <c r="Y22" s="497"/>
      <c r="Z22" s="498"/>
      <c r="AA22" s="440">
        <f>V22/Q22</f>
        <v>104.25</v>
      </c>
      <c r="AB22" s="441"/>
      <c r="AC22" s="441"/>
      <c r="AD22" s="442"/>
    </row>
    <row r="23" spans="1:30" ht="20.100000000000001" customHeight="1">
      <c r="A23" s="714"/>
      <c r="B23" s="432" t="s">
        <v>436</v>
      </c>
      <c r="C23" s="432"/>
      <c r="D23" s="433"/>
      <c r="E23" s="433">
        <f>FRI!O31</f>
        <v>11</v>
      </c>
      <c r="F23" s="433"/>
      <c r="G23" s="433"/>
      <c r="H23" s="508">
        <f>FRI!S32</f>
        <v>1865</v>
      </c>
      <c r="I23" s="508"/>
      <c r="J23" s="508"/>
      <c r="K23" s="508"/>
      <c r="L23" s="509">
        <f>FRI!O32</f>
        <v>0.5931349089168797</v>
      </c>
      <c r="M23" s="509"/>
      <c r="N23" s="509"/>
      <c r="O23" s="509"/>
      <c r="P23" s="509"/>
      <c r="Q23" s="490"/>
      <c r="R23" s="491"/>
      <c r="S23" s="491"/>
      <c r="T23" s="491"/>
      <c r="U23" s="492"/>
      <c r="V23" s="499"/>
      <c r="W23" s="500"/>
      <c r="X23" s="500"/>
      <c r="Y23" s="500"/>
      <c r="Z23" s="501"/>
      <c r="AA23" s="443"/>
      <c r="AB23" s="444"/>
      <c r="AC23" s="444"/>
      <c r="AD23" s="445"/>
    </row>
    <row r="24" spans="1:30" ht="20.100000000000001" customHeight="1">
      <c r="A24" s="714"/>
      <c r="B24" s="432" t="s">
        <v>20</v>
      </c>
      <c r="C24" s="432"/>
      <c r="D24" s="433"/>
      <c r="E24" s="433">
        <f>FRI!P31</f>
        <v>7</v>
      </c>
      <c r="F24" s="433"/>
      <c r="G24" s="433"/>
      <c r="H24" s="508">
        <f>FRI!K31</f>
        <v>579.14</v>
      </c>
      <c r="I24" s="508"/>
      <c r="J24" s="508"/>
      <c r="K24" s="508"/>
      <c r="L24" s="509">
        <f>FRI!P32</f>
        <v>0.29485678210310873</v>
      </c>
      <c r="M24" s="509"/>
      <c r="N24" s="509"/>
      <c r="O24" s="509"/>
      <c r="P24" s="509"/>
      <c r="Q24" s="490"/>
      <c r="R24" s="491"/>
      <c r="S24" s="491"/>
      <c r="T24" s="491"/>
      <c r="U24" s="492"/>
      <c r="V24" s="499"/>
      <c r="W24" s="500"/>
      <c r="X24" s="500"/>
      <c r="Y24" s="500"/>
      <c r="Z24" s="501"/>
      <c r="AA24" s="443"/>
      <c r="AB24" s="444"/>
      <c r="AC24" s="444"/>
      <c r="AD24" s="445"/>
    </row>
    <row r="25" spans="1:30" ht="20.100000000000001" customHeight="1">
      <c r="A25" s="714"/>
      <c r="B25" s="478" t="s">
        <v>19</v>
      </c>
      <c r="C25" s="479"/>
      <c r="D25" s="432"/>
      <c r="E25" s="478">
        <f>FRI!Q31</f>
        <v>1</v>
      </c>
      <c r="F25" s="479"/>
      <c r="G25" s="432"/>
      <c r="H25" s="472">
        <f>FRI!J31</f>
        <v>120</v>
      </c>
      <c r="I25" s="473"/>
      <c r="J25" s="473"/>
      <c r="K25" s="474"/>
      <c r="L25" s="484">
        <f>FRI!Q32</f>
        <v>6.1095441261824521E-2</v>
      </c>
      <c r="M25" s="485"/>
      <c r="N25" s="485"/>
      <c r="O25" s="485"/>
      <c r="P25" s="486"/>
      <c r="Q25" s="493"/>
      <c r="R25" s="494"/>
      <c r="S25" s="494"/>
      <c r="T25" s="494"/>
      <c r="U25" s="495"/>
      <c r="V25" s="502"/>
      <c r="W25" s="503"/>
      <c r="X25" s="503"/>
      <c r="Y25" s="503"/>
      <c r="Z25" s="504"/>
      <c r="AA25" s="446"/>
      <c r="AB25" s="447"/>
      <c r="AC25" s="447"/>
      <c r="AD25" s="448"/>
    </row>
    <row r="26" spans="1:30" ht="20.100000000000001" customHeight="1">
      <c r="A26" s="715"/>
      <c r="B26" s="478" t="s">
        <v>437</v>
      </c>
      <c r="C26" s="479"/>
      <c r="D26" s="432"/>
      <c r="E26" s="478">
        <f>FRI!U16</f>
        <v>40</v>
      </c>
      <c r="F26" s="479"/>
      <c r="G26" s="432"/>
      <c r="H26" s="472" t="s">
        <v>438</v>
      </c>
      <c r="I26" s="473"/>
      <c r="J26" s="473"/>
      <c r="K26" s="474"/>
      <c r="L26" s="437">
        <f>FRI!T2</f>
        <v>5</v>
      </c>
      <c r="M26" s="438"/>
      <c r="N26" s="438"/>
      <c r="O26" s="438"/>
      <c r="P26" s="439"/>
      <c r="Q26" s="201"/>
      <c r="R26" s="202"/>
      <c r="S26" s="202"/>
      <c r="T26" s="202"/>
      <c r="U26" s="203"/>
      <c r="V26" s="204"/>
      <c r="W26" s="205"/>
      <c r="X26" s="205"/>
      <c r="Y26" s="205"/>
      <c r="Z26" s="206"/>
      <c r="AA26" s="207"/>
      <c r="AB26" s="208"/>
      <c r="AC26" s="208"/>
      <c r="AD26" s="209"/>
    </row>
    <row r="27" spans="1:30" ht="20.100000000000001" customHeight="1">
      <c r="A27" s="716" t="s">
        <v>443</v>
      </c>
      <c r="B27" s="482" t="s">
        <v>435</v>
      </c>
      <c r="C27" s="482"/>
      <c r="D27" s="467"/>
      <c r="E27" s="467">
        <f>SAT!N31</f>
        <v>1</v>
      </c>
      <c r="F27" s="467"/>
      <c r="G27" s="467"/>
      <c r="H27" s="468">
        <f>SAT!S31</f>
        <v>95</v>
      </c>
      <c r="I27" s="468"/>
      <c r="J27" s="468"/>
      <c r="K27" s="468"/>
      <c r="L27" s="483">
        <f>SAT!N32</f>
        <v>3.3378892593750771E-2</v>
      </c>
      <c r="M27" s="483"/>
      <c r="N27" s="483"/>
      <c r="O27" s="483"/>
      <c r="P27" s="483"/>
      <c r="Q27" s="584">
        <f>SUM(E27:G30)</f>
        <v>34</v>
      </c>
      <c r="R27" s="585"/>
      <c r="S27" s="585"/>
      <c r="T27" s="585"/>
      <c r="U27" s="586"/>
      <c r="V27" s="458">
        <f>SUM(H27,H28,H30)</f>
        <v>2055</v>
      </c>
      <c r="W27" s="459"/>
      <c r="X27" s="459"/>
      <c r="Y27" s="459"/>
      <c r="Z27" s="460"/>
      <c r="AA27" s="449">
        <f>V27/Q27</f>
        <v>60.441176470588232</v>
      </c>
      <c r="AB27" s="450"/>
      <c r="AC27" s="450"/>
      <c r="AD27" s="451"/>
    </row>
    <row r="28" spans="1:30" ht="20.100000000000001" customHeight="1">
      <c r="A28" s="717"/>
      <c r="B28" s="482" t="s">
        <v>436</v>
      </c>
      <c r="C28" s="482"/>
      <c r="D28" s="467"/>
      <c r="E28" s="467">
        <f>SAT!O31</f>
        <v>12</v>
      </c>
      <c r="F28" s="467"/>
      <c r="G28" s="467"/>
      <c r="H28" s="468">
        <f>SAT!S32</f>
        <v>1700</v>
      </c>
      <c r="I28" s="468"/>
      <c r="J28" s="468"/>
      <c r="K28" s="468"/>
      <c r="L28" s="483">
        <f>SAT!O32</f>
        <v>0.3864924405592195</v>
      </c>
      <c r="M28" s="483"/>
      <c r="N28" s="483"/>
      <c r="O28" s="483"/>
      <c r="P28" s="483"/>
      <c r="Q28" s="587"/>
      <c r="R28" s="588"/>
      <c r="S28" s="588"/>
      <c r="T28" s="588"/>
      <c r="U28" s="589"/>
      <c r="V28" s="461"/>
      <c r="W28" s="462"/>
      <c r="X28" s="462"/>
      <c r="Y28" s="462"/>
      <c r="Z28" s="463"/>
      <c r="AA28" s="452"/>
      <c r="AB28" s="453"/>
      <c r="AC28" s="453"/>
      <c r="AD28" s="454"/>
    </row>
    <row r="29" spans="1:30" ht="20.100000000000001" customHeight="1">
      <c r="A29" s="717"/>
      <c r="B29" s="482" t="s">
        <v>20</v>
      </c>
      <c r="C29" s="482"/>
      <c r="D29" s="467"/>
      <c r="E29" s="467">
        <f>SAT!P31</f>
        <v>17</v>
      </c>
      <c r="F29" s="467"/>
      <c r="G29" s="467"/>
      <c r="H29" s="468">
        <f>SAT!K31</f>
        <v>1391.11</v>
      </c>
      <c r="I29" s="468"/>
      <c r="J29" s="468"/>
      <c r="K29" s="468"/>
      <c r="L29" s="483">
        <f>SAT!P32</f>
        <v>0.48877590816939614</v>
      </c>
      <c r="M29" s="483"/>
      <c r="N29" s="483"/>
      <c r="O29" s="483"/>
      <c r="P29" s="483"/>
      <c r="Q29" s="587"/>
      <c r="R29" s="588"/>
      <c r="S29" s="588"/>
      <c r="T29" s="588"/>
      <c r="U29" s="589"/>
      <c r="V29" s="461"/>
      <c r="W29" s="462"/>
      <c r="X29" s="462"/>
      <c r="Y29" s="462"/>
      <c r="Z29" s="463"/>
      <c r="AA29" s="452"/>
      <c r="AB29" s="453"/>
      <c r="AC29" s="453"/>
      <c r="AD29" s="454"/>
    </row>
    <row r="30" spans="1:30" ht="20.100000000000001" customHeight="1">
      <c r="A30" s="717"/>
      <c r="B30" s="480" t="s">
        <v>19</v>
      </c>
      <c r="C30" s="481"/>
      <c r="D30" s="482"/>
      <c r="E30" s="480">
        <f>SAT!Q31</f>
        <v>4</v>
      </c>
      <c r="F30" s="481"/>
      <c r="G30" s="482"/>
      <c r="H30" s="761">
        <f>SAT!J31</f>
        <v>260</v>
      </c>
      <c r="I30" s="762"/>
      <c r="J30" s="762"/>
      <c r="K30" s="763"/>
      <c r="L30" s="593">
        <f>SAT!Q32</f>
        <v>9.1352758677633691E-2</v>
      </c>
      <c r="M30" s="594"/>
      <c r="N30" s="594"/>
      <c r="O30" s="594"/>
      <c r="P30" s="595"/>
      <c r="Q30" s="590"/>
      <c r="R30" s="591"/>
      <c r="S30" s="591"/>
      <c r="T30" s="591"/>
      <c r="U30" s="592"/>
      <c r="V30" s="464"/>
      <c r="W30" s="465"/>
      <c r="X30" s="465"/>
      <c r="Y30" s="465"/>
      <c r="Z30" s="466"/>
      <c r="AA30" s="455"/>
      <c r="AB30" s="456"/>
      <c r="AC30" s="456"/>
      <c r="AD30" s="457"/>
    </row>
    <row r="31" spans="1:30" ht="20.100000000000001" customHeight="1">
      <c r="A31" s="718"/>
      <c r="B31" s="480" t="s">
        <v>437</v>
      </c>
      <c r="C31" s="481"/>
      <c r="D31" s="482"/>
      <c r="E31" s="480">
        <f>SAT!U16</f>
        <v>42.75</v>
      </c>
      <c r="F31" s="481"/>
      <c r="G31" s="482"/>
      <c r="H31" s="761" t="s">
        <v>438</v>
      </c>
      <c r="I31" s="762"/>
      <c r="J31" s="762"/>
      <c r="K31" s="763"/>
      <c r="L31" s="758">
        <f>SAT!T2</f>
        <v>5</v>
      </c>
      <c r="M31" s="759"/>
      <c r="N31" s="759"/>
      <c r="O31" s="759"/>
      <c r="P31" s="760"/>
      <c r="Q31" s="195"/>
      <c r="R31" s="196"/>
      <c r="S31" s="196"/>
      <c r="T31" s="196"/>
      <c r="U31" s="197"/>
      <c r="V31" s="213"/>
      <c r="W31" s="214"/>
      <c r="X31" s="214"/>
      <c r="Y31" s="214"/>
      <c r="Z31" s="215"/>
      <c r="AA31" s="210"/>
      <c r="AB31" s="211"/>
      <c r="AC31" s="211"/>
      <c r="AD31" s="212"/>
    </row>
    <row r="32" spans="1:30" ht="20.100000000000001" customHeight="1">
      <c r="A32" s="719" t="s">
        <v>444</v>
      </c>
      <c r="B32" s="403" t="s">
        <v>435</v>
      </c>
      <c r="C32" s="404"/>
      <c r="D32" s="404"/>
      <c r="E32" s="404">
        <f>SUN!N31</f>
        <v>2</v>
      </c>
      <c r="F32" s="404"/>
      <c r="G32" s="404"/>
      <c r="H32" s="429">
        <f>SUN!S31</f>
        <v>195</v>
      </c>
      <c r="I32" s="429"/>
      <c r="J32" s="429"/>
      <c r="K32" s="429"/>
      <c r="L32" s="430">
        <f>SUN!N32</f>
        <v>6.2459361377052755E-2</v>
      </c>
      <c r="M32" s="430"/>
      <c r="N32" s="430"/>
      <c r="O32" s="430"/>
      <c r="P32" s="430"/>
      <c r="Q32" s="431">
        <f>SUM(E32:G35)</f>
        <v>28</v>
      </c>
      <c r="R32" s="431"/>
      <c r="S32" s="431"/>
      <c r="T32" s="431"/>
      <c r="U32" s="431"/>
      <c r="V32" s="402">
        <f>SUM(H32,H33,H35)</f>
        <v>2485</v>
      </c>
      <c r="W32" s="402"/>
      <c r="X32" s="402"/>
      <c r="Y32" s="402"/>
      <c r="Z32" s="402"/>
      <c r="AA32" s="421">
        <f>V32/Q32</f>
        <v>88.75</v>
      </c>
      <c r="AB32" s="422"/>
      <c r="AC32" s="422"/>
      <c r="AD32" s="422"/>
    </row>
    <row r="33" spans="1:30" ht="20.100000000000001" customHeight="1">
      <c r="A33" s="720"/>
      <c r="B33" s="403" t="s">
        <v>436</v>
      </c>
      <c r="C33" s="404"/>
      <c r="D33" s="404"/>
      <c r="E33" s="404">
        <f>SUN!O31</f>
        <v>16</v>
      </c>
      <c r="F33" s="404"/>
      <c r="G33" s="404"/>
      <c r="H33" s="429">
        <f>SUN!S32</f>
        <v>2170</v>
      </c>
      <c r="I33" s="429"/>
      <c r="J33" s="429"/>
      <c r="K33" s="429"/>
      <c r="L33" s="430">
        <f>SUN!O32</f>
        <v>0.66303014384871384</v>
      </c>
      <c r="M33" s="430"/>
      <c r="N33" s="430"/>
      <c r="O33" s="430"/>
      <c r="P33" s="430"/>
      <c r="Q33" s="431"/>
      <c r="R33" s="431"/>
      <c r="S33" s="431"/>
      <c r="T33" s="431"/>
      <c r="U33" s="431"/>
      <c r="V33" s="402"/>
      <c r="W33" s="402"/>
      <c r="X33" s="402"/>
      <c r="Y33" s="402"/>
      <c r="Z33" s="402"/>
      <c r="AA33" s="422"/>
      <c r="AB33" s="422"/>
      <c r="AC33" s="422"/>
      <c r="AD33" s="422"/>
    </row>
    <row r="34" spans="1:30" ht="20.100000000000001" customHeight="1">
      <c r="A34" s="720"/>
      <c r="B34" s="403" t="s">
        <v>20</v>
      </c>
      <c r="C34" s="404"/>
      <c r="D34" s="404"/>
      <c r="E34" s="404">
        <f>SUN!P31</f>
        <v>8</v>
      </c>
      <c r="F34" s="404"/>
      <c r="G34" s="404"/>
      <c r="H34" s="429">
        <f>SUN!K31</f>
        <v>737.03</v>
      </c>
      <c r="I34" s="429"/>
      <c r="J34" s="429"/>
      <c r="K34" s="429"/>
      <c r="L34" s="430">
        <f>SUN!P32</f>
        <v>0.23607396469604713</v>
      </c>
      <c r="M34" s="430"/>
      <c r="N34" s="430"/>
      <c r="O34" s="430"/>
      <c r="P34" s="430"/>
      <c r="Q34" s="431"/>
      <c r="R34" s="431"/>
      <c r="S34" s="431"/>
      <c r="T34" s="431"/>
      <c r="U34" s="431"/>
      <c r="V34" s="402"/>
      <c r="W34" s="402"/>
      <c r="X34" s="402"/>
      <c r="Y34" s="402"/>
      <c r="Z34" s="402"/>
      <c r="AA34" s="422"/>
      <c r="AB34" s="422"/>
      <c r="AC34" s="422"/>
      <c r="AD34" s="422"/>
    </row>
    <row r="35" spans="1:30" ht="20.100000000000001" customHeight="1">
      <c r="A35" s="720"/>
      <c r="B35" s="403" t="s">
        <v>19</v>
      </c>
      <c r="C35" s="404"/>
      <c r="D35" s="404"/>
      <c r="E35" s="404">
        <f>SUN!Q31</f>
        <v>2</v>
      </c>
      <c r="F35" s="404"/>
      <c r="G35" s="404"/>
      <c r="H35" s="429">
        <f>SUN!J31</f>
        <v>120</v>
      </c>
      <c r="I35" s="429"/>
      <c r="J35" s="429"/>
      <c r="K35" s="429"/>
      <c r="L35" s="430">
        <f>SUN!Q32</f>
        <v>3.8436530078186308E-2</v>
      </c>
      <c r="M35" s="430"/>
      <c r="N35" s="430"/>
      <c r="O35" s="430"/>
      <c r="P35" s="430"/>
      <c r="Q35" s="431"/>
      <c r="R35" s="431"/>
      <c r="S35" s="431"/>
      <c r="T35" s="431"/>
      <c r="U35" s="431"/>
      <c r="V35" s="402"/>
      <c r="W35" s="402"/>
      <c r="X35" s="402"/>
      <c r="Y35" s="402"/>
      <c r="Z35" s="402"/>
      <c r="AA35" s="422"/>
      <c r="AB35" s="422"/>
      <c r="AC35" s="422"/>
      <c r="AD35" s="422"/>
    </row>
    <row r="36" spans="1:30" ht="20.100000000000001" customHeight="1" thickBot="1">
      <c r="A36" s="721"/>
      <c r="B36" s="407" t="s">
        <v>437</v>
      </c>
      <c r="C36" s="408"/>
      <c r="D36" s="409"/>
      <c r="E36" s="407">
        <f>SUN!U16</f>
        <v>45.5</v>
      </c>
      <c r="F36" s="408"/>
      <c r="G36" s="409"/>
      <c r="H36" s="407" t="s">
        <v>438</v>
      </c>
      <c r="I36" s="408"/>
      <c r="J36" s="408"/>
      <c r="K36" s="409"/>
      <c r="L36" s="423">
        <f>SUN!T2</f>
        <v>6</v>
      </c>
      <c r="M36" s="424"/>
      <c r="N36" s="424"/>
      <c r="O36" s="424"/>
      <c r="P36" s="425"/>
      <c r="Q36" s="426"/>
      <c r="R36" s="427"/>
      <c r="S36" s="427"/>
      <c r="T36" s="427"/>
      <c r="U36" s="428"/>
      <c r="V36" s="410"/>
      <c r="W36" s="411"/>
      <c r="X36" s="411"/>
      <c r="Y36" s="411"/>
      <c r="Z36" s="412"/>
      <c r="AA36" s="413"/>
      <c r="AB36" s="414"/>
      <c r="AC36" s="414"/>
      <c r="AD36" s="415"/>
    </row>
    <row r="37" spans="1:30" ht="16.5" customHeight="1">
      <c r="A37" s="393" t="s">
        <v>445</v>
      </c>
      <c r="B37" s="394"/>
      <c r="C37" s="394"/>
      <c r="D37" s="394"/>
      <c r="E37" s="394" t="s">
        <v>94</v>
      </c>
      <c r="F37" s="394"/>
      <c r="G37" s="394"/>
      <c r="H37" s="394"/>
      <c r="I37" s="394"/>
      <c r="J37" s="394"/>
      <c r="K37" s="394" t="s">
        <v>433</v>
      </c>
      <c r="L37" s="394"/>
      <c r="M37" s="394"/>
      <c r="N37" s="394"/>
      <c r="O37" s="394" t="s">
        <v>19</v>
      </c>
      <c r="P37" s="394"/>
      <c r="Q37" s="394"/>
      <c r="R37" s="394"/>
      <c r="S37" s="394"/>
      <c r="T37" s="394" t="s">
        <v>20</v>
      </c>
      <c r="U37" s="394"/>
      <c r="V37" s="394"/>
      <c r="W37" s="394"/>
      <c r="X37" s="394"/>
      <c r="Y37" s="394" t="s">
        <v>446</v>
      </c>
      <c r="Z37" s="394"/>
      <c r="AA37" s="394"/>
      <c r="AB37" s="394"/>
      <c r="AC37" s="394"/>
      <c r="AD37" s="405"/>
    </row>
    <row r="38" spans="1:30" ht="16.5" customHeight="1">
      <c r="A38" s="395"/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406"/>
    </row>
    <row r="39" spans="1:30" ht="16.5" customHeight="1">
      <c r="A39" s="397">
        <f>SUM(Q2:U35)</f>
        <v>129</v>
      </c>
      <c r="B39" s="398"/>
      <c r="C39" s="398"/>
      <c r="D39" s="398"/>
      <c r="E39" s="401">
        <f>SUM(V2:Z35)</f>
        <v>11855</v>
      </c>
      <c r="F39" s="398"/>
      <c r="G39" s="398"/>
      <c r="H39" s="398"/>
      <c r="I39" s="398"/>
      <c r="J39" s="398"/>
      <c r="K39" s="401">
        <f>E39/A39</f>
        <v>91.899224806201545</v>
      </c>
      <c r="L39" s="398"/>
      <c r="M39" s="398"/>
      <c r="N39" s="398"/>
      <c r="O39" s="398">
        <f>SUM(MON:SUN!Q31)</f>
        <v>14</v>
      </c>
      <c r="P39" s="398"/>
      <c r="Q39" s="398"/>
      <c r="R39" s="398"/>
      <c r="S39" s="398"/>
      <c r="T39" s="398">
        <f>SUM(MON:SUN!P31)</f>
        <v>45</v>
      </c>
      <c r="U39" s="398"/>
      <c r="V39" s="398"/>
      <c r="W39" s="398"/>
      <c r="X39" s="398"/>
      <c r="Y39" s="398">
        <f>SUM(MON:SUN!S19)</f>
        <v>6</v>
      </c>
      <c r="Z39" s="398"/>
      <c r="AA39" s="398"/>
      <c r="AB39" s="398"/>
      <c r="AC39" s="398"/>
      <c r="AD39" s="418"/>
    </row>
    <row r="40" spans="1:30" ht="16.5" customHeight="1">
      <c r="A40" s="397"/>
      <c r="B40" s="398"/>
      <c r="C40" s="398"/>
      <c r="D40" s="398"/>
      <c r="E40" s="398"/>
      <c r="F40" s="398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398"/>
      <c r="U40" s="398"/>
      <c r="V40" s="398"/>
      <c r="W40" s="398"/>
      <c r="X40" s="398"/>
      <c r="Y40" s="398"/>
      <c r="Z40" s="398"/>
      <c r="AA40" s="398"/>
      <c r="AB40" s="398"/>
      <c r="AC40" s="398"/>
      <c r="AD40" s="418"/>
    </row>
    <row r="41" spans="1:30" ht="16.5" customHeight="1">
      <c r="A41" s="397"/>
      <c r="B41" s="398"/>
      <c r="C41" s="398"/>
      <c r="D41" s="398"/>
      <c r="E41" s="398"/>
      <c r="F41" s="398"/>
      <c r="G41" s="398"/>
      <c r="H41" s="398"/>
      <c r="I41" s="398"/>
      <c r="J41" s="398"/>
      <c r="K41" s="398"/>
      <c r="L41" s="398"/>
      <c r="M41" s="398"/>
      <c r="N41" s="398"/>
      <c r="O41" s="416">
        <f>SUM(MON:SUN!J31)</f>
        <v>980</v>
      </c>
      <c r="P41" s="416"/>
      <c r="Q41" s="416"/>
      <c r="R41" s="416"/>
      <c r="S41" s="416"/>
      <c r="T41" s="416">
        <f>SUM(MON:SUN!K31)</f>
        <v>4151.3999999999996</v>
      </c>
      <c r="U41" s="416"/>
      <c r="V41" s="416"/>
      <c r="W41" s="416"/>
      <c r="X41" s="416"/>
      <c r="Y41" s="416">
        <f>SUM(MON:SUN!T19)</f>
        <v>2850</v>
      </c>
      <c r="Z41" s="416"/>
      <c r="AA41" s="416"/>
      <c r="AB41" s="416"/>
      <c r="AC41" s="416"/>
      <c r="AD41" s="419"/>
    </row>
    <row r="42" spans="1:30" ht="16.5" customHeight="1" thickBot="1">
      <c r="A42" s="399"/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0"/>
      <c r="M42" s="400"/>
      <c r="N42" s="400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20"/>
    </row>
    <row r="43" spans="1:30" ht="17.45" customHeight="1">
      <c r="A43" s="676" t="s">
        <v>447</v>
      </c>
      <c r="B43" s="677"/>
      <c r="C43" s="677"/>
      <c r="D43" s="677"/>
      <c r="E43" s="678"/>
      <c r="F43" s="676" t="s">
        <v>448</v>
      </c>
      <c r="G43" s="677"/>
      <c r="H43" s="677"/>
      <c r="I43" s="677"/>
      <c r="J43" s="678"/>
      <c r="K43" s="676" t="s">
        <v>449</v>
      </c>
      <c r="L43" s="677"/>
      <c r="M43" s="677"/>
      <c r="N43" s="677"/>
      <c r="O43" s="678"/>
      <c r="P43" s="676" t="s">
        <v>450</v>
      </c>
      <c r="Q43" s="677"/>
      <c r="R43" s="677"/>
      <c r="S43" s="677"/>
      <c r="T43" s="678"/>
      <c r="U43" s="676" t="s">
        <v>451</v>
      </c>
      <c r="V43" s="677"/>
      <c r="W43" s="677"/>
      <c r="X43" s="677"/>
      <c r="Y43" s="678"/>
      <c r="Z43" s="682" t="s">
        <v>438</v>
      </c>
      <c r="AA43" s="683"/>
      <c r="AB43" s="683"/>
      <c r="AC43" s="683"/>
      <c r="AD43" s="684"/>
    </row>
    <row r="44" spans="1:30" ht="17.45" customHeight="1">
      <c r="A44" s="679"/>
      <c r="B44" s="680"/>
      <c r="C44" s="680"/>
      <c r="D44" s="680"/>
      <c r="E44" s="681"/>
      <c r="F44" s="679"/>
      <c r="G44" s="680"/>
      <c r="H44" s="680"/>
      <c r="I44" s="680"/>
      <c r="J44" s="681"/>
      <c r="K44" s="679"/>
      <c r="L44" s="680"/>
      <c r="M44" s="680"/>
      <c r="N44" s="680"/>
      <c r="O44" s="681"/>
      <c r="P44" s="679"/>
      <c r="Q44" s="680"/>
      <c r="R44" s="680"/>
      <c r="S44" s="680"/>
      <c r="T44" s="681"/>
      <c r="U44" s="679"/>
      <c r="V44" s="680"/>
      <c r="W44" s="680"/>
      <c r="X44" s="680"/>
      <c r="Y44" s="681"/>
      <c r="Z44" s="685"/>
      <c r="AA44" s="686"/>
      <c r="AB44" s="686"/>
      <c r="AC44" s="686"/>
      <c r="AD44" s="687"/>
    </row>
    <row r="45" spans="1:30">
      <c r="A45" s="688">
        <f>SUM(H2,H7,H12,H17,H22,H27,H32)</f>
        <v>1000</v>
      </c>
      <c r="B45" s="689"/>
      <c r="C45" s="689"/>
      <c r="D45" s="689"/>
      <c r="E45" s="690"/>
      <c r="F45" s="688">
        <f>SUM(,H3,H8,H13,H18,H23,H28,H33)</f>
        <v>9875</v>
      </c>
      <c r="G45" s="689"/>
      <c r="H45" s="689"/>
      <c r="I45" s="689"/>
      <c r="J45" s="690"/>
      <c r="K45" s="688">
        <f>SUM(H5,H10,H15,H20,H25,H30,H35)</f>
        <v>980</v>
      </c>
      <c r="L45" s="689"/>
      <c r="M45" s="689"/>
      <c r="N45" s="689"/>
      <c r="O45" s="690"/>
      <c r="P45" s="688">
        <f>SUM(H4,H9,H14,H19,H24,H29,H34)</f>
        <v>4151.3999999999996</v>
      </c>
      <c r="Q45" s="689"/>
      <c r="R45" s="689"/>
      <c r="S45" s="689"/>
      <c r="T45" s="690"/>
      <c r="U45" s="697">
        <f>SUM(E6,E11,E16,E21,E26,E31,E36)</f>
        <v>223.5</v>
      </c>
      <c r="V45" s="689"/>
      <c r="W45" s="689"/>
      <c r="X45" s="689"/>
      <c r="Y45" s="690"/>
      <c r="Z45" s="697">
        <f>SUM(L6,L11,L16,L21,L26,L31,L36)</f>
        <v>27</v>
      </c>
      <c r="AA45" s="689"/>
      <c r="AB45" s="689"/>
      <c r="AC45" s="689"/>
      <c r="AD45" s="698"/>
    </row>
    <row r="46" spans="1:30">
      <c r="A46" s="691"/>
      <c r="B46" s="692"/>
      <c r="C46" s="692"/>
      <c r="D46" s="692"/>
      <c r="E46" s="693"/>
      <c r="F46" s="691"/>
      <c r="G46" s="692"/>
      <c r="H46" s="692"/>
      <c r="I46" s="692"/>
      <c r="J46" s="693"/>
      <c r="K46" s="691"/>
      <c r="L46" s="692"/>
      <c r="M46" s="692"/>
      <c r="N46" s="692"/>
      <c r="O46" s="693"/>
      <c r="P46" s="691"/>
      <c r="Q46" s="692"/>
      <c r="R46" s="692"/>
      <c r="S46" s="692"/>
      <c r="T46" s="693"/>
      <c r="U46" s="691"/>
      <c r="V46" s="692"/>
      <c r="W46" s="692"/>
      <c r="X46" s="692"/>
      <c r="Y46" s="693"/>
      <c r="Z46" s="691"/>
      <c r="AA46" s="692"/>
      <c r="AB46" s="692"/>
      <c r="AC46" s="692"/>
      <c r="AD46" s="699"/>
    </row>
    <row r="47" spans="1:30">
      <c r="A47" s="691"/>
      <c r="B47" s="692"/>
      <c r="C47" s="692"/>
      <c r="D47" s="692"/>
      <c r="E47" s="693"/>
      <c r="F47" s="691"/>
      <c r="G47" s="692"/>
      <c r="H47" s="692"/>
      <c r="I47" s="692"/>
      <c r="J47" s="693"/>
      <c r="K47" s="691"/>
      <c r="L47" s="692"/>
      <c r="M47" s="692"/>
      <c r="N47" s="692"/>
      <c r="O47" s="693"/>
      <c r="P47" s="691"/>
      <c r="Q47" s="692"/>
      <c r="R47" s="692"/>
      <c r="S47" s="692"/>
      <c r="T47" s="693"/>
      <c r="U47" s="691"/>
      <c r="V47" s="692"/>
      <c r="W47" s="692"/>
      <c r="X47" s="692"/>
      <c r="Y47" s="693"/>
      <c r="Z47" s="691"/>
      <c r="AA47" s="692"/>
      <c r="AB47" s="692"/>
      <c r="AC47" s="692"/>
      <c r="AD47" s="699"/>
    </row>
    <row r="48" spans="1:30" ht="15.75" thickBot="1">
      <c r="A48" s="694"/>
      <c r="B48" s="695"/>
      <c r="C48" s="695"/>
      <c r="D48" s="695"/>
      <c r="E48" s="696"/>
      <c r="F48" s="694"/>
      <c r="G48" s="695"/>
      <c r="H48" s="695"/>
      <c r="I48" s="695"/>
      <c r="J48" s="696"/>
      <c r="K48" s="694"/>
      <c r="L48" s="695"/>
      <c r="M48" s="695"/>
      <c r="N48" s="695"/>
      <c r="O48" s="696"/>
      <c r="P48" s="694"/>
      <c r="Q48" s="695"/>
      <c r="R48" s="695"/>
      <c r="S48" s="695"/>
      <c r="T48" s="696"/>
      <c r="U48" s="694"/>
      <c r="V48" s="695"/>
      <c r="W48" s="695"/>
      <c r="X48" s="695"/>
      <c r="Y48" s="696"/>
      <c r="Z48" s="694"/>
      <c r="AA48" s="695"/>
      <c r="AB48" s="695"/>
      <c r="AC48" s="695"/>
      <c r="AD48" s="700"/>
    </row>
    <row r="49" spans="1:30" ht="17.45" customHeight="1">
      <c r="A49" s="658">
        <f>A45/E39</f>
        <v>8.4352593842260654E-2</v>
      </c>
      <c r="B49" s="659"/>
      <c r="C49" s="659"/>
      <c r="D49" s="659"/>
      <c r="E49" s="660"/>
      <c r="F49" s="658">
        <f>F45/E39</f>
        <v>0.8329818641923239</v>
      </c>
      <c r="G49" s="659"/>
      <c r="H49" s="659"/>
      <c r="I49" s="659"/>
      <c r="J49" s="660"/>
      <c r="K49" s="658">
        <f>K45/E39</f>
        <v>8.2665541965415437E-2</v>
      </c>
      <c r="L49" s="659"/>
      <c r="M49" s="659"/>
      <c r="N49" s="659"/>
      <c r="O49" s="660"/>
      <c r="P49" s="658">
        <f>P45/E39</f>
        <v>0.35018135807676082</v>
      </c>
      <c r="Q49" s="659"/>
      <c r="R49" s="659"/>
      <c r="S49" s="659"/>
      <c r="T49" s="660"/>
      <c r="U49" s="667">
        <f>U45/7</f>
        <v>31.928571428571427</v>
      </c>
      <c r="V49" s="668"/>
      <c r="W49" s="668"/>
      <c r="X49" s="668"/>
      <c r="Y49" s="669"/>
      <c r="Z49" s="667">
        <f>U45/Z45</f>
        <v>8.2777777777777786</v>
      </c>
      <c r="AA49" s="668"/>
      <c r="AB49" s="668"/>
      <c r="AC49" s="668"/>
      <c r="AD49" s="669"/>
    </row>
    <row r="50" spans="1:30" ht="17.45" customHeight="1">
      <c r="A50" s="661"/>
      <c r="B50" s="662"/>
      <c r="C50" s="662"/>
      <c r="D50" s="662"/>
      <c r="E50" s="663"/>
      <c r="F50" s="661"/>
      <c r="G50" s="662"/>
      <c r="H50" s="662"/>
      <c r="I50" s="662"/>
      <c r="J50" s="663"/>
      <c r="K50" s="661"/>
      <c r="L50" s="662"/>
      <c r="M50" s="662"/>
      <c r="N50" s="662"/>
      <c r="O50" s="663"/>
      <c r="P50" s="661"/>
      <c r="Q50" s="662"/>
      <c r="R50" s="662"/>
      <c r="S50" s="662"/>
      <c r="T50" s="663"/>
      <c r="U50" s="670"/>
      <c r="V50" s="671"/>
      <c r="W50" s="671"/>
      <c r="X50" s="671"/>
      <c r="Y50" s="672"/>
      <c r="Z50" s="670"/>
      <c r="AA50" s="671"/>
      <c r="AB50" s="671"/>
      <c r="AC50" s="671"/>
      <c r="AD50" s="672"/>
    </row>
    <row r="51" spans="1:30" ht="17.45" customHeight="1">
      <c r="A51" s="661"/>
      <c r="B51" s="662"/>
      <c r="C51" s="662"/>
      <c r="D51" s="662"/>
      <c r="E51" s="663"/>
      <c r="F51" s="661"/>
      <c r="G51" s="662"/>
      <c r="H51" s="662"/>
      <c r="I51" s="662"/>
      <c r="J51" s="663"/>
      <c r="K51" s="661"/>
      <c r="L51" s="662"/>
      <c r="M51" s="662"/>
      <c r="N51" s="662"/>
      <c r="O51" s="663"/>
      <c r="P51" s="661"/>
      <c r="Q51" s="662"/>
      <c r="R51" s="662"/>
      <c r="S51" s="662"/>
      <c r="T51" s="663"/>
      <c r="U51" s="670"/>
      <c r="V51" s="671"/>
      <c r="W51" s="671"/>
      <c r="X51" s="671"/>
      <c r="Y51" s="672"/>
      <c r="Z51" s="670"/>
      <c r="AA51" s="671"/>
      <c r="AB51" s="671"/>
      <c r="AC51" s="671"/>
      <c r="AD51" s="672"/>
    </row>
    <row r="52" spans="1:30" ht="18" customHeight="1" thickBot="1">
      <c r="A52" s="664"/>
      <c r="B52" s="665"/>
      <c r="C52" s="665"/>
      <c r="D52" s="665"/>
      <c r="E52" s="666"/>
      <c r="F52" s="664"/>
      <c r="G52" s="665"/>
      <c r="H52" s="665"/>
      <c r="I52" s="665"/>
      <c r="J52" s="666"/>
      <c r="K52" s="664"/>
      <c r="L52" s="665"/>
      <c r="M52" s="665"/>
      <c r="N52" s="665"/>
      <c r="O52" s="666"/>
      <c r="P52" s="664"/>
      <c r="Q52" s="665"/>
      <c r="R52" s="665"/>
      <c r="S52" s="665"/>
      <c r="T52" s="666"/>
      <c r="U52" s="673"/>
      <c r="V52" s="674"/>
      <c r="W52" s="674"/>
      <c r="X52" s="674"/>
      <c r="Y52" s="675"/>
      <c r="Z52" s="673"/>
      <c r="AA52" s="674"/>
      <c r="AB52" s="674"/>
      <c r="AC52" s="674"/>
      <c r="AD52" s="675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852AC6D5-6EDA-4A0B-94A8-BB62DB3B5B81}"/>
</file>

<file path=customXml/itemProps2.xml><?xml version="1.0" encoding="utf-8"?>
<ds:datastoreItem xmlns:ds="http://schemas.openxmlformats.org/officeDocument/2006/customXml" ds:itemID="{141F186E-BB2E-41C7-8974-EA65D08C70A0}"/>
</file>

<file path=customXml/itemProps3.xml><?xml version="1.0" encoding="utf-8"?>
<ds:datastoreItem xmlns:ds="http://schemas.openxmlformats.org/officeDocument/2006/customXml" ds:itemID="{F35F4A66-2D55-4C13-A641-D078D16D3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wonstop.hq</cp:lastModifiedBy>
  <cp:revision/>
  <dcterms:created xsi:type="dcterms:W3CDTF">2011-11-24T03:16:40Z</dcterms:created>
  <dcterms:modified xsi:type="dcterms:W3CDTF">2025-05-31T06:20:29Z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  <property fmtid="{D5CDD505-2E9C-101B-9397-08002B2CF9AE}" pid="3" name="MediaServiceImageTags">
    <vt:lpwstr/>
  </property>
</Properties>
</file>