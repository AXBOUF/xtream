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B2 DR\2023\"/>
    </mc:Choice>
  </mc:AlternateContent>
  <xr:revisionPtr revIDLastSave="0" documentId="13_ncr:1_{4127A09B-6608-4443-9769-608EB48E7C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V22" i="8" s="1"/>
  <c r="V32" i="8"/>
  <c r="V27" i="8"/>
  <c r="V17" i="8"/>
  <c r="V12" i="8"/>
  <c r="V7" i="8"/>
  <c r="V2" i="8"/>
  <c r="Q2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M31" i="2"/>
  <c r="L31" i="2"/>
  <c r="I31" i="2"/>
  <c r="S32" i="2" s="1"/>
  <c r="H33" i="8" s="1"/>
  <c r="H31" i="2"/>
  <c r="M30" i="2"/>
  <c r="L30" i="2"/>
  <c r="I30" i="2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U16" i="2" s="1"/>
  <c r="K5" i="2"/>
  <c r="K30" i="2" s="1"/>
  <c r="K31" i="2" s="1"/>
  <c r="J5" i="2"/>
  <c r="J30" i="2" s="1"/>
  <c r="J31" i="2" s="1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I31" i="1"/>
  <c r="S32" i="1" s="1"/>
  <c r="H28" i="8" s="1"/>
  <c r="H31" i="1"/>
  <c r="M30" i="1"/>
  <c r="L30" i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U16" i="1" s="1"/>
  <c r="K5" i="1"/>
  <c r="K30" i="1" s="1"/>
  <c r="K31" i="1" s="1"/>
  <c r="J5" i="1"/>
  <c r="J30" i="1" s="1"/>
  <c r="J31" i="1" s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T66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I31" i="3"/>
  <c r="S32" i="3" s="1"/>
  <c r="H31" i="3"/>
  <c r="M30" i="3"/>
  <c r="L30" i="3"/>
  <c r="I30" i="3"/>
  <c r="H30" i="3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U16" i="3" s="1"/>
  <c r="K5" i="3"/>
  <c r="K30" i="3" s="1"/>
  <c r="K31" i="3" s="1"/>
  <c r="J5" i="3"/>
  <c r="J30" i="3" s="1"/>
  <c r="J31" i="3" s="1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I31" i="4"/>
  <c r="S32" i="4" s="1"/>
  <c r="H18" i="8" s="1"/>
  <c r="H31" i="4"/>
  <c r="M30" i="4"/>
  <c r="L30" i="4"/>
  <c r="I30" i="4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U16" i="4" s="1"/>
  <c r="K5" i="4"/>
  <c r="K30" i="4" s="1"/>
  <c r="J5" i="4"/>
  <c r="J30" i="4" s="1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I31" i="5"/>
  <c r="S32" i="5" s="1"/>
  <c r="H31" i="5"/>
  <c r="M30" i="5"/>
  <c r="L30" i="5"/>
  <c r="I30" i="5"/>
  <c r="H30" i="5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U16" i="5" s="1"/>
  <c r="K5" i="5"/>
  <c r="K30" i="5" s="1"/>
  <c r="K31" i="5" s="1"/>
  <c r="J5" i="5"/>
  <c r="J30" i="5" s="1"/>
  <c r="J31" i="5" s="1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A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H32" i="6"/>
  <c r="Z31" i="6"/>
  <c r="Q31" i="6"/>
  <c r="P31" i="6"/>
  <c r="O31" i="6"/>
  <c r="N31" i="6"/>
  <c r="M31" i="6"/>
  <c r="L31" i="6"/>
  <c r="I31" i="6"/>
  <c r="S32" i="6" s="1"/>
  <c r="H8" i="8" s="1"/>
  <c r="H31" i="6"/>
  <c r="M30" i="6"/>
  <c r="L30" i="6"/>
  <c r="I30" i="6"/>
  <c r="H30" i="6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U16" i="6" s="1"/>
  <c r="K5" i="6"/>
  <c r="K30" i="6" s="1"/>
  <c r="J5" i="6"/>
  <c r="J30" i="6" s="1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AD25" i="2" l="1"/>
  <c r="AI25" i="2"/>
  <c r="S16" i="2"/>
  <c r="R16" i="2"/>
  <c r="Z33" i="2"/>
  <c r="O32" i="2"/>
  <c r="Z32" i="2"/>
  <c r="S31" i="2"/>
  <c r="C32" i="2"/>
  <c r="T31" i="2"/>
  <c r="P32" i="1"/>
  <c r="AD25" i="1"/>
  <c r="AI25" i="1"/>
  <c r="S16" i="1"/>
  <c r="R16" i="1"/>
  <c r="C32" i="1"/>
  <c r="O32" i="1"/>
  <c r="Z32" i="1"/>
  <c r="Z33" i="1" s="1"/>
  <c r="S31" i="1"/>
  <c r="T31" i="1"/>
  <c r="AD25" i="3"/>
  <c r="AI25" i="3"/>
  <c r="S16" i="3"/>
  <c r="R16" i="3"/>
  <c r="C32" i="3"/>
  <c r="O32" i="3"/>
  <c r="Z32" i="3"/>
  <c r="Z33" i="3" s="1"/>
  <c r="S31" i="3"/>
  <c r="T31" i="3"/>
  <c r="J31" i="4"/>
  <c r="K31" i="4"/>
  <c r="AD25" i="4"/>
  <c r="AI25" i="4"/>
  <c r="S16" i="4"/>
  <c r="R16" i="4"/>
  <c r="Z32" i="4"/>
  <c r="Z33" i="4" s="1"/>
  <c r="S31" i="4"/>
  <c r="C32" i="4"/>
  <c r="Y39" i="8"/>
  <c r="T31" i="4"/>
  <c r="AI25" i="5"/>
  <c r="AD25" i="5"/>
  <c r="Z33" i="5"/>
  <c r="S16" i="5"/>
  <c r="R16" i="5"/>
  <c r="C32" i="5"/>
  <c r="P32" i="5" s="1"/>
  <c r="S31" i="5"/>
  <c r="O32" i="5"/>
  <c r="Z32" i="5"/>
  <c r="T31" i="5"/>
  <c r="S16" i="6"/>
  <c r="R16" i="6"/>
  <c r="J31" i="6"/>
  <c r="K31" i="6"/>
  <c r="AD25" i="6"/>
  <c r="AI25" i="6"/>
  <c r="S31" i="6"/>
  <c r="H7" i="8" s="1"/>
  <c r="Z32" i="6"/>
  <c r="Z33" i="6" s="1"/>
  <c r="T31" i="6"/>
  <c r="H34" i="8"/>
  <c r="H35" i="8"/>
  <c r="H32" i="8"/>
  <c r="H27" i="8"/>
  <c r="H22" i="8"/>
  <c r="H13" i="8"/>
  <c r="H17" i="8"/>
  <c r="H12" i="8"/>
  <c r="L36" i="8"/>
  <c r="L31" i="8"/>
  <c r="L26" i="8"/>
  <c r="L21" i="8"/>
  <c r="L16" i="8"/>
  <c r="L11" i="8"/>
  <c r="L6" i="8"/>
  <c r="E36" i="8"/>
  <c r="E31" i="8"/>
  <c r="E26" i="8"/>
  <c r="E1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U25" i="2" l="1"/>
  <c r="K32" i="2"/>
  <c r="T16" i="2"/>
  <c r="Q32" i="2"/>
  <c r="N32" i="2"/>
  <c r="P32" i="2"/>
  <c r="U25" i="1"/>
  <c r="K32" i="1"/>
  <c r="T16" i="1"/>
  <c r="N32" i="1"/>
  <c r="Q32" i="1"/>
  <c r="U25" i="3"/>
  <c r="T16" i="3"/>
  <c r="K32" i="3"/>
  <c r="P32" i="3"/>
  <c r="Q32" i="3"/>
  <c r="N32" i="3"/>
  <c r="U25" i="4"/>
  <c r="K32" i="4"/>
  <c r="T16" i="4"/>
  <c r="P32" i="4"/>
  <c r="O32" i="4"/>
  <c r="N32" i="4"/>
  <c r="Q32" i="4"/>
  <c r="U25" i="5"/>
  <c r="K32" i="5"/>
  <c r="T16" i="5"/>
  <c r="N32" i="5"/>
  <c r="Q32" i="5"/>
  <c r="P32" i="6"/>
  <c r="C32" i="6"/>
  <c r="Q32" i="6"/>
  <c r="K30" i="7"/>
  <c r="L10" i="8"/>
  <c r="Z45" i="8"/>
  <c r="E21" i="8"/>
  <c r="E16" i="8"/>
  <c r="H15" i="8"/>
  <c r="U16" i="7"/>
  <c r="E6" i="8" s="1"/>
  <c r="J62" i="7"/>
  <c r="K62" i="7"/>
  <c r="Q7" i="8"/>
  <c r="Q32" i="8"/>
  <c r="L35" i="8"/>
  <c r="L32" i="8"/>
  <c r="L33" i="8"/>
  <c r="Q22" i="8"/>
  <c r="Q17" i="8"/>
  <c r="Q12" i="8"/>
  <c r="H10" i="8"/>
  <c r="AI25" i="7"/>
  <c r="AD25" i="7"/>
  <c r="Z32" i="7"/>
  <c r="Z33" i="7" s="1"/>
  <c r="T31" i="7"/>
  <c r="U25" i="6" l="1"/>
  <c r="K32" i="6"/>
  <c r="T16" i="6"/>
  <c r="O32" i="6"/>
  <c r="L8" i="8" s="1"/>
  <c r="N32" i="6"/>
  <c r="L7" i="8" s="1"/>
  <c r="H19" i="8"/>
  <c r="H20" i="8"/>
  <c r="U45" i="8"/>
  <c r="Z49" i="8" s="1"/>
  <c r="R16" i="7"/>
  <c r="S16" i="7"/>
  <c r="J31" i="7"/>
  <c r="O41" i="8" s="1"/>
  <c r="K31" i="7"/>
  <c r="T41" i="8" s="1"/>
  <c r="L34" i="8"/>
  <c r="L23" i="8"/>
  <c r="H25" i="8"/>
  <c r="L25" i="8"/>
  <c r="H24" i="8"/>
  <c r="L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L30" i="8" l="1"/>
  <c r="L27" i="8"/>
  <c r="L29" i="8"/>
  <c r="E4" i="8" l="1"/>
  <c r="E5" i="8"/>
  <c r="E3" i="8" l="1"/>
  <c r="A39" i="8" l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<sst xmlns="http://schemas.openxmlformats.org/spreadsheetml/2006/main" count="1039" uniqueCount="104">
  <si>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</si>
  <si>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</si>
  <si>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</si>
  <si>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</si>
  <si>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</si>
  <si>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</si>
  <si>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</si>
  <si>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</si>
  <si>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</si>
  <si>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</si>
  <si>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</si>
  <si>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</si>
  <si>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</si>
  <si>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</si>
  <si>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</si>
  <si>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</si>
  <si>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</si>
  <si>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</si>
  <si>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</si>
  <si>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</si>
  <si>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</si>
  <si>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</si>
  <si>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</si>
  <si>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</si>
  <si>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</si>
  <si>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</si>
  <si>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</si>
  <si>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</si>
  <si>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</si>
  <si>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</si>
  <si>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</si>
  <si>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</si>
  <si>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</si>
  <si>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</si>
  <si>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</si>
  <si>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</si>
  <si>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</si>
  <si>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</si>
  <si>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</si>
  <si>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</si>
  <si>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</si>
  <si>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</si>
  <si>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</si>
  <si>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</si>
  <si>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</si>
  <si>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</si>
  <si>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</si>
  <si>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</si>
  <si>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</si>
  <si>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</si>
  <si>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</si>
  <si>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</si>
  <si>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</si>
  <si>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</si>
  <si>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</si>
  <si>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</si>
  <si>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</si>
  <si>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</si>
  <si>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</si>
  <si>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</si>
  <si>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</si>
  <si>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</si>
  <si>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</si>
  <si>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</si>
  <si>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</si>
  <si>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</si>
  <si>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</si>
  <si>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</si>
  <si>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</si>
  <si>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</si>
  <si>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</si>
  <si>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</si>
  <si>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</si>
  <si>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</si>
  <si>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</si>
  <si>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</si>
  <si>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</si>
  <si>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</si>
  <si>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</si>
  <si>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</si>
  <si>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</si>
  <si>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</si>
  <si>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</si>
  <si>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</si>
  <si>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</si>
  <si>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</si>
  <si>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</si>
  <si>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</si>
  <si>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</si>
  <si>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</si>
  <si>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</si>
  <si>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</si>
  <si>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</si>
  <si>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</si>
  <si>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</si>
  <si>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</si>
  <si>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</si>
  <si>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/ / 2023</t>
    <phoneticPr fontId="3" type="noConversion"/>
  </si>
  <si>
    <t>18/9 / 2023</t>
  </si>
  <si>
    <t>FINE</t>
  </si>
  <si>
    <t>TONY Y</t>
  </si>
  <si>
    <t>SURESH</t>
  </si>
  <si>
    <t>JAMES</t>
  </si>
  <si>
    <t>ARIANTO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</si>
</sst>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₩&quot;* #,##0_-;\-&quot;₩&quot;* #,##0_-;_-&quot;₩&quot;* &quot;-&quot;_-;_-@_-"/>
    <numFmt numFmtId="165" formatCode="\$#,##0_);[Red]\(\$#,##0\)"/>
    <numFmt numFmtId="166" formatCode="\$#,##0.00_);[Red]\(\$#,##0.00\)"/>
    <numFmt numFmtId="167" formatCode="\$#,##0.00"/>
    <numFmt numFmtId="168" formatCode="h:mm;@"/>
    <numFmt numFmtId="169" formatCode="0.00_);[Red]\(0.00\)"/>
    <numFmt numFmtId="170" formatCode="0_);[Red]\(0\)"/>
    <numFmt numFmtId="171" formatCode="0.00_ "/>
    <numFmt numFmtId="172" formatCode="#,##0.0;[Red]#,##0.0"/>
    <numFmt numFmtId="173" formatCode="[$$-C09]#,##0.00"/>
    <numFmt numFmtId="174" formatCode="_-\$* #,##0.00_ ;_-\$* \-#,##0.00\ ;_-\$* &quot;-&quot;??_ ;_-@_ "/>
  </numFmts>
  <fonts count="2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0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sz val="11"/>
      <name val="Calibri"/>
      <family val="2"/>
      <scheme val="minor"/>
    </font>
    <font>
      <b/>
      <sz val="11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b/>
      <sz val="28"/>
      <color theme="1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b/>
      <sz val="18"/>
      <color theme="0"/>
      <name val="Calibri"/>
      <family val="3"/>
      <charset val="129"/>
      <scheme val="minor"/>
    </font>
    <font>
      <sz val="8"/>
      <color theme="1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8"/>
      <color theme="0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11">
    <xf numFmtId="0" fontId="0" fillId="0" borderId="0" xfId="0"/>
    <xf numFmtId="0" fontId="0" fillId="0" borderId="10" xfId="0" applyBorder="1"/>
    <xf numFmtId="168" fontId="0" fillId="0" borderId="3" xfId="0" applyNumberFormat="1" applyBorder="1"/>
    <xf numFmtId="168" fontId="0" fillId="0" borderId="5" xfId="0" applyNumberFormat="1" applyBorder="1"/>
    <xf numFmtId="169" fontId="0" fillId="0" borderId="16" xfId="0" applyNumberFormat="1" applyBorder="1"/>
    <xf numFmtId="0" fontId="0" fillId="0" borderId="9" xfId="0" applyBorder="1"/>
    <xf numFmtId="168" fontId="0" fillId="0" borderId="1" xfId="0" applyNumberFormat="1" applyBorder="1"/>
    <xf numFmtId="168" fontId="0" fillId="0" borderId="2" xfId="0" applyNumberFormat="1" applyBorder="1"/>
    <xf numFmtId="169" fontId="0" fillId="0" borderId="15" xfId="0" applyNumberFormat="1" applyBorder="1"/>
    <xf numFmtId="0" fontId="0" fillId="0" borderId="25" xfId="0" applyBorder="1" applyAlignment="1">
      <alignment shrinkToFit="1"/>
    </xf>
    <xf numFmtId="168" fontId="0" fillId="0" borderId="25" xfId="0" applyNumberFormat="1" applyBorder="1" applyAlignment="1">
      <alignment shrinkToFit="1"/>
    </xf>
    <xf numFmtId="169" fontId="0" fillId="0" borderId="24" xfId="0" applyNumberFormat="1" applyBorder="1" applyAlignment="1">
      <alignment shrinkToFit="1"/>
    </xf>
    <xf numFmtId="166" fontId="0" fillId="2" borderId="4" xfId="0" applyNumberFormat="1" applyFill="1" applyBorder="1" applyAlignment="1">
      <alignment horizontal="center" shrinkToFit="1"/>
    </xf>
    <xf numFmtId="17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64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7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7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7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16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68" fontId="0" fillId="2" borderId="4" xfId="0" applyNumberFormat="1" applyFill="1" applyBorder="1" applyAlignment="1">
      <alignment horizontal="center" shrinkToFit="1"/>
    </xf>
    <xf numFmtId="16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73" fontId="0" fillId="0" borderId="0" xfId="0" applyNumberFormat="1" applyAlignment="1">
      <alignment shrinkToFit="1"/>
    </xf>
    <xf numFmtId="16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67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71" fontId="0" fillId="2" borderId="0" xfId="0" applyNumberFormat="1" applyFill="1" applyAlignment="1">
      <alignment shrinkToFit="1"/>
    </xf>
    <xf numFmtId="166" fontId="0" fillId="2" borderId="0" xfId="0" applyNumberFormat="1" applyFill="1" applyAlignment="1">
      <alignment shrinkToFit="1"/>
    </xf>
    <xf numFmtId="173" fontId="0" fillId="2" borderId="0" xfId="0" applyNumberFormat="1" applyFill="1" applyAlignment="1">
      <alignment shrinkToFit="1"/>
    </xf>
    <xf numFmtId="166" fontId="0" fillId="5" borderId="1" xfId="0" applyNumberFormat="1" applyFill="1" applyBorder="1" applyAlignment="1">
      <alignment shrinkToFit="1"/>
    </xf>
    <xf numFmtId="172" fontId="0" fillId="0" borderId="0" xfId="0" applyNumberFormat="1" applyAlignment="1">
      <alignment shrinkToFit="1"/>
    </xf>
    <xf numFmtId="166" fontId="0" fillId="0" borderId="1" xfId="0" applyNumberFormat="1" applyBorder="1" applyAlignment="1">
      <alignment shrinkToFit="1"/>
    </xf>
    <xf numFmtId="171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16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68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9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67" fontId="6" fillId="0" borderId="1" xfId="0" applyNumberFormat="1" applyFont="1" applyBorder="1" applyAlignment="1">
      <alignment vertical="center" shrinkToFit="1"/>
    </xf>
    <xf numFmtId="167" fontId="6" fillId="0" borderId="15" xfId="0" applyNumberFormat="1" applyFont="1" applyBorder="1" applyAlignment="1">
      <alignment vertical="center" shrinkToFit="1"/>
    </xf>
    <xf numFmtId="166" fontId="6" fillId="0" borderId="1" xfId="0" applyNumberFormat="1" applyFont="1" applyBorder="1" applyAlignment="1">
      <alignment vertical="center" shrinkToFit="1"/>
    </xf>
    <xf numFmtId="166" fontId="6" fillId="0" borderId="15" xfId="0" applyNumberFormat="1" applyFont="1" applyBorder="1" applyAlignment="1">
      <alignment vertical="center" shrinkToFit="1"/>
    </xf>
    <xf numFmtId="165" fontId="6" fillId="0" borderId="1" xfId="0" applyNumberFormat="1" applyFont="1" applyBorder="1" applyAlignment="1">
      <alignment vertical="center" shrinkToFit="1"/>
    </xf>
    <xf numFmtId="165" fontId="0" fillId="0" borderId="1" xfId="0" applyNumberFormat="1" applyBorder="1"/>
    <xf numFmtId="0" fontId="0" fillId="0" borderId="17" xfId="0" applyBorder="1"/>
    <xf numFmtId="16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16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69" fontId="4" fillId="6" borderId="12" xfId="0" applyNumberFormat="1" applyFont="1" applyFill="1" applyBorder="1" applyAlignment="1">
      <alignment shrinkToFit="1"/>
    </xf>
    <xf numFmtId="169" fontId="4" fillId="6" borderId="12" xfId="0" applyNumberFormat="1" applyFont="1" applyFill="1" applyBorder="1" applyAlignment="1">
      <alignment horizontal="center" shrinkToFit="1"/>
    </xf>
    <xf numFmtId="168" fontId="4" fillId="6" borderId="12" xfId="0" applyNumberFormat="1" applyFont="1" applyFill="1" applyBorder="1" applyAlignment="1">
      <alignment shrinkToFit="1"/>
    </xf>
    <xf numFmtId="168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68" fontId="4" fillId="6" borderId="41" xfId="0" applyNumberFormat="1" applyFont="1" applyFill="1" applyBorder="1" applyAlignment="1">
      <alignment horizontal="center" shrinkToFit="1"/>
    </xf>
    <xf numFmtId="169" fontId="4" fillId="6" borderId="41" xfId="0" applyNumberFormat="1" applyFont="1" applyFill="1" applyBorder="1" applyAlignment="1">
      <alignment horizontal="center" shrinkToFit="1"/>
    </xf>
    <xf numFmtId="169" fontId="15" fillId="2" borderId="1" xfId="3" applyNumberFormat="1" applyFont="1" applyFill="1" applyBorder="1" applyAlignment="1">
      <alignment horizontal="center" shrinkToFit="1"/>
    </xf>
    <xf numFmtId="169" fontId="0" fillId="2" borderId="1" xfId="0" applyNumberFormat="1" applyFill="1" applyBorder="1" applyAlignment="1">
      <alignment horizontal="center" shrinkToFit="1"/>
    </xf>
    <xf numFmtId="169" fontId="13" fillId="0" borderId="4" xfId="0" applyNumberFormat="1" applyFont="1" applyBorder="1" applyAlignment="1">
      <alignment horizontal="center" shrinkToFit="1"/>
    </xf>
    <xf numFmtId="169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0" fontId="13" fillId="6" borderId="50" xfId="0" applyNumberFormat="1" applyFont="1" applyFill="1" applyBorder="1" applyAlignment="1">
      <alignment horizontal="center" vertical="center" shrinkToFit="1"/>
    </xf>
    <xf numFmtId="170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69" fontId="4" fillId="6" borderId="1" xfId="0" applyNumberFormat="1" applyFont="1" applyFill="1" applyBorder="1" applyAlignment="1">
      <alignment horizontal="center" shrinkToFit="1"/>
    </xf>
    <xf numFmtId="167" fontId="4" fillId="6" borderId="13" xfId="0" applyNumberFormat="1" applyFont="1" applyFill="1" applyBorder="1" applyAlignment="1">
      <alignment horizontal="center" vertical="center" shrinkToFit="1"/>
    </xf>
    <xf numFmtId="167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71" fontId="4" fillId="6" borderId="1" xfId="0" applyNumberFormat="1" applyFont="1" applyFill="1" applyBorder="1" applyAlignment="1">
      <alignment horizontal="center" shrinkToFit="1"/>
    </xf>
    <xf numFmtId="170" fontId="4" fillId="6" borderId="1" xfId="0" applyNumberFormat="1" applyFont="1" applyFill="1" applyBorder="1" applyAlignment="1">
      <alignment horizontal="center" shrinkToFit="1"/>
    </xf>
    <xf numFmtId="171" fontId="4" fillId="6" borderId="14" xfId="0" applyNumberFormat="1" applyFont="1" applyFill="1" applyBorder="1" applyAlignment="1">
      <alignment horizontal="center" shrinkToFit="1"/>
    </xf>
    <xf numFmtId="169" fontId="4" fillId="6" borderId="14" xfId="0" applyNumberFormat="1" applyFont="1" applyFill="1" applyBorder="1" applyAlignment="1">
      <alignment horizontal="center" shrinkToFit="1"/>
    </xf>
    <xf numFmtId="167" fontId="4" fillId="6" borderId="3" xfId="0" applyNumberFormat="1" applyFont="1" applyFill="1" applyBorder="1" applyAlignment="1">
      <alignment horizontal="center" shrinkToFit="1"/>
    </xf>
    <xf numFmtId="171" fontId="4" fillId="6" borderId="3" xfId="0" applyNumberFormat="1" applyFont="1" applyFill="1" applyBorder="1" applyAlignment="1">
      <alignment horizontal="center" shrinkToFit="1"/>
    </xf>
    <xf numFmtId="170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69" fontId="16" fillId="6" borderId="28" xfId="0" applyNumberFormat="1" applyFont="1" applyFill="1" applyBorder="1" applyAlignment="1">
      <alignment horizontal="center" vertical="center" shrinkToFit="1"/>
    </xf>
    <xf numFmtId="171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68" fontId="0" fillId="0" borderId="11" xfId="0" applyNumberFormat="1" applyBorder="1" applyAlignment="1">
      <alignment shrinkToFit="1"/>
    </xf>
    <xf numFmtId="169" fontId="0" fillId="0" borderId="38" xfId="0" applyNumberFormat="1" applyBorder="1" applyAlignment="1">
      <alignment shrinkToFit="1"/>
    </xf>
    <xf numFmtId="40" fontId="13" fillId="6" borderId="50" xfId="0" applyNumberFormat="1" applyFont="1" applyFill="1" applyBorder="1" applyAlignment="1">
      <alignment shrinkToFit="1"/>
    </xf>
    <xf numFmtId="170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69" fontId="15" fillId="0" borderId="1" xfId="3" applyNumberFormat="1" applyFont="1" applyFill="1" applyBorder="1" applyAlignment="1">
      <alignment horizontal="center" shrinkToFit="1"/>
    </xf>
    <xf numFmtId="169" fontId="1" fillId="0" borderId="4" xfId="0" applyNumberFormat="1" applyFont="1" applyBorder="1" applyAlignment="1">
      <alignment horizontal="center" shrinkToFit="1"/>
    </xf>
    <xf numFmtId="169" fontId="1" fillId="0" borderId="1" xfId="0" applyNumberFormat="1" applyFont="1" applyBorder="1" applyAlignment="1">
      <alignment horizontal="center" shrinkToFit="1"/>
    </xf>
    <xf numFmtId="169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69" fontId="1" fillId="6" borderId="4" xfId="0" applyNumberFormat="1" applyFont="1" applyFill="1" applyBorder="1" applyAlignment="1">
      <alignment horizontal="center" shrinkToFit="1"/>
    </xf>
    <xf numFmtId="169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0" fontId="13" fillId="0" borderId="14" xfId="0" applyNumberFormat="1" applyFont="1" applyBorder="1" applyAlignment="1">
      <alignment horizontal="center" vertical="center" shrinkToFit="1"/>
    </xf>
    <xf numFmtId="166" fontId="13" fillId="0" borderId="14" xfId="0" applyNumberFormat="1" applyFont="1" applyBorder="1" applyAlignment="1">
      <alignment shrinkToFit="1"/>
    </xf>
    <xf numFmtId="170" fontId="6" fillId="0" borderId="28" xfId="0" applyNumberFormat="1" applyFont="1" applyBorder="1" applyAlignment="1">
      <alignment vertical="center" shrinkToFit="1"/>
    </xf>
    <xf numFmtId="169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69" fontId="4" fillId="6" borderId="48" xfId="0" applyNumberFormat="1" applyFont="1" applyFill="1" applyBorder="1" applyAlignment="1">
      <alignment vertical="center" shrinkToFit="1"/>
    </xf>
    <xf numFmtId="169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69" fontId="0" fillId="2" borderId="11" xfId="0" applyNumberFormat="1" applyFill="1" applyBorder="1" applyAlignment="1">
      <alignment horizontal="center" shrinkToFit="1"/>
    </xf>
    <xf numFmtId="169" fontId="15" fillId="0" borderId="40" xfId="0" applyNumberFormat="1" applyFont="1" applyBorder="1" applyAlignment="1">
      <alignment horizontal="center" shrinkToFit="1"/>
    </xf>
    <xf numFmtId="169" fontId="13" fillId="0" borderId="17" xfId="0" applyNumberFormat="1" applyFont="1" applyBorder="1" applyAlignment="1">
      <alignment shrinkToFit="1"/>
    </xf>
    <xf numFmtId="169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68" fontId="16" fillId="13" borderId="8" xfId="0" applyNumberFormat="1" applyFont="1" applyFill="1" applyBorder="1" applyAlignment="1">
      <alignment horizontal="center" shrinkToFit="1"/>
    </xf>
    <xf numFmtId="169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73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166" fontId="0" fillId="0" borderId="11" xfId="0" applyNumberFormat="1" applyBorder="1" applyAlignment="1">
      <alignment shrinkToFit="1"/>
    </xf>
    <xf numFmtId="17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69" fontId="1" fillId="0" borderId="26" xfId="0" applyNumberFormat="1" applyFont="1" applyBorder="1" applyAlignment="1">
      <alignment horizontal="center" shrinkToFit="1"/>
    </xf>
    <xf numFmtId="169" fontId="15" fillId="0" borderId="61" xfId="3" applyNumberFormat="1" applyFont="1" applyFill="1" applyBorder="1" applyAlignment="1">
      <alignment horizontal="center" shrinkToFit="1"/>
    </xf>
    <xf numFmtId="170" fontId="6" fillId="0" borderId="39" xfId="0" applyNumberFormat="1" applyFont="1" applyBorder="1" applyAlignment="1">
      <alignment horizontal="left"/>
    </xf>
    <xf numFmtId="170" fontId="6" fillId="0" borderId="26" xfId="0" applyNumberFormat="1" applyFont="1" applyBorder="1" applyAlignment="1">
      <alignment horizontal="left"/>
    </xf>
    <xf numFmtId="170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69" fontId="23" fillId="2" borderId="4" xfId="4" applyNumberFormat="1" applyFill="1" applyBorder="1" applyAlignment="1">
      <alignment horizontal="center" shrinkToFit="1"/>
    </xf>
    <xf numFmtId="169" fontId="23" fillId="2" borderId="6" xfId="4" applyNumberFormat="1" applyFill="1" applyBorder="1" applyAlignment="1">
      <alignment horizontal="center" shrinkToFit="1"/>
    </xf>
    <xf numFmtId="169" fontId="10" fillId="6" borderId="4" xfId="4" applyNumberFormat="1" applyFont="1" applyFill="1" applyBorder="1" applyAlignment="1">
      <alignment horizont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0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67" fontId="13" fillId="0" borderId="0" xfId="0" applyNumberFormat="1" applyFont="1" applyAlignment="1">
      <alignment horizontal="center" shrinkToFit="1"/>
    </xf>
    <xf numFmtId="166" fontId="13" fillId="0" borderId="0" xfId="0" applyNumberFormat="1" applyFont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0" fontId="4" fillId="6" borderId="53" xfId="0" applyNumberFormat="1" applyFont="1" applyFill="1" applyBorder="1" applyAlignment="1">
      <alignment horizontal="center" vertical="center" shrinkToFit="1"/>
    </xf>
    <xf numFmtId="170" fontId="4" fillId="6" borderId="55" xfId="0" applyNumberFormat="1" applyFont="1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7" xfId="0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0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69" fontId="16" fillId="6" borderId="25" xfId="0" applyNumberFormat="1" applyFont="1" applyFill="1" applyBorder="1" applyAlignment="1">
      <alignment horizontal="center" vertical="center" shrinkToFit="1"/>
    </xf>
    <xf numFmtId="169" fontId="16" fillId="6" borderId="24" xfId="0" applyNumberFormat="1" applyFont="1" applyFill="1" applyBorder="1" applyAlignment="1">
      <alignment horizontal="center" vertical="center" shrinkToFit="1"/>
    </xf>
    <xf numFmtId="169" fontId="16" fillId="6" borderId="22" xfId="0" applyNumberFormat="1" applyFont="1" applyFill="1" applyBorder="1" applyAlignment="1">
      <alignment horizontal="center" vertical="center" shrinkToFit="1"/>
    </xf>
    <xf numFmtId="169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71" fontId="4" fillId="6" borderId="14" xfId="0" applyNumberFormat="1" applyFont="1" applyFill="1" applyBorder="1" applyAlignment="1">
      <alignment horizontal="center" vertical="center" shrinkToFit="1"/>
    </xf>
    <xf numFmtId="171" fontId="4" fillId="6" borderId="1" xfId="0" applyNumberFormat="1" applyFont="1" applyFill="1" applyBorder="1" applyAlignment="1">
      <alignment horizontal="center" vertical="center" shrinkToFit="1"/>
    </xf>
    <xf numFmtId="171" fontId="4" fillId="6" borderId="3" xfId="0" applyNumberFormat="1" applyFont="1" applyFill="1" applyBorder="1" applyAlignment="1">
      <alignment horizontal="center" vertical="center" shrinkToFit="1"/>
    </xf>
    <xf numFmtId="169" fontId="4" fillId="6" borderId="14" xfId="0" applyNumberFormat="1" applyFont="1" applyFill="1" applyBorder="1" applyAlignment="1">
      <alignment horizontal="center" vertical="center" shrinkToFit="1"/>
    </xf>
    <xf numFmtId="169" fontId="4" fillId="6" borderId="1" xfId="0" applyNumberFormat="1" applyFont="1" applyFill="1" applyBorder="1" applyAlignment="1">
      <alignment horizontal="center" vertical="center" shrinkToFit="1"/>
    </xf>
    <xf numFmtId="169" fontId="4" fillId="6" borderId="3" xfId="0" applyNumberFormat="1" applyFont="1" applyFill="1" applyBorder="1" applyAlignment="1">
      <alignment horizontal="center" vertical="center" shrinkToFit="1"/>
    </xf>
    <xf numFmtId="169" fontId="4" fillId="6" borderId="28" xfId="0" applyNumberFormat="1" applyFont="1" applyFill="1" applyBorder="1" applyAlignment="1">
      <alignment horizontal="center" vertical="center" shrinkToFit="1"/>
    </xf>
    <xf numFmtId="169" fontId="4" fillId="6" borderId="15" xfId="0" applyNumberFormat="1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166" fontId="20" fillId="6" borderId="30" xfId="0" applyNumberFormat="1" applyFont="1" applyFill="1" applyBorder="1" applyAlignment="1">
      <alignment horizontal="center" vertical="center" shrinkToFit="1"/>
    </xf>
    <xf numFmtId="166" fontId="20" fillId="6" borderId="43" xfId="0" applyNumberFormat="1" applyFont="1" applyFill="1" applyBorder="1" applyAlignment="1">
      <alignment horizontal="center" vertical="center" shrinkToFit="1"/>
    </xf>
    <xf numFmtId="166" fontId="20" fillId="6" borderId="44" xfId="0" applyNumberFormat="1" applyFont="1" applyFill="1" applyBorder="1" applyAlignment="1">
      <alignment horizontal="center" vertic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66" fontId="20" fillId="6" borderId="6" xfId="0" applyNumberFormat="1" applyFont="1" applyFill="1" applyBorder="1" applyAlignment="1">
      <alignment horizontal="center" vertical="center" shrinkToFit="1"/>
    </xf>
    <xf numFmtId="166" fontId="20" fillId="6" borderId="37" xfId="0" applyNumberFormat="1" applyFont="1" applyFill="1" applyBorder="1" applyAlignment="1">
      <alignment horizontal="center" vertical="center" shrinkToFit="1"/>
    </xf>
    <xf numFmtId="166" fontId="20" fillId="6" borderId="39" xfId="0" applyNumberFormat="1" applyFont="1" applyFill="1" applyBorder="1" applyAlignment="1">
      <alignment horizontal="center" vertical="center" shrinkToFit="1"/>
    </xf>
    <xf numFmtId="174" fontId="20" fillId="6" borderId="30" xfId="0" applyNumberFormat="1" applyFont="1" applyFill="1" applyBorder="1" applyAlignment="1">
      <alignment horizontal="center" vertical="center" shrinkToFit="1"/>
    </xf>
    <xf numFmtId="174" fontId="20" fillId="6" borderId="43" xfId="0" applyNumberFormat="1" applyFont="1" applyFill="1" applyBorder="1" applyAlignment="1">
      <alignment horizontal="center" vertical="center" shrinkToFit="1"/>
    </xf>
    <xf numFmtId="174" fontId="20" fillId="6" borderId="44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74" fontId="20" fillId="6" borderId="6" xfId="0" applyNumberFormat="1" applyFont="1" applyFill="1" applyBorder="1" applyAlignment="1">
      <alignment horizontal="center" vertical="center" shrinkToFit="1"/>
    </xf>
    <xf numFmtId="174" fontId="20" fillId="6" borderId="37" xfId="0" applyNumberFormat="1" applyFont="1" applyFill="1" applyBorder="1" applyAlignment="1">
      <alignment horizontal="center" vertical="center" shrinkToFit="1"/>
    </xf>
    <xf numFmtId="174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67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67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67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67" fontId="4" fillId="11" borderId="2" xfId="0" applyNumberFormat="1" applyFont="1" applyFill="1" applyBorder="1" applyAlignment="1">
      <alignment horizontal="center" vertical="center" shrinkToFit="1"/>
    </xf>
    <xf numFmtId="167" fontId="4" fillId="11" borderId="29" xfId="0" applyNumberFormat="1" applyFont="1" applyFill="1" applyBorder="1" applyAlignment="1">
      <alignment horizontal="center" vertical="center" shrinkToFit="1"/>
    </xf>
    <xf numFmtId="167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74" fontId="20" fillId="9" borderId="2" xfId="0" applyNumberFormat="1" applyFont="1" applyFill="1" applyBorder="1" applyAlignment="1">
      <alignment horizontal="center" vertical="center" shrinkToFit="1"/>
    </xf>
    <xf numFmtId="174" fontId="20" fillId="9" borderId="29" xfId="0" applyNumberFormat="1" applyFont="1" applyFill="1" applyBorder="1" applyAlignment="1">
      <alignment horizontal="center" vertical="center" shrinkToFit="1"/>
    </xf>
    <xf numFmtId="174" fontId="20" fillId="9" borderId="26" xfId="0" applyNumberFormat="1" applyFont="1" applyFill="1" applyBorder="1" applyAlignment="1">
      <alignment horizontal="center" vertical="center" shrinkToFit="1"/>
    </xf>
    <xf numFmtId="166" fontId="20" fillId="9" borderId="2" xfId="0" applyNumberFormat="1" applyFont="1" applyFill="1" applyBorder="1" applyAlignment="1">
      <alignment horizontal="center" vertical="center" shrinkToFit="1"/>
    </xf>
    <xf numFmtId="166" fontId="20" fillId="9" borderId="29" xfId="0" applyNumberFormat="1" applyFont="1" applyFill="1" applyBorder="1" applyAlignment="1">
      <alignment horizontal="center" vertical="center" shrinkToFit="1"/>
    </xf>
    <xf numFmtId="16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67" fontId="4" fillId="5" borderId="2" xfId="0" applyNumberFormat="1" applyFont="1" applyFill="1" applyBorder="1" applyAlignment="1">
      <alignment horizontal="center" vertical="center" shrinkToFit="1"/>
    </xf>
    <xf numFmtId="167" fontId="4" fillId="5" borderId="29" xfId="0" applyNumberFormat="1" applyFont="1" applyFill="1" applyBorder="1" applyAlignment="1">
      <alignment horizontal="center" vertical="center" shrinkToFit="1"/>
    </xf>
    <xf numFmtId="167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74" fontId="20" fillId="5" borderId="2" xfId="0" applyNumberFormat="1" applyFont="1" applyFill="1" applyBorder="1" applyAlignment="1">
      <alignment horizontal="center" vertical="center" shrinkToFit="1"/>
    </xf>
    <xf numFmtId="174" fontId="20" fillId="5" borderId="29" xfId="0" applyNumberFormat="1" applyFont="1" applyFill="1" applyBorder="1" applyAlignment="1">
      <alignment horizontal="center" vertical="center" shrinkToFit="1"/>
    </xf>
    <xf numFmtId="174" fontId="20" fillId="5" borderId="26" xfId="0" applyNumberFormat="1" applyFont="1" applyFill="1" applyBorder="1" applyAlignment="1">
      <alignment horizontal="center" vertical="center" shrinkToFit="1"/>
    </xf>
    <xf numFmtId="166" fontId="20" fillId="5" borderId="2" xfId="0" applyNumberFormat="1" applyFont="1" applyFill="1" applyBorder="1" applyAlignment="1">
      <alignment horizontal="center" vertical="center" shrinkToFit="1"/>
    </xf>
    <xf numFmtId="166" fontId="20" fillId="5" borderId="29" xfId="0" applyNumberFormat="1" applyFont="1" applyFill="1" applyBorder="1" applyAlignment="1">
      <alignment horizontal="center" vertical="center" shrinkToFit="1"/>
    </xf>
    <xf numFmtId="16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67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71" fontId="20" fillId="0" borderId="58" xfId="0" applyNumberFormat="1" applyFont="1" applyBorder="1" applyAlignment="1">
      <alignment horizontal="center" vertical="center" shrinkToFit="1"/>
    </xf>
    <xf numFmtId="171" fontId="20" fillId="0" borderId="43" xfId="0" applyNumberFormat="1" applyFont="1" applyBorder="1" applyAlignment="1">
      <alignment horizontal="center" vertical="center" shrinkToFit="1"/>
    </xf>
    <xf numFmtId="171" fontId="20" fillId="0" borderId="59" xfId="0" applyNumberFormat="1" applyFont="1" applyBorder="1" applyAlignment="1">
      <alignment horizontal="center" vertical="center" shrinkToFit="1"/>
    </xf>
    <xf numFmtId="171" fontId="20" fillId="0" borderId="31" xfId="0" applyNumberFormat="1" applyFont="1" applyBorder="1" applyAlignment="1">
      <alignment horizontal="center" vertical="center" shrinkToFit="1"/>
    </xf>
    <xf numFmtId="171" fontId="20" fillId="0" borderId="0" xfId="0" applyNumberFormat="1" applyFont="1" applyAlignment="1">
      <alignment horizontal="center" vertical="center" shrinkToFit="1"/>
    </xf>
    <xf numFmtId="171" fontId="20" fillId="0" borderId="32" xfId="0" applyNumberFormat="1" applyFont="1" applyBorder="1" applyAlignment="1">
      <alignment horizontal="center" vertical="center" shrinkToFit="1"/>
    </xf>
    <xf numFmtId="171" fontId="20" fillId="0" borderId="21" xfId="0" applyNumberFormat="1" applyFont="1" applyBorder="1" applyAlignment="1">
      <alignment horizontal="center" vertical="center" shrinkToFit="1"/>
    </xf>
    <xf numFmtId="171" fontId="20" fillId="0" borderId="22" xfId="0" applyNumberFormat="1" applyFont="1" applyBorder="1" applyAlignment="1">
      <alignment horizontal="center" vertical="center" shrinkToFit="1"/>
    </xf>
    <xf numFmtId="171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67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67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4" fontId="20" fillId="5" borderId="30" xfId="0" applyNumberFormat="1" applyFont="1" applyFill="1" applyBorder="1" applyAlignment="1">
      <alignment horizontal="center" vertical="center" shrinkToFit="1"/>
    </xf>
    <xf numFmtId="174" fontId="20" fillId="5" borderId="43" xfId="0" applyNumberFormat="1" applyFont="1" applyFill="1" applyBorder="1" applyAlignment="1">
      <alignment horizontal="center" vertical="center" shrinkToFit="1"/>
    </xf>
    <xf numFmtId="174" fontId="20" fillId="5" borderId="44" xfId="0" applyNumberFormat="1" applyFont="1" applyFill="1" applyBorder="1" applyAlignment="1">
      <alignment horizontal="center" vertical="center" shrinkToFit="1"/>
    </xf>
    <xf numFmtId="174" fontId="20" fillId="5" borderId="45" xfId="0" applyNumberFormat="1" applyFont="1" applyFill="1" applyBorder="1" applyAlignment="1">
      <alignment horizontal="center" vertical="center" shrinkToFit="1"/>
    </xf>
    <xf numFmtId="174" fontId="20" fillId="5" borderId="0" xfId="0" applyNumberFormat="1" applyFont="1" applyFill="1" applyAlignment="1">
      <alignment horizontal="center" vertical="center" shrinkToFit="1"/>
    </xf>
    <xf numFmtId="174" fontId="20" fillId="5" borderId="46" xfId="0" applyNumberFormat="1" applyFont="1" applyFill="1" applyBorder="1" applyAlignment="1">
      <alignment horizontal="center" vertical="center" shrinkToFit="1"/>
    </xf>
    <xf numFmtId="174" fontId="20" fillId="5" borderId="6" xfId="0" applyNumberFormat="1" applyFont="1" applyFill="1" applyBorder="1" applyAlignment="1">
      <alignment horizontal="center" vertical="center" shrinkToFit="1"/>
    </xf>
    <xf numFmtId="174" fontId="20" fillId="5" borderId="37" xfId="0" applyNumberFormat="1" applyFont="1" applyFill="1" applyBorder="1" applyAlignment="1">
      <alignment horizontal="center" vertical="center" shrinkToFit="1"/>
    </xf>
    <xf numFmtId="174" fontId="20" fillId="5" borderId="39" xfId="0" applyNumberFormat="1" applyFont="1" applyFill="1" applyBorder="1" applyAlignment="1">
      <alignment horizontal="center" vertical="center" shrinkToFit="1"/>
    </xf>
    <xf numFmtId="174" fontId="20" fillId="9" borderId="30" xfId="0" applyNumberFormat="1" applyFont="1" applyFill="1" applyBorder="1" applyAlignment="1">
      <alignment horizontal="center" vertical="center" shrinkToFit="1"/>
    </xf>
    <xf numFmtId="174" fontId="20" fillId="9" borderId="43" xfId="0" applyNumberFormat="1" applyFont="1" applyFill="1" applyBorder="1" applyAlignment="1">
      <alignment horizontal="center" vertical="center" shrinkToFit="1"/>
    </xf>
    <xf numFmtId="174" fontId="20" fillId="9" borderId="44" xfId="0" applyNumberFormat="1" applyFont="1" applyFill="1" applyBorder="1" applyAlignment="1">
      <alignment horizontal="center" vertical="center" shrinkToFit="1"/>
    </xf>
    <xf numFmtId="174" fontId="20" fillId="9" borderId="45" xfId="0" applyNumberFormat="1" applyFont="1" applyFill="1" applyBorder="1" applyAlignment="1">
      <alignment horizontal="center" vertical="center" shrinkToFit="1"/>
    </xf>
    <xf numFmtId="174" fontId="20" fillId="9" borderId="0" xfId="0" applyNumberFormat="1" applyFont="1" applyFill="1" applyAlignment="1">
      <alignment horizontal="center" vertical="center" shrinkToFit="1"/>
    </xf>
    <xf numFmtId="174" fontId="20" fillId="9" borderId="46" xfId="0" applyNumberFormat="1" applyFont="1" applyFill="1" applyBorder="1" applyAlignment="1">
      <alignment horizontal="center" vertical="center" shrinkToFit="1"/>
    </xf>
    <xf numFmtId="174" fontId="20" fillId="9" borderId="6" xfId="0" applyNumberFormat="1" applyFont="1" applyFill="1" applyBorder="1" applyAlignment="1">
      <alignment horizontal="center" vertical="center" shrinkToFit="1"/>
    </xf>
    <xf numFmtId="174" fontId="20" fillId="9" borderId="37" xfId="0" applyNumberFormat="1" applyFont="1" applyFill="1" applyBorder="1" applyAlignment="1">
      <alignment horizontal="center" vertical="center" shrinkToFit="1"/>
    </xf>
    <xf numFmtId="174" fontId="20" fillId="9" borderId="39" xfId="0" applyNumberFormat="1" applyFont="1" applyFill="1" applyBorder="1" applyAlignment="1">
      <alignment horizontal="center" vertical="center" shrinkToFit="1"/>
    </xf>
    <xf numFmtId="166" fontId="20" fillId="9" borderId="30" xfId="0" applyNumberFormat="1" applyFont="1" applyFill="1" applyBorder="1" applyAlignment="1">
      <alignment horizontal="center" vertical="center" shrinkToFit="1"/>
    </xf>
    <xf numFmtId="166" fontId="20" fillId="9" borderId="43" xfId="0" applyNumberFormat="1" applyFont="1" applyFill="1" applyBorder="1" applyAlignment="1">
      <alignment horizontal="center" vertical="center" shrinkToFit="1"/>
    </xf>
    <xf numFmtId="166" fontId="20" fillId="9" borderId="44" xfId="0" applyNumberFormat="1" applyFont="1" applyFill="1" applyBorder="1" applyAlignment="1">
      <alignment horizontal="center" vertical="center" shrinkToFit="1"/>
    </xf>
    <xf numFmtId="166" fontId="20" fillId="9" borderId="45" xfId="0" applyNumberFormat="1" applyFont="1" applyFill="1" applyBorder="1" applyAlignment="1">
      <alignment horizontal="center" vertical="center" shrinkToFit="1"/>
    </xf>
    <xf numFmtId="166" fontId="20" fillId="9" borderId="0" xfId="0" applyNumberFormat="1" applyFont="1" applyFill="1" applyAlignment="1">
      <alignment horizontal="center" vertical="center" shrinkToFit="1"/>
    </xf>
    <xf numFmtId="166" fontId="20" fillId="9" borderId="46" xfId="0" applyNumberFormat="1" applyFont="1" applyFill="1" applyBorder="1" applyAlignment="1">
      <alignment horizontal="center" vertical="center" shrinkToFit="1"/>
    </xf>
    <xf numFmtId="166" fontId="20" fillId="9" borderId="6" xfId="0" applyNumberFormat="1" applyFont="1" applyFill="1" applyBorder="1" applyAlignment="1">
      <alignment horizontal="center" vertical="center" shrinkToFit="1"/>
    </xf>
    <xf numFmtId="166" fontId="20" fillId="9" borderId="37" xfId="0" applyNumberFormat="1" applyFont="1" applyFill="1" applyBorder="1" applyAlignment="1">
      <alignment horizontal="center" vertical="center" shrinkToFit="1"/>
    </xf>
    <xf numFmtId="166" fontId="20" fillId="9" borderId="39" xfId="0" applyNumberFormat="1" applyFont="1" applyFill="1" applyBorder="1" applyAlignment="1">
      <alignment horizontal="center" vertical="center" shrinkToFit="1"/>
    </xf>
    <xf numFmtId="166" fontId="20" fillId="5" borderId="30" xfId="0" applyNumberFormat="1" applyFont="1" applyFill="1" applyBorder="1" applyAlignment="1">
      <alignment horizontal="center" vertical="center" shrinkToFit="1"/>
    </xf>
    <xf numFmtId="166" fontId="20" fillId="5" borderId="43" xfId="0" applyNumberFormat="1" applyFont="1" applyFill="1" applyBorder="1" applyAlignment="1">
      <alignment horizontal="center" vertical="center" shrinkToFit="1"/>
    </xf>
    <xf numFmtId="166" fontId="20" fillId="5" borderId="44" xfId="0" applyNumberFormat="1" applyFont="1" applyFill="1" applyBorder="1" applyAlignment="1">
      <alignment horizontal="center" vertical="center" shrinkToFit="1"/>
    </xf>
    <xf numFmtId="166" fontId="20" fillId="5" borderId="45" xfId="0" applyNumberFormat="1" applyFont="1" applyFill="1" applyBorder="1" applyAlignment="1">
      <alignment horizontal="center" vertical="center" shrinkToFit="1"/>
    </xf>
    <xf numFmtId="166" fontId="20" fillId="5" borderId="0" xfId="0" applyNumberFormat="1" applyFont="1" applyFill="1" applyAlignment="1">
      <alignment horizontal="center" vertical="center" shrinkToFit="1"/>
    </xf>
    <xf numFmtId="166" fontId="20" fillId="5" borderId="46" xfId="0" applyNumberFormat="1" applyFont="1" applyFill="1" applyBorder="1" applyAlignment="1">
      <alignment horizontal="center" vertical="center" shrinkToFit="1"/>
    </xf>
    <xf numFmtId="166" fontId="20" fillId="5" borderId="6" xfId="0" applyNumberFormat="1" applyFont="1" applyFill="1" applyBorder="1" applyAlignment="1">
      <alignment horizontal="center" vertical="center" shrinkToFit="1"/>
    </xf>
    <xf numFmtId="166" fontId="20" fillId="5" borderId="37" xfId="0" applyNumberFormat="1" applyFont="1" applyFill="1" applyBorder="1" applyAlignment="1">
      <alignment horizontal="center" vertical="center" shrinkToFit="1"/>
    </xf>
    <xf numFmtId="166" fontId="20" fillId="5" borderId="39" xfId="0" applyNumberFormat="1" applyFont="1" applyFill="1" applyBorder="1" applyAlignment="1">
      <alignment horizontal="center" vertical="center" shrinkToFit="1"/>
    </xf>
    <xf numFmtId="167" fontId="4" fillId="11" borderId="1" xfId="0" applyNumberFormat="1" applyFont="1" applyFill="1" applyBorder="1" applyAlignment="1">
      <alignment horizontal="center" vertical="center" shrinkToFit="1"/>
    </xf>
    <xf numFmtId="166" fontId="20" fillId="10" borderId="30" xfId="0" applyNumberFormat="1" applyFont="1" applyFill="1" applyBorder="1" applyAlignment="1">
      <alignment horizontal="center" vertical="center" shrinkToFit="1"/>
    </xf>
    <xf numFmtId="166" fontId="20" fillId="10" borderId="43" xfId="0" applyNumberFormat="1" applyFont="1" applyFill="1" applyBorder="1" applyAlignment="1">
      <alignment horizontal="center" vertical="center" shrinkToFit="1"/>
    </xf>
    <xf numFmtId="166" fontId="20" fillId="10" borderId="44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66" fontId="20" fillId="10" borderId="6" xfId="0" applyNumberFormat="1" applyFont="1" applyFill="1" applyBorder="1" applyAlignment="1">
      <alignment horizontal="center" vertical="center" shrinkToFit="1"/>
    </xf>
    <xf numFmtId="166" fontId="20" fillId="10" borderId="37" xfId="0" applyNumberFormat="1" applyFont="1" applyFill="1" applyBorder="1" applyAlignment="1">
      <alignment horizontal="center" vertical="center" shrinkToFit="1"/>
    </xf>
    <xf numFmtId="166" fontId="20" fillId="10" borderId="39" xfId="0" applyNumberFormat="1" applyFont="1" applyFill="1" applyBorder="1" applyAlignment="1">
      <alignment horizontal="center" vertical="center" shrinkToFit="1"/>
    </xf>
    <xf numFmtId="174" fontId="20" fillId="10" borderId="30" xfId="0" applyNumberFormat="1" applyFont="1" applyFill="1" applyBorder="1" applyAlignment="1">
      <alignment horizontal="center" vertical="center" shrinkToFit="1"/>
    </xf>
    <xf numFmtId="174" fontId="20" fillId="10" borderId="43" xfId="0" applyNumberFormat="1" applyFont="1" applyFill="1" applyBorder="1" applyAlignment="1">
      <alignment horizontal="center" vertical="center" shrinkToFit="1"/>
    </xf>
    <xf numFmtId="174" fontId="20" fillId="10" borderId="44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174" fontId="20" fillId="10" borderId="6" xfId="0" applyNumberFormat="1" applyFont="1" applyFill="1" applyBorder="1" applyAlignment="1">
      <alignment horizontal="center" vertical="center" shrinkToFit="1"/>
    </xf>
    <xf numFmtId="174" fontId="20" fillId="10" borderId="37" xfId="0" applyNumberFormat="1" applyFont="1" applyFill="1" applyBorder="1" applyAlignment="1">
      <alignment horizontal="center" vertical="center" shrinkToFit="1"/>
    </xf>
    <xf numFmtId="174" fontId="20" fillId="10" borderId="39" xfId="0" applyNumberFormat="1" applyFont="1" applyFill="1" applyBorder="1" applyAlignment="1">
      <alignment horizontal="center" vertical="center" shrinkToFit="1"/>
    </xf>
    <xf numFmtId="167" fontId="4" fillId="9" borderId="2" xfId="0" applyNumberFormat="1" applyFont="1" applyFill="1" applyBorder="1" applyAlignment="1">
      <alignment horizontal="center" vertical="center" shrinkToFit="1"/>
    </xf>
    <xf numFmtId="167" fontId="4" fillId="9" borderId="29" xfId="0" applyNumberFormat="1" applyFont="1" applyFill="1" applyBorder="1" applyAlignment="1">
      <alignment horizontal="center" vertical="center" shrinkToFit="1"/>
    </xf>
    <xf numFmtId="167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67" fontId="4" fillId="6" borderId="2" xfId="0" applyNumberFormat="1" applyFont="1" applyFill="1" applyBorder="1" applyAlignment="1">
      <alignment horizontal="center" vertical="center" shrinkToFit="1"/>
    </xf>
    <xf numFmtId="167" fontId="4" fillId="6" borderId="29" xfId="0" applyNumberFormat="1" applyFont="1" applyFill="1" applyBorder="1" applyAlignment="1">
      <alignment horizontal="center" vertical="center" shrinkToFit="1"/>
    </xf>
    <xf numFmtId="167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67" fontId="4" fillId="10" borderId="2" xfId="0" applyNumberFormat="1" applyFont="1" applyFill="1" applyBorder="1" applyAlignment="1">
      <alignment horizontal="center" vertical="center" shrinkToFit="1"/>
    </xf>
    <xf numFmtId="167" fontId="4" fillId="10" borderId="29" xfId="0" applyNumberFormat="1" applyFont="1" applyFill="1" applyBorder="1" applyAlignment="1">
      <alignment horizontal="center" vertical="center" shrinkToFit="1"/>
    </xf>
    <xf numFmtId="167" fontId="4" fillId="10" borderId="26" xfId="0" applyNumberFormat="1" applyFont="1" applyFill="1" applyBorder="1" applyAlignment="1">
      <alignment horizontal="center" vertical="center" shrinkToFit="1"/>
    </xf>
    <xf numFmtId="174" fontId="20" fillId="7" borderId="30" xfId="0" applyNumberFormat="1" applyFont="1" applyFill="1" applyBorder="1" applyAlignment="1">
      <alignment horizontal="center" vertical="center" shrinkToFit="1"/>
    </xf>
    <xf numFmtId="174" fontId="20" fillId="7" borderId="43" xfId="0" applyNumberFormat="1" applyFont="1" applyFill="1" applyBorder="1" applyAlignment="1">
      <alignment horizontal="center" vertical="center" shrinkToFit="1"/>
    </xf>
    <xf numFmtId="174" fontId="20" fillId="7" borderId="44" xfId="0" applyNumberFormat="1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74" fontId="20" fillId="7" borderId="6" xfId="0" applyNumberFormat="1" applyFont="1" applyFill="1" applyBorder="1" applyAlignment="1">
      <alignment horizontal="center" vertical="center" shrinkToFit="1"/>
    </xf>
    <xf numFmtId="174" fontId="20" fillId="7" borderId="37" xfId="0" applyNumberFormat="1" applyFont="1" applyFill="1" applyBorder="1" applyAlignment="1">
      <alignment horizontal="center" vertical="center" shrinkToFit="1"/>
    </xf>
    <xf numFmtId="174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166" fontId="20" fillId="7" borderId="30" xfId="0" applyNumberFormat="1" applyFont="1" applyFill="1" applyBorder="1" applyAlignment="1">
      <alignment horizontal="center" vertical="center" shrinkToFit="1"/>
    </xf>
    <xf numFmtId="166" fontId="20" fillId="7" borderId="43" xfId="0" applyNumberFormat="1" applyFont="1" applyFill="1" applyBorder="1" applyAlignment="1">
      <alignment horizontal="center" vertical="center" shrinkToFit="1"/>
    </xf>
    <xf numFmtId="166" fontId="20" fillId="7" borderId="44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7" borderId="6" xfId="0" applyNumberFormat="1" applyFont="1" applyFill="1" applyBorder="1" applyAlignment="1">
      <alignment horizontal="center" vertical="center" shrinkToFit="1"/>
    </xf>
    <xf numFmtId="166" fontId="20" fillId="7" borderId="37" xfId="0" applyNumberFormat="1" applyFont="1" applyFill="1" applyBorder="1" applyAlignment="1">
      <alignment horizontal="center" vertical="center" shrinkToFit="1"/>
    </xf>
    <xf numFmtId="166" fontId="20" fillId="7" borderId="39" xfId="0" applyNumberFormat="1" applyFont="1" applyFill="1" applyBorder="1" applyAlignment="1">
      <alignment horizontal="center" vertical="center" shrinkToFit="1"/>
    </xf>
    <xf numFmtId="166" fontId="20" fillId="11" borderId="30" xfId="0" applyNumberFormat="1" applyFont="1" applyFill="1" applyBorder="1" applyAlignment="1">
      <alignment horizontal="center" vertical="center" shrinkToFit="1"/>
    </xf>
    <xf numFmtId="166" fontId="20" fillId="11" borderId="43" xfId="0" applyNumberFormat="1" applyFont="1" applyFill="1" applyBorder="1" applyAlignment="1">
      <alignment horizontal="center" vertical="center" shrinkToFit="1"/>
    </xf>
    <xf numFmtId="166" fontId="20" fillId="11" borderId="44" xfId="0" applyNumberFormat="1" applyFont="1" applyFill="1" applyBorder="1" applyAlignment="1">
      <alignment horizontal="center" vertical="center" shrinkToFit="1"/>
    </xf>
    <xf numFmtId="166" fontId="20" fillId="11" borderId="45" xfId="0" applyNumberFormat="1" applyFont="1" applyFill="1" applyBorder="1" applyAlignment="1">
      <alignment horizontal="center" vertical="center" shrinkToFit="1"/>
    </xf>
    <xf numFmtId="166" fontId="20" fillId="11" borderId="0" xfId="0" applyNumberFormat="1" applyFont="1" applyFill="1" applyAlignment="1">
      <alignment horizontal="center" vertical="center" shrinkToFit="1"/>
    </xf>
    <xf numFmtId="166" fontId="20" fillId="11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30" xfId="0" applyNumberFormat="1" applyFont="1" applyFill="1" applyBorder="1" applyAlignment="1">
      <alignment horizontal="center" vertical="center" shrinkToFit="1"/>
    </xf>
    <xf numFmtId="174" fontId="20" fillId="11" borderId="43" xfId="0" applyNumberFormat="1" applyFont="1" applyFill="1" applyBorder="1" applyAlignment="1">
      <alignment horizontal="center" vertical="center" shrinkToFit="1"/>
    </xf>
    <xf numFmtId="174" fontId="20" fillId="11" borderId="44" xfId="0" applyNumberFormat="1" applyFont="1" applyFill="1" applyBorder="1" applyAlignment="1">
      <alignment horizontal="center" vertical="center" shrinkToFit="1"/>
    </xf>
    <xf numFmtId="174" fontId="20" fillId="11" borderId="45" xfId="0" applyNumberFormat="1" applyFont="1" applyFill="1" applyBorder="1" applyAlignment="1">
      <alignment horizontal="center" vertical="center" shrinkToFit="1"/>
    </xf>
    <xf numFmtId="174" fontId="20" fillId="11" borderId="0" xfId="0" applyNumberFormat="1" applyFont="1" applyFill="1" applyAlignment="1">
      <alignment horizontal="center" vertical="center" shrinkToFit="1"/>
    </xf>
    <xf numFmtId="174" fontId="20" fillId="11" borderId="46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167" fontId="4" fillId="7" borderId="2" xfId="0" applyNumberFormat="1" applyFont="1" applyFill="1" applyBorder="1" applyAlignment="1">
      <alignment horizontal="center" vertical="center" shrinkToFit="1"/>
    </xf>
    <xf numFmtId="167" fontId="4" fillId="7" borderId="29" xfId="0" applyNumberFormat="1" applyFont="1" applyFill="1" applyBorder="1" applyAlignment="1">
      <alignment horizontal="center" vertical="center" shrinkToFit="1"/>
    </xf>
    <xf numFmtId="167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74" fontId="20" fillId="0" borderId="1" xfId="0" applyNumberFormat="1" applyFont="1" applyBorder="1" applyAlignment="1">
      <alignment horizontal="center" vertical="center" shrinkToFit="1"/>
    </xf>
    <xf numFmtId="174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74" fontId="20" fillId="12" borderId="5" xfId="0" applyNumberFormat="1" applyFont="1" applyFill="1" applyBorder="1" applyAlignment="1">
      <alignment horizontal="center" vertical="center" shrinkToFit="1"/>
    </xf>
    <xf numFmtId="174" fontId="20" fillId="12" borderId="56" xfId="0" applyNumberFormat="1" applyFont="1" applyFill="1" applyBorder="1" applyAlignment="1">
      <alignment horizontal="center" vertical="center" shrinkToFit="1"/>
    </xf>
    <xf numFmtId="174" fontId="20" fillId="12" borderId="64" xfId="0" applyNumberFormat="1" applyFont="1" applyFill="1" applyBorder="1" applyAlignment="1">
      <alignment horizontal="center" vertical="center" shrinkToFit="1"/>
    </xf>
    <xf numFmtId="166" fontId="20" fillId="12" borderId="5" xfId="0" applyNumberFormat="1" applyFont="1" applyFill="1" applyBorder="1" applyAlignment="1">
      <alignment horizontal="center" vertical="center" shrinkToFit="1"/>
    </xf>
    <xf numFmtId="166" fontId="20" fillId="12" borderId="56" xfId="0" applyNumberFormat="1" applyFont="1" applyFill="1" applyBorder="1" applyAlignment="1">
      <alignment horizontal="center" vertical="center" shrinkToFit="1"/>
    </xf>
    <xf numFmtId="166" fontId="20" fillId="12" borderId="64" xfId="0" applyNumberFormat="1" applyFont="1" applyFill="1" applyBorder="1" applyAlignment="1">
      <alignment horizontal="center" vertical="center" shrinkToFit="1"/>
    </xf>
    <xf numFmtId="167" fontId="20" fillId="0" borderId="1" xfId="0" applyNumberFormat="1" applyFont="1" applyBorder="1" applyAlignment="1">
      <alignment horizontal="center" vertical="center" shrinkToFit="1"/>
    </xf>
    <xf numFmtId="167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67" fontId="20" fillId="0" borderId="15" xfId="0" applyNumberFormat="1" applyFont="1" applyBorder="1" applyAlignment="1">
      <alignment horizontal="center" vertical="center" shrinkToFit="1"/>
    </xf>
    <xf numFmtId="167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16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abSelected="1" zoomScale="110" zoomScaleNormal="110" zoomScaleSheetLayoutView="100" workbookViewId="0">
      <selection activeCell="S8" sqref="S8"/>
    </sheetView>
  </sheetViews>
  <sheetFormatPr defaultColWidth="9" defaultRowHeight="15"/>
  <cols>
    <col min="1" max="1" width="5.140625" style="14" bestFit="1" customWidth="1"/>
    <col min="2" max="2" width="7.5703125" style="14" customWidth="1"/>
    <col min="3" max="3" width="8.5703125" style="14" customWidth="1"/>
    <col min="4" max="4" width="10.28515625" style="183" customWidth="1"/>
    <col min="5" max="5" width="5.7109375" style="156" customWidth="1"/>
    <col min="6" max="6" width="5.5703125" style="14" customWidth="1"/>
    <col min="7" max="7" width="7.28515625" style="14" customWidth="1"/>
    <col min="8" max="8" width="6.7109375" style="14" customWidth="1"/>
    <col min="9" max="11" width="6.7109375" style="156" customWidth="1"/>
    <col min="12" max="13" width="6.7109375" style="14" customWidth="1"/>
    <col min="14" max="14" width="7.7109375" style="14" customWidth="1"/>
    <col min="15" max="15" width="5.42578125" style="156" customWidth="1"/>
    <col min="16" max="17" width="4.5703125" style="156" customWidth="1"/>
    <col min="18" max="18" width="9.5703125" style="14" customWidth="1"/>
    <col min="19" max="20" width="7.7109375" style="53" customWidth="1"/>
    <col min="21" max="21" width="7.7109375" style="36" customWidth="1"/>
    <col min="22" max="25" width="11.140625" style="14" customWidth="1"/>
    <col min="26" max="26" width="11.42578125" style="14" customWidth="1"/>
    <col min="27" max="27" width="11.5703125" style="14" customWidth="1"/>
    <col min="28" max="29" width="10.42578125" style="14" customWidth="1"/>
    <col min="30" max="30" width="9.85546875" style="14" customWidth="1"/>
    <col min="31" max="31" width="10.7109375" style="14" customWidth="1"/>
    <col min="32" max="32" width="11.7109375" style="14" customWidth="1"/>
    <col min="33" max="33" width="14" style="14" customWidth="1"/>
    <col min="34" max="34" width="11.140625" style="14" customWidth="1"/>
    <col min="35" max="35" width="12" style="14" customWidth="1"/>
    <col min="36" max="36" width="9" style="14"/>
    <col min="37" max="37" width="10.5703125" style="14" customWidth="1"/>
    <col min="38" max="38" width="12" style="14" customWidth="1"/>
    <col min="39" max="39" width="10.28515625" style="14" customWidth="1"/>
    <col min="40" max="41" width="9" style="14"/>
    <col min="42" max="42" width="10.85546875" style="14" customWidth="1"/>
    <col min="43" max="43" width="13.7109375" style="14" customWidth="1"/>
    <col min="44" max="44" width="10.85546875" style="14" customWidth="1"/>
    <col min="45" max="16384" width="9" style="14"/>
  </cols>
  <sheetData>
    <row r="1" spans="1:44" ht="15.75" thickBot="1">
      <c r="A1" s="249" t="s">
        <v>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1"/>
    </row>
    <row r="2" spans="1:44" ht="15.75" thickBot="1">
      <c r="A2" s="249" t="s">
        <v>98</v>
      </c>
      <c r="B2" s="250"/>
      <c r="C2" s="250"/>
      <c r="D2" s="250"/>
      <c r="E2" s="250"/>
      <c r="F2" s="250"/>
      <c r="G2" s="251"/>
      <c r="H2" s="252" t="s">
        <v>49</v>
      </c>
      <c r="I2" s="253"/>
      <c r="J2" s="249" t="s">
        <v>99</v>
      </c>
      <c r="K2" s="251"/>
      <c r="L2" s="253" t="s">
        <v>96</v>
      </c>
      <c r="M2" s="254"/>
      <c r="N2" s="252"/>
      <c r="O2" s="250" t="s">
        <v>100</v>
      </c>
      <c r="P2" s="250"/>
      <c r="Q2" s="251"/>
      <c r="R2" s="253" t="s">
        <v>51</v>
      </c>
      <c r="S2" s="252"/>
      <c r="T2" s="255">
        <v>4</v>
      </c>
      <c r="U2" s="255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>
      <c r="A3" s="15" t="s">
        <v>6</v>
      </c>
      <c r="H3" s="9"/>
      <c r="I3" s="18"/>
      <c r="T3" s="10"/>
      <c r="U3" s="11"/>
    </row>
    <row r="4" spans="1:44" ht="15.75" thickBot="1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59" t="s">
        <v>8</v>
      </c>
      <c r="P4" s="259"/>
      <c r="Q4" s="259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>
      <c r="A5" s="118">
        <v>1</v>
      </c>
      <c r="B5" s="119">
        <v>17798</v>
      </c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260"/>
      <c r="P5" s="261"/>
      <c r="Q5" s="262"/>
      <c r="R5" s="32" t="s">
        <v>100</v>
      </c>
      <c r="S5" s="30">
        <v>0.29166666666666669</v>
      </c>
      <c r="T5" s="31"/>
      <c r="U5" s="83">
        <f t="shared" ref="U5:U15" si="0">(T5-S5)*24</f>
        <v>-7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17799</v>
      </c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63"/>
      <c r="P6" s="264"/>
      <c r="Q6" s="265"/>
      <c r="R6" s="122" t="s">
        <v>101</v>
      </c>
      <c r="S6" s="30">
        <v>0.35416666666666669</v>
      </c>
      <c r="T6" s="31"/>
      <c r="U6" s="83">
        <f t="shared" si="0"/>
        <v>-8.5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17800</v>
      </c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6"/>
      <c r="P7" s="267"/>
      <c r="Q7" s="268"/>
      <c r="R7" s="124" t="s">
        <v>102</v>
      </c>
      <c r="S7" s="30">
        <v>0.35416666666666669</v>
      </c>
      <c r="T7" s="31"/>
      <c r="U7" s="83">
        <f t="shared" si="0"/>
        <v>-8.5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17801</v>
      </c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69"/>
      <c r="P8" s="270"/>
      <c r="Q8" s="271"/>
      <c r="R8" s="25" t="s">
        <v>103</v>
      </c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17802</v>
      </c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69"/>
      <c r="P9" s="270"/>
      <c r="Q9" s="271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17803</v>
      </c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56"/>
      <c r="P10" s="257"/>
      <c r="Q10" s="25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17804</v>
      </c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6"/>
      <c r="P11" s="267"/>
      <c r="Q11" s="2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17805</v>
      </c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6"/>
      <c r="P12" s="267"/>
      <c r="Q12" s="2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17806</v>
      </c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6"/>
      <c r="P13" s="267"/>
      <c r="Q13" s="268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17807</v>
      </c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6"/>
      <c r="P14" s="267"/>
      <c r="Q14" s="268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17808</v>
      </c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6"/>
      <c r="P15" s="267"/>
      <c r="Q15" s="2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17809</v>
      </c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6"/>
      <c r="P16" s="267"/>
      <c r="Q16" s="268"/>
      <c r="R16" s="73">
        <f>H32/U16</f>
        <v>-0.91666666666666663</v>
      </c>
      <c r="S16" s="74">
        <f>H32/(U16-U5)</f>
        <v>-1.2941176470588236</v>
      </c>
      <c r="T16" s="74">
        <f>C32/U16</f>
        <v>0</v>
      </c>
      <c r="U16" s="74">
        <f>SUM(U5:U15)</f>
        <v>-24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17810</v>
      </c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6"/>
      <c r="P17" s="267"/>
      <c r="Q17" s="26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17811</v>
      </c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6"/>
      <c r="P18" s="267"/>
      <c r="Q18" s="26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17812</v>
      </c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6"/>
      <c r="P19" s="267"/>
      <c r="Q19" s="267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17813</v>
      </c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74"/>
      <c r="P20" s="275"/>
      <c r="Q20" s="27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>
        <v>17814</v>
      </c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6"/>
      <c r="P21" s="267"/>
      <c r="Q21" s="267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17815</v>
      </c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6"/>
      <c r="P22" s="267"/>
      <c r="Q22" s="26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17816</v>
      </c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278"/>
      <c r="P23" s="279"/>
      <c r="Q23" s="280"/>
      <c r="R23" s="104"/>
      <c r="S23" s="105"/>
      <c r="T23" s="105"/>
      <c r="U23" s="106"/>
      <c r="X23" s="272"/>
      <c r="Y23" s="273"/>
      <c r="Z23" s="273"/>
    </row>
    <row r="24" spans="1:44" ht="16.5" customHeight="1" thickBot="1">
      <c r="A24" s="125">
        <v>20</v>
      </c>
      <c r="B24" s="123">
        <v>17817</v>
      </c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6"/>
      <c r="P24" s="267"/>
      <c r="Q24" s="2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>
      <c r="A25" s="125">
        <v>21</v>
      </c>
      <c r="B25" s="119">
        <v>17818</v>
      </c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6"/>
      <c r="P25" s="267"/>
      <c r="Q25" s="26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76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>
        <v>17819</v>
      </c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6"/>
      <c r="P26" s="267"/>
      <c r="Q26" s="268"/>
      <c r="R26" s="103">
        <f>R25*37.5</f>
        <v>0</v>
      </c>
      <c r="S26" s="93">
        <f>S25*41.5</f>
        <v>0</v>
      </c>
      <c r="T26" s="93">
        <f>T25*50</f>
        <v>0</v>
      </c>
      <c r="U26" s="277"/>
      <c r="X26" s="41" t="s">
        <v>30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6"/>
      <c r="P27" s="267"/>
      <c r="Q27" s="268"/>
      <c r="R27" s="288" t="s">
        <v>56</v>
      </c>
      <c r="S27" s="289"/>
      <c r="T27" s="289"/>
      <c r="U27" s="290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6"/>
      <c r="P28" s="267"/>
      <c r="Q28" s="268"/>
      <c r="R28" s="281"/>
      <c r="S28" s="282"/>
      <c r="T28" s="283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297"/>
      <c r="P29" s="298"/>
      <c r="Q29" s="299"/>
      <c r="R29" s="300"/>
      <c r="S29" s="301"/>
      <c r="T29" s="302"/>
      <c r="U29" s="140"/>
      <c r="X29" s="14">
        <v>3</v>
      </c>
      <c r="Z29" s="45"/>
      <c r="AE29" s="39"/>
    </row>
    <row r="30" spans="1:44" ht="16.5" customHeight="1" thickBot="1">
      <c r="A30" s="303" t="s">
        <v>48</v>
      </c>
      <c r="B30" s="304"/>
      <c r="C30" s="304"/>
      <c r="D30" s="304"/>
      <c r="E30" s="305"/>
      <c r="F30" s="304"/>
      <c r="G30" s="304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06"/>
      <c r="S30" s="306"/>
      <c r="T30" s="307"/>
      <c r="U30" s="141"/>
      <c r="X30" s="14">
        <v>4</v>
      </c>
      <c r="Z30" s="45"/>
      <c r="AD30" s="46"/>
    </row>
    <row r="31" spans="1:44">
      <c r="A31" s="308" t="s">
        <v>16</v>
      </c>
      <c r="B31" s="309"/>
      <c r="C31" s="309"/>
      <c r="D31" s="309"/>
      <c r="E31" s="309"/>
      <c r="F31" s="309"/>
      <c r="G31" s="309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293">
        <f>H31+I31+L31+M31</f>
        <v>0</v>
      </c>
      <c r="U31" s="294"/>
      <c r="X31" s="47" t="s">
        <v>28</v>
      </c>
      <c r="Y31" s="47"/>
      <c r="Z31" s="47">
        <f>SUM(Z27:Z30)</f>
        <v>-2745</v>
      </c>
      <c r="AE31" s="39"/>
    </row>
    <row r="32" spans="1:44" ht="15.75" thickBot="1">
      <c r="A32" s="284" t="s">
        <v>55</v>
      </c>
      <c r="B32" s="285"/>
      <c r="C32" s="98">
        <f>H31+I31+J31+K31</f>
        <v>0</v>
      </c>
      <c r="D32" s="186"/>
      <c r="E32" s="98"/>
      <c r="F32" s="286" t="s">
        <v>53</v>
      </c>
      <c r="G32" s="286"/>
      <c r="H32" s="100">
        <f>COUNT(B5:B29,B37:B61,B69:B93)</f>
        <v>22</v>
      </c>
      <c r="I32" s="287" t="s">
        <v>54</v>
      </c>
      <c r="J32" s="287"/>
      <c r="K32" s="99">
        <f>C32/H32</f>
        <v>0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295"/>
      <c r="U32" s="296"/>
      <c r="V32" s="39"/>
      <c r="W32" s="39"/>
      <c r="X32" s="48" t="s">
        <v>27</v>
      </c>
      <c r="Y32" s="48"/>
      <c r="Z32" s="47">
        <f>I31</f>
        <v>0</v>
      </c>
    </row>
    <row r="33" spans="1:33" ht="15.75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50"/>
      <c r="U33" s="251"/>
      <c r="X33" s="49" t="s">
        <v>29</v>
      </c>
      <c r="Y33" s="49"/>
      <c r="Z33" s="50">
        <f>SUM(Z31:Z32)</f>
        <v>-2745</v>
      </c>
      <c r="AG33" s="35"/>
    </row>
    <row r="34" spans="1:33" ht="15.75" thickBot="1">
      <c r="A34" s="249" t="str">
        <f>A2</f>
        <v>18/9 / 2023</v>
      </c>
      <c r="B34" s="250"/>
      <c r="C34" s="250"/>
      <c r="D34" s="250"/>
      <c r="E34" s="250"/>
      <c r="F34" s="250"/>
      <c r="G34" s="251"/>
      <c r="H34" s="252" t="s">
        <v>49</v>
      </c>
      <c r="I34" s="253"/>
      <c r="J34" s="249" t="str">
        <f>J2</f>
        <v>FINE</v>
      </c>
      <c r="K34" s="251"/>
      <c r="L34" s="253" t="s">
        <v>50</v>
      </c>
      <c r="M34" s="254"/>
      <c r="N34" s="252"/>
      <c r="O34" s="250" t="str">
        <f>O2</f>
        <v>TONY Y</v>
      </c>
      <c r="P34" s="250"/>
      <c r="Q34" s="251"/>
      <c r="R34" s="253" t="s">
        <v>51</v>
      </c>
      <c r="S34" s="252"/>
      <c r="T34" s="255">
        <f>T2</f>
        <v>4</v>
      </c>
      <c r="U34" s="255"/>
      <c r="Z34" s="39"/>
    </row>
    <row r="35" spans="1:33" ht="15.75" thickBot="1">
      <c r="A35" s="15" t="s">
        <v>6</v>
      </c>
      <c r="H35" s="9"/>
      <c r="I35" s="18"/>
      <c r="T35" s="10"/>
      <c r="U35" s="11"/>
    </row>
    <row r="36" spans="1:33" ht="15.75" thickBot="1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59" t="s">
        <v>8</v>
      </c>
      <c r="P36" s="259"/>
      <c r="Q36" s="259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6"/>
      <c r="P37" s="267"/>
      <c r="Q37" s="268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63"/>
      <c r="P38" s="264"/>
      <c r="Q38" s="265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6"/>
      <c r="P39" s="267"/>
      <c r="Q39" s="268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69"/>
      <c r="P40" s="270"/>
      <c r="Q40" s="271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69"/>
      <c r="P41" s="270"/>
      <c r="Q41" s="271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56"/>
      <c r="P42" s="257"/>
      <c r="Q42" s="258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6"/>
      <c r="P43" s="267"/>
      <c r="Q43" s="268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6"/>
      <c r="P44" s="267"/>
      <c r="Q44" s="268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6"/>
      <c r="P45" s="267"/>
      <c r="Q45" s="268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6"/>
      <c r="P46" s="267"/>
      <c r="Q46" s="268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6"/>
      <c r="P47" s="267"/>
      <c r="Q47" s="268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6"/>
      <c r="P48" s="267"/>
      <c r="Q48" s="268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6"/>
      <c r="P49" s="267"/>
      <c r="Q49" s="268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6"/>
      <c r="P50" s="267"/>
      <c r="Q50" s="268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6"/>
      <c r="P51" s="267"/>
      <c r="Q51" s="267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6"/>
      <c r="P52" s="267"/>
      <c r="Q52" s="267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0"/>
      <c r="P53" s="266"/>
      <c r="Q53" s="266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0"/>
      <c r="P54" s="266"/>
      <c r="Q54" s="266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0"/>
      <c r="P55" s="266"/>
      <c r="Q55" s="266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7"/>
      <c r="P56" s="267"/>
      <c r="Q56" s="267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6"/>
      <c r="P57" s="267"/>
      <c r="Q57" s="267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7"/>
      <c r="P58" s="267"/>
      <c r="Q58" s="267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7"/>
      <c r="P59" s="267"/>
      <c r="Q59" s="267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6"/>
      <c r="P60" s="267"/>
      <c r="Q60" s="268"/>
      <c r="R60" s="72"/>
      <c r="S60" s="59"/>
      <c r="T60" s="59"/>
      <c r="U60" s="68"/>
    </row>
    <row r="61" spans="1:21" ht="15.7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1"/>
      <c r="P61" s="312"/>
      <c r="Q61" s="313"/>
      <c r="R61" s="72"/>
      <c r="S61" s="59"/>
      <c r="T61" s="59"/>
      <c r="U61" s="68"/>
    </row>
    <row r="62" spans="1:21">
      <c r="A62" s="314" t="s">
        <v>48</v>
      </c>
      <c r="B62" s="315"/>
      <c r="C62" s="315"/>
      <c r="D62" s="315"/>
      <c r="E62" s="315"/>
      <c r="F62" s="315"/>
      <c r="G62" s="315"/>
      <c r="H62" s="315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329"/>
      <c r="O62" s="330"/>
      <c r="P62" s="330"/>
      <c r="Q62" s="331"/>
      <c r="R62" s="5"/>
      <c r="S62" s="6"/>
      <c r="T62" s="7"/>
      <c r="U62" s="8"/>
    </row>
    <row r="63" spans="1:21" ht="15.75" thickBot="1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332"/>
      <c r="O63" s="333"/>
      <c r="P63" s="333"/>
      <c r="Q63" s="334"/>
      <c r="R63" s="1"/>
      <c r="S63" s="2"/>
      <c r="T63" s="3"/>
      <c r="U63" s="4"/>
    </row>
    <row r="64" spans="1:21" ht="15.75" thickBot="1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291"/>
      <c r="O64" s="292"/>
      <c r="P64" s="292"/>
      <c r="Q64" s="335"/>
      <c r="R64" s="336" t="s">
        <v>17</v>
      </c>
      <c r="S64" s="337"/>
      <c r="T64" s="337"/>
      <c r="U64" s="338"/>
    </row>
    <row r="65" spans="1:21" ht="15.75" thickBot="1">
      <c r="A65" s="249" t="s">
        <v>24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</row>
    <row r="66" spans="1:21" ht="15.75" thickBot="1">
      <c r="A66" s="249" t="str">
        <f>A34</f>
        <v>18/9 / 2023</v>
      </c>
      <c r="B66" s="250"/>
      <c r="C66" s="250"/>
      <c r="D66" s="250"/>
      <c r="E66" s="250"/>
      <c r="F66" s="250"/>
      <c r="G66" s="251"/>
      <c r="H66" s="252" t="s">
        <v>49</v>
      </c>
      <c r="I66" s="253"/>
      <c r="J66" s="249" t="str">
        <f>J34</f>
        <v>FINE</v>
      </c>
      <c r="K66" s="251"/>
      <c r="L66" s="253" t="s">
        <v>50</v>
      </c>
      <c r="M66" s="254"/>
      <c r="N66" s="252"/>
      <c r="O66" s="250" t="str">
        <f>O34</f>
        <v>TONY Y</v>
      </c>
      <c r="P66" s="250"/>
      <c r="Q66" s="251"/>
      <c r="R66" s="253" t="s">
        <v>51</v>
      </c>
      <c r="S66" s="252"/>
      <c r="T66" s="255">
        <f>T34</f>
        <v>4</v>
      </c>
      <c r="U66" s="255"/>
    </row>
    <row r="67" spans="1:21" ht="15.75" thickBot="1">
      <c r="A67" s="15" t="s">
        <v>6</v>
      </c>
      <c r="H67" s="9"/>
      <c r="I67" s="18"/>
      <c r="T67" s="10"/>
      <c r="U67" s="11"/>
    </row>
    <row r="68" spans="1:21" ht="15.75" thickBot="1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59" t="s">
        <v>8</v>
      </c>
      <c r="P68" s="259"/>
      <c r="Q68" s="259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6"/>
      <c r="P69" s="267"/>
      <c r="Q69" s="268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63"/>
      <c r="P70" s="264"/>
      <c r="Q70" s="265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6"/>
      <c r="P71" s="267"/>
      <c r="Q71" s="268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69"/>
      <c r="P72" s="270"/>
      <c r="Q72" s="271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69"/>
      <c r="P73" s="270"/>
      <c r="Q73" s="271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56"/>
      <c r="P74" s="257"/>
      <c r="Q74" s="258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6"/>
      <c r="P75" s="267"/>
      <c r="Q75" s="268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6"/>
      <c r="P76" s="267"/>
      <c r="Q76" s="268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6"/>
      <c r="P77" s="267"/>
      <c r="Q77" s="268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6"/>
      <c r="P78" s="267"/>
      <c r="Q78" s="268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6"/>
      <c r="P79" s="267"/>
      <c r="Q79" s="268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6"/>
      <c r="P80" s="267"/>
      <c r="Q80" s="268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6"/>
      <c r="P81" s="267"/>
      <c r="Q81" s="268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6"/>
      <c r="P82" s="267"/>
      <c r="Q82" s="268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6"/>
      <c r="P83" s="267"/>
      <c r="Q83" s="267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6"/>
      <c r="P84" s="267"/>
      <c r="Q84" s="267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0"/>
      <c r="P85" s="266"/>
      <c r="Q85" s="266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0"/>
      <c r="P86" s="266"/>
      <c r="Q86" s="266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0"/>
      <c r="P87" s="266"/>
      <c r="Q87" s="266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7"/>
      <c r="P88" s="267"/>
      <c r="Q88" s="267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6"/>
      <c r="P89" s="267"/>
      <c r="Q89" s="267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7"/>
      <c r="P90" s="267"/>
      <c r="Q90" s="267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7"/>
      <c r="P91" s="267"/>
      <c r="Q91" s="267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6"/>
      <c r="P92" s="267"/>
      <c r="Q92" s="268"/>
      <c r="R92" s="72"/>
      <c r="S92" s="59"/>
      <c r="T92" s="59"/>
      <c r="U92" s="68"/>
    </row>
    <row r="93" spans="1:21" ht="15.7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1"/>
      <c r="P93" s="312"/>
      <c r="Q93" s="313"/>
      <c r="R93" s="72"/>
      <c r="S93" s="59"/>
      <c r="T93" s="59"/>
      <c r="U93" s="68"/>
    </row>
    <row r="94" spans="1:21">
      <c r="A94" s="314" t="s">
        <v>48</v>
      </c>
      <c r="B94" s="315"/>
      <c r="C94" s="315"/>
      <c r="D94" s="315"/>
      <c r="E94" s="339"/>
      <c r="F94" s="315"/>
      <c r="G94" s="315"/>
      <c r="H94" s="315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329"/>
      <c r="O94" s="330"/>
      <c r="P94" s="330"/>
      <c r="Q94" s="331"/>
      <c r="R94" s="5"/>
      <c r="S94" s="6"/>
      <c r="T94" s="7"/>
      <c r="U94" s="8"/>
    </row>
    <row r="95" spans="1:21" ht="15.75" thickBot="1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332"/>
      <c r="O95" s="333"/>
      <c r="P95" s="333"/>
      <c r="Q95" s="334"/>
      <c r="R95" s="1"/>
      <c r="S95" s="2"/>
      <c r="T95" s="3"/>
      <c r="U95" s="4"/>
    </row>
    <row r="96" spans="1:21" ht="15.75" thickBot="1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291"/>
      <c r="O96" s="292"/>
      <c r="P96" s="292"/>
      <c r="Q96" s="335"/>
      <c r="R96" s="336" t="s">
        <v>52</v>
      </c>
      <c r="S96" s="337"/>
      <c r="T96" s="337"/>
      <c r="U96" s="338"/>
    </row>
  </sheetData>
  <mergeCells count="132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3:Q23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A3" sqref="A3"/>
    </sheetView>
  </sheetViews>
  <sheetFormatPr defaultColWidth="9" defaultRowHeight="15"/>
  <cols>
    <col min="1" max="1" width="5.140625" style="14" bestFit="1" customWidth="1"/>
    <col min="2" max="2" width="7.5703125" style="14" customWidth="1"/>
    <col min="3" max="3" width="8.5703125" style="14" customWidth="1"/>
    <col min="4" max="4" width="10.28515625" style="183" customWidth="1"/>
    <col min="5" max="5" width="5.7109375" style="156" customWidth="1"/>
    <col min="6" max="6" width="5.5703125" style="14" customWidth="1"/>
    <col min="7" max="7" width="7.28515625" style="14" customWidth="1"/>
    <col min="8" max="8" width="6.7109375" style="14" customWidth="1"/>
    <col min="9" max="11" width="6.7109375" style="156" customWidth="1"/>
    <col min="12" max="13" width="6.7109375" style="14" customWidth="1"/>
    <col min="14" max="14" width="7.7109375" style="14" customWidth="1"/>
    <col min="15" max="15" width="5.42578125" style="156" customWidth="1"/>
    <col min="16" max="17" width="4.5703125" style="156" customWidth="1"/>
    <col min="18" max="18" width="9.5703125" style="14" customWidth="1"/>
    <col min="19" max="20" width="7.7109375" style="53" customWidth="1"/>
    <col min="21" max="21" width="7.7109375" style="36" customWidth="1"/>
    <col min="22" max="25" width="11.140625" style="14" customWidth="1"/>
    <col min="26" max="26" width="11.42578125" style="14" customWidth="1"/>
    <col min="27" max="27" width="11.5703125" style="14" customWidth="1"/>
    <col min="28" max="29" width="10.42578125" style="14" customWidth="1"/>
    <col min="30" max="30" width="9.85546875" style="14" customWidth="1"/>
    <col min="31" max="31" width="10.7109375" style="14" customWidth="1"/>
    <col min="32" max="32" width="11.7109375" style="14" customWidth="1"/>
    <col min="33" max="33" width="14" style="14" customWidth="1"/>
    <col min="34" max="34" width="11.140625" style="14" customWidth="1"/>
    <col min="35" max="35" width="12" style="14" customWidth="1"/>
    <col min="36" max="36" width="9" style="14"/>
    <col min="37" max="37" width="10.5703125" style="14" customWidth="1"/>
    <col min="38" max="38" width="12" style="14" customWidth="1"/>
    <col min="39" max="39" width="10.28515625" style="14" customWidth="1"/>
    <col min="40" max="41" width="9" style="14"/>
    <col min="42" max="42" width="10.85546875" style="14" customWidth="1"/>
    <col min="43" max="43" width="13.7109375" style="14" customWidth="1"/>
    <col min="44" max="44" width="10.85546875" style="14" customWidth="1"/>
    <col min="45" max="16384" width="9" style="14"/>
  </cols>
  <sheetData>
    <row r="1" spans="1:44" ht="15.75" thickBot="1">
      <c r="A1" s="249" t="s">
        <v>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1"/>
    </row>
    <row r="2" spans="1:44" ht="15.75" thickBot="1">
      <c r="A2" s="249" t="s">
        <v>97</v>
      </c>
      <c r="B2" s="250"/>
      <c r="C2" s="250"/>
      <c r="D2" s="250"/>
      <c r="E2" s="250"/>
      <c r="F2" s="250"/>
      <c r="G2" s="251"/>
      <c r="H2" s="252" t="s">
        <v>49</v>
      </c>
      <c r="I2" s="253"/>
      <c r="J2" s="249"/>
      <c r="K2" s="251"/>
      <c r="L2" s="253" t="s">
        <v>96</v>
      </c>
      <c r="M2" s="254"/>
      <c r="N2" s="252"/>
      <c r="O2" s="250"/>
      <c r="P2" s="250"/>
      <c r="Q2" s="251"/>
      <c r="R2" s="253" t="s">
        <v>51</v>
      </c>
      <c r="S2" s="252"/>
      <c r="T2" s="255"/>
      <c r="U2" s="255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>
      <c r="A3" s="15" t="s">
        <v>6</v>
      </c>
      <c r="H3" s="9"/>
      <c r="I3" s="18"/>
      <c r="T3" s="10"/>
      <c r="U3" s="11"/>
    </row>
    <row r="4" spans="1:44" ht="15.75" thickBot="1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59" t="s">
        <v>8</v>
      </c>
      <c r="P4" s="259"/>
      <c r="Q4" s="259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260"/>
      <c r="P5" s="261"/>
      <c r="Q5" s="262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63"/>
      <c r="P6" s="264"/>
      <c r="Q6" s="265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6"/>
      <c r="P7" s="267"/>
      <c r="Q7" s="268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69"/>
      <c r="P8" s="270"/>
      <c r="Q8" s="271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69"/>
      <c r="P9" s="270"/>
      <c r="Q9" s="271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56"/>
      <c r="P10" s="257"/>
      <c r="Q10" s="25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6"/>
      <c r="P11" s="267"/>
      <c r="Q11" s="2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6"/>
      <c r="P12" s="267"/>
      <c r="Q12" s="2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6"/>
      <c r="P13" s="267"/>
      <c r="Q13" s="268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6"/>
      <c r="P14" s="267"/>
      <c r="Q14" s="268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6"/>
      <c r="P15" s="267"/>
      <c r="Q15" s="2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6"/>
      <c r="P16" s="267"/>
      <c r="Q16" s="268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6"/>
      <c r="P17" s="267"/>
      <c r="Q17" s="26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6"/>
      <c r="P18" s="267"/>
      <c r="Q18" s="26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6"/>
      <c r="P19" s="267"/>
      <c r="Q19" s="267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74"/>
      <c r="P20" s="275"/>
      <c r="Q20" s="27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6"/>
      <c r="P21" s="267"/>
      <c r="Q21" s="267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6"/>
      <c r="P22" s="267"/>
      <c r="Q22" s="26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72"/>
      <c r="Y23" s="273"/>
      <c r="Z23" s="273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6"/>
      <c r="P24" s="267"/>
      <c r="Q24" s="2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6"/>
      <c r="P25" s="267"/>
      <c r="Q25" s="26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76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6"/>
      <c r="P26" s="267"/>
      <c r="Q26" s="268"/>
      <c r="R26" s="103">
        <f>R25*37.5</f>
        <v>0</v>
      </c>
      <c r="S26" s="93">
        <f>S25*41.5</f>
        <v>0</v>
      </c>
      <c r="T26" s="93">
        <f>T25*50</f>
        <v>0</v>
      </c>
      <c r="U26" s="277"/>
      <c r="X26" s="41" t="s">
        <v>30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6"/>
      <c r="P27" s="267"/>
      <c r="Q27" s="268"/>
      <c r="R27" s="288" t="s">
        <v>56</v>
      </c>
      <c r="S27" s="289"/>
      <c r="T27" s="289"/>
      <c r="U27" s="290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6"/>
      <c r="P28" s="267"/>
      <c r="Q28" s="268"/>
      <c r="R28" s="281"/>
      <c r="S28" s="282"/>
      <c r="T28" s="283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297"/>
      <c r="P29" s="298"/>
      <c r="Q29" s="299"/>
      <c r="R29" s="300"/>
      <c r="S29" s="301"/>
      <c r="T29" s="302"/>
      <c r="U29" s="140"/>
      <c r="X29" s="14">
        <v>3</v>
      </c>
      <c r="Z29" s="45"/>
      <c r="AE29" s="39"/>
    </row>
    <row r="30" spans="1:44" ht="16.5" customHeight="1" thickBot="1">
      <c r="A30" s="303" t="s">
        <v>48</v>
      </c>
      <c r="B30" s="304"/>
      <c r="C30" s="304"/>
      <c r="D30" s="304"/>
      <c r="E30" s="305"/>
      <c r="F30" s="304"/>
      <c r="G30" s="304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06"/>
      <c r="S30" s="306"/>
      <c r="T30" s="307"/>
      <c r="U30" s="141"/>
      <c r="X30" s="14">
        <v>4</v>
      </c>
      <c r="Z30" s="45"/>
      <c r="AD30" s="46"/>
    </row>
    <row r="31" spans="1:44">
      <c r="A31" s="308" t="s">
        <v>16</v>
      </c>
      <c r="B31" s="309"/>
      <c r="C31" s="309"/>
      <c r="D31" s="309"/>
      <c r="E31" s="309"/>
      <c r="F31" s="309"/>
      <c r="G31" s="309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293">
        <f>H31+I31+L31+M31</f>
        <v>0</v>
      </c>
      <c r="U31" s="294"/>
      <c r="X31" s="47" t="s">
        <v>28</v>
      </c>
      <c r="Y31" s="47"/>
      <c r="Z31" s="47">
        <f>SUM(Z27:Z30)</f>
        <v>-2745</v>
      </c>
      <c r="AE31" s="39"/>
    </row>
    <row r="32" spans="1:44" ht="15.75" thickBot="1">
      <c r="A32" s="284" t="s">
        <v>55</v>
      </c>
      <c r="B32" s="285"/>
      <c r="C32" s="98">
        <f>H31+I31+J31+K31</f>
        <v>0</v>
      </c>
      <c r="D32" s="186"/>
      <c r="E32" s="98"/>
      <c r="F32" s="286" t="s">
        <v>53</v>
      </c>
      <c r="G32" s="286"/>
      <c r="H32" s="100">
        <f>COUNT(B5:B29,B37:B61,B69:B93)</f>
        <v>0</v>
      </c>
      <c r="I32" s="287" t="s">
        <v>54</v>
      </c>
      <c r="J32" s="287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295"/>
      <c r="U32" s="296"/>
      <c r="V32" s="39"/>
      <c r="W32" s="39"/>
      <c r="X32" s="48" t="s">
        <v>27</v>
      </c>
      <c r="Y32" s="48"/>
      <c r="Z32" s="47">
        <f>I31</f>
        <v>0</v>
      </c>
    </row>
    <row r="33" spans="1:33" ht="15.75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50"/>
      <c r="U33" s="251"/>
      <c r="X33" s="49" t="s">
        <v>29</v>
      </c>
      <c r="Y33" s="49"/>
      <c r="Z33" s="50">
        <f>SUM(Z31:Z32)</f>
        <v>-2745</v>
      </c>
      <c r="AG33" s="35"/>
    </row>
    <row r="34" spans="1:33" ht="15.75" thickBot="1">
      <c r="A34" s="249" t="str">
        <f>A2</f>
        <v>/ / 2023</v>
      </c>
      <c r="B34" s="250"/>
      <c r="C34" s="250"/>
      <c r="D34" s="250"/>
      <c r="E34" s="250"/>
      <c r="F34" s="250"/>
      <c r="G34" s="251"/>
      <c r="H34" s="252" t="s">
        <v>49</v>
      </c>
      <c r="I34" s="253"/>
      <c r="J34" s="249">
        <f>J2</f>
        <v>0</v>
      </c>
      <c r="K34" s="251"/>
      <c r="L34" s="253" t="s">
        <v>50</v>
      </c>
      <c r="M34" s="254"/>
      <c r="N34" s="252"/>
      <c r="O34" s="250">
        <f>O2</f>
        <v>0</v>
      </c>
      <c r="P34" s="250"/>
      <c r="Q34" s="251"/>
      <c r="R34" s="253" t="s">
        <v>51</v>
      </c>
      <c r="S34" s="252"/>
      <c r="T34" s="255">
        <f>T2</f>
        <v>0</v>
      </c>
      <c r="U34" s="255"/>
      <c r="Z34" s="39"/>
    </row>
    <row r="35" spans="1:33" ht="15.75" thickBot="1">
      <c r="A35" s="15" t="s">
        <v>6</v>
      </c>
      <c r="H35" s="9"/>
      <c r="I35" s="18"/>
      <c r="T35" s="10"/>
      <c r="U35" s="11"/>
    </row>
    <row r="36" spans="1:33" ht="15.75" thickBot="1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59" t="s">
        <v>8</v>
      </c>
      <c r="P36" s="259"/>
      <c r="Q36" s="259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6"/>
      <c r="P37" s="267"/>
      <c r="Q37" s="268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63"/>
      <c r="P38" s="264"/>
      <c r="Q38" s="265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6"/>
      <c r="P39" s="267"/>
      <c r="Q39" s="268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69"/>
      <c r="P40" s="270"/>
      <c r="Q40" s="271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69"/>
      <c r="P41" s="270"/>
      <c r="Q41" s="271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56"/>
      <c r="P42" s="257"/>
      <c r="Q42" s="258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6"/>
      <c r="P43" s="267"/>
      <c r="Q43" s="268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6"/>
      <c r="P44" s="267"/>
      <c r="Q44" s="268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6"/>
      <c r="P45" s="267"/>
      <c r="Q45" s="268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6"/>
      <c r="P46" s="267"/>
      <c r="Q46" s="268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6"/>
      <c r="P47" s="267"/>
      <c r="Q47" s="268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6"/>
      <c r="P48" s="267"/>
      <c r="Q48" s="268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6"/>
      <c r="P49" s="267"/>
      <c r="Q49" s="268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6"/>
      <c r="P50" s="267"/>
      <c r="Q50" s="268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6"/>
      <c r="P51" s="267"/>
      <c r="Q51" s="267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6"/>
      <c r="P52" s="267"/>
      <c r="Q52" s="267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0"/>
      <c r="P53" s="266"/>
      <c r="Q53" s="266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0"/>
      <c r="P54" s="266"/>
      <c r="Q54" s="266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0"/>
      <c r="P55" s="266"/>
      <c r="Q55" s="266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7"/>
      <c r="P56" s="267"/>
      <c r="Q56" s="267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6"/>
      <c r="P57" s="267"/>
      <c r="Q57" s="267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7"/>
      <c r="P58" s="267"/>
      <c r="Q58" s="267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7"/>
      <c r="P59" s="267"/>
      <c r="Q59" s="267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6"/>
      <c r="P60" s="267"/>
      <c r="Q60" s="268"/>
      <c r="R60" s="72"/>
      <c r="S60" s="59"/>
      <c r="T60" s="59"/>
      <c r="U60" s="68"/>
    </row>
    <row r="61" spans="1:21" ht="15.7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1"/>
      <c r="P61" s="312"/>
      <c r="Q61" s="313"/>
      <c r="R61" s="72"/>
      <c r="S61" s="59"/>
      <c r="T61" s="59"/>
      <c r="U61" s="68"/>
    </row>
    <row r="62" spans="1:21">
      <c r="A62" s="314" t="s">
        <v>48</v>
      </c>
      <c r="B62" s="315"/>
      <c r="C62" s="315"/>
      <c r="D62" s="315"/>
      <c r="E62" s="315"/>
      <c r="F62" s="315"/>
      <c r="G62" s="315"/>
      <c r="H62" s="315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329"/>
      <c r="O62" s="330"/>
      <c r="P62" s="330"/>
      <c r="Q62" s="331"/>
      <c r="R62" s="5"/>
      <c r="S62" s="6"/>
      <c r="T62" s="7"/>
      <c r="U62" s="8"/>
    </row>
    <row r="63" spans="1:21" ht="15.75" thickBot="1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332"/>
      <c r="O63" s="333"/>
      <c r="P63" s="333"/>
      <c r="Q63" s="334"/>
      <c r="R63" s="1"/>
      <c r="S63" s="2"/>
      <c r="T63" s="3"/>
      <c r="U63" s="4"/>
    </row>
    <row r="64" spans="1:21" ht="15.75" thickBot="1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291"/>
      <c r="O64" s="292"/>
      <c r="P64" s="292"/>
      <c r="Q64" s="335"/>
      <c r="R64" s="336" t="s">
        <v>17</v>
      </c>
      <c r="S64" s="337"/>
      <c r="T64" s="337"/>
      <c r="U64" s="338"/>
    </row>
    <row r="65" spans="1:21" ht="15.75" thickBot="1">
      <c r="A65" s="249" t="s">
        <v>24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</row>
    <row r="66" spans="1:21" ht="15.75" thickBot="1">
      <c r="A66" s="249" t="str">
        <f>A34</f>
        <v>/ / 2023</v>
      </c>
      <c r="B66" s="250"/>
      <c r="C66" s="250"/>
      <c r="D66" s="250"/>
      <c r="E66" s="250"/>
      <c r="F66" s="250"/>
      <c r="G66" s="251"/>
      <c r="H66" s="252" t="s">
        <v>49</v>
      </c>
      <c r="I66" s="253"/>
      <c r="J66" s="249">
        <f>J34</f>
        <v>0</v>
      </c>
      <c r="K66" s="251"/>
      <c r="L66" s="253" t="s">
        <v>50</v>
      </c>
      <c r="M66" s="254"/>
      <c r="N66" s="252"/>
      <c r="O66" s="250">
        <f>O34</f>
        <v>0</v>
      </c>
      <c r="P66" s="250"/>
      <c r="Q66" s="251"/>
      <c r="R66" s="253" t="s">
        <v>51</v>
      </c>
      <c r="S66" s="252"/>
      <c r="T66" s="255">
        <f>T34</f>
        <v>0</v>
      </c>
      <c r="U66" s="255"/>
    </row>
    <row r="67" spans="1:21" ht="15.75" thickBot="1">
      <c r="A67" s="15" t="s">
        <v>6</v>
      </c>
      <c r="H67" s="9"/>
      <c r="I67" s="18"/>
      <c r="T67" s="10"/>
      <c r="U67" s="11"/>
    </row>
    <row r="68" spans="1:21" ht="15.75" thickBot="1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59" t="s">
        <v>8</v>
      </c>
      <c r="P68" s="259"/>
      <c r="Q68" s="259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6"/>
      <c r="P69" s="267"/>
      <c r="Q69" s="268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63"/>
      <c r="P70" s="264"/>
      <c r="Q70" s="265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6"/>
      <c r="P71" s="267"/>
      <c r="Q71" s="268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69"/>
      <c r="P72" s="270"/>
      <c r="Q72" s="271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69"/>
      <c r="P73" s="270"/>
      <c r="Q73" s="271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56"/>
      <c r="P74" s="257"/>
      <c r="Q74" s="258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6"/>
      <c r="P75" s="267"/>
      <c r="Q75" s="268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6"/>
      <c r="P76" s="267"/>
      <c r="Q76" s="268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6"/>
      <c r="P77" s="267"/>
      <c r="Q77" s="268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6"/>
      <c r="P78" s="267"/>
      <c r="Q78" s="268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6"/>
      <c r="P79" s="267"/>
      <c r="Q79" s="268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6"/>
      <c r="P80" s="267"/>
      <c r="Q80" s="268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6"/>
      <c r="P81" s="267"/>
      <c r="Q81" s="268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6"/>
      <c r="P82" s="267"/>
      <c r="Q82" s="268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6"/>
      <c r="P83" s="267"/>
      <c r="Q83" s="267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6"/>
      <c r="P84" s="267"/>
      <c r="Q84" s="267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0"/>
      <c r="P85" s="266"/>
      <c r="Q85" s="266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0"/>
      <c r="P86" s="266"/>
      <c r="Q86" s="266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0"/>
      <c r="P87" s="266"/>
      <c r="Q87" s="266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7"/>
      <c r="P88" s="267"/>
      <c r="Q88" s="267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6"/>
      <c r="P89" s="267"/>
      <c r="Q89" s="267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7"/>
      <c r="P90" s="267"/>
      <c r="Q90" s="267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7"/>
      <c r="P91" s="267"/>
      <c r="Q91" s="267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6"/>
      <c r="P92" s="267"/>
      <c r="Q92" s="268"/>
      <c r="R92" s="72"/>
      <c r="S92" s="59"/>
      <c r="T92" s="59"/>
      <c r="U92" s="68"/>
    </row>
    <row r="93" spans="1:21" ht="15.7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1"/>
      <c r="P93" s="312"/>
      <c r="Q93" s="313"/>
      <c r="R93" s="72"/>
      <c r="S93" s="59"/>
      <c r="T93" s="59"/>
      <c r="U93" s="68"/>
    </row>
    <row r="94" spans="1:21">
      <c r="A94" s="314" t="s">
        <v>48</v>
      </c>
      <c r="B94" s="315"/>
      <c r="C94" s="315"/>
      <c r="D94" s="315"/>
      <c r="E94" s="339"/>
      <c r="F94" s="315"/>
      <c r="G94" s="315"/>
      <c r="H94" s="315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329"/>
      <c r="O94" s="330"/>
      <c r="P94" s="330"/>
      <c r="Q94" s="331"/>
      <c r="R94" s="5"/>
      <c r="S94" s="6"/>
      <c r="T94" s="7"/>
      <c r="U94" s="8"/>
    </row>
    <row r="95" spans="1:21" ht="15.75" thickBot="1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332"/>
      <c r="O95" s="333"/>
      <c r="P95" s="333"/>
      <c r="Q95" s="334"/>
      <c r="R95" s="1"/>
      <c r="S95" s="2"/>
      <c r="T95" s="3"/>
      <c r="U95" s="4"/>
    </row>
    <row r="96" spans="1:21" ht="15.75" thickBot="1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291"/>
      <c r="O96" s="292"/>
      <c r="P96" s="292"/>
      <c r="Q96" s="335"/>
      <c r="R96" s="336" t="s">
        <v>52</v>
      </c>
      <c r="S96" s="337"/>
      <c r="T96" s="337"/>
      <c r="U96" s="338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disablePrompts="1"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A3" sqref="A3"/>
    </sheetView>
  </sheetViews>
  <sheetFormatPr defaultColWidth="9" defaultRowHeight="15"/>
  <cols>
    <col min="1" max="1" width="5.140625" style="14" bestFit="1" customWidth="1"/>
    <col min="2" max="2" width="7.5703125" style="14" customWidth="1"/>
    <col min="3" max="3" width="8.5703125" style="14" customWidth="1"/>
    <col min="4" max="4" width="10.28515625" style="183" customWidth="1"/>
    <col min="5" max="5" width="5.7109375" style="156" customWidth="1"/>
    <col min="6" max="6" width="5.5703125" style="14" customWidth="1"/>
    <col min="7" max="7" width="7.28515625" style="14" customWidth="1"/>
    <col min="8" max="8" width="6.7109375" style="14" customWidth="1"/>
    <col min="9" max="11" width="6.7109375" style="156" customWidth="1"/>
    <col min="12" max="13" width="6.7109375" style="14" customWidth="1"/>
    <col min="14" max="14" width="7.7109375" style="14" customWidth="1"/>
    <col min="15" max="15" width="5.42578125" style="156" customWidth="1"/>
    <col min="16" max="17" width="4.5703125" style="156" customWidth="1"/>
    <col min="18" max="18" width="9.5703125" style="14" customWidth="1"/>
    <col min="19" max="20" width="7.7109375" style="53" customWidth="1"/>
    <col min="21" max="21" width="7.7109375" style="36" customWidth="1"/>
    <col min="22" max="25" width="11.140625" style="14" customWidth="1"/>
    <col min="26" max="26" width="11.42578125" style="14" customWidth="1"/>
    <col min="27" max="27" width="11.5703125" style="14" customWidth="1"/>
    <col min="28" max="29" width="10.42578125" style="14" customWidth="1"/>
    <col min="30" max="30" width="9.85546875" style="14" customWidth="1"/>
    <col min="31" max="31" width="10.7109375" style="14" customWidth="1"/>
    <col min="32" max="32" width="11.7109375" style="14" customWidth="1"/>
    <col min="33" max="33" width="14" style="14" customWidth="1"/>
    <col min="34" max="34" width="11.140625" style="14" customWidth="1"/>
    <col min="35" max="35" width="12" style="14" customWidth="1"/>
    <col min="36" max="36" width="9" style="14"/>
    <col min="37" max="37" width="10.5703125" style="14" customWidth="1"/>
    <col min="38" max="38" width="12" style="14" customWidth="1"/>
    <col min="39" max="39" width="10.28515625" style="14" customWidth="1"/>
    <col min="40" max="41" width="9" style="14"/>
    <col min="42" max="42" width="10.85546875" style="14" customWidth="1"/>
    <col min="43" max="43" width="13.7109375" style="14" customWidth="1"/>
    <col min="44" max="44" width="10.85546875" style="14" customWidth="1"/>
    <col min="45" max="16384" width="9" style="14"/>
  </cols>
  <sheetData>
    <row r="1" spans="1:44" ht="15.75" thickBot="1">
      <c r="A1" s="249" t="s">
        <v>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1"/>
    </row>
    <row r="2" spans="1:44" ht="15.75" thickBot="1">
      <c r="A2" s="249" t="s">
        <v>97</v>
      </c>
      <c r="B2" s="250"/>
      <c r="C2" s="250"/>
      <c r="D2" s="250"/>
      <c r="E2" s="250"/>
      <c r="F2" s="250"/>
      <c r="G2" s="251"/>
      <c r="H2" s="252" t="s">
        <v>49</v>
      </c>
      <c r="I2" s="253"/>
      <c r="J2" s="249"/>
      <c r="K2" s="251"/>
      <c r="L2" s="253" t="s">
        <v>96</v>
      </c>
      <c r="M2" s="254"/>
      <c r="N2" s="252"/>
      <c r="O2" s="250"/>
      <c r="P2" s="250"/>
      <c r="Q2" s="251"/>
      <c r="R2" s="253" t="s">
        <v>51</v>
      </c>
      <c r="S2" s="252"/>
      <c r="T2" s="255"/>
      <c r="U2" s="255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>
      <c r="A3" s="15" t="s">
        <v>6</v>
      </c>
      <c r="H3" s="9"/>
      <c r="I3" s="18"/>
      <c r="T3" s="10"/>
      <c r="U3" s="11"/>
    </row>
    <row r="4" spans="1:44" ht="15.75" thickBot="1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59" t="s">
        <v>8</v>
      </c>
      <c r="P4" s="259"/>
      <c r="Q4" s="259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260"/>
      <c r="P5" s="261"/>
      <c r="Q5" s="262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63"/>
      <c r="P6" s="264"/>
      <c r="Q6" s="265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6"/>
      <c r="P7" s="267"/>
      <c r="Q7" s="268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69"/>
      <c r="P8" s="270"/>
      <c r="Q8" s="271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69"/>
      <c r="P9" s="270"/>
      <c r="Q9" s="271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56"/>
      <c r="P10" s="257"/>
      <c r="Q10" s="25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6"/>
      <c r="P11" s="267"/>
      <c r="Q11" s="2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6"/>
      <c r="P12" s="267"/>
      <c r="Q12" s="2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6"/>
      <c r="P13" s="267"/>
      <c r="Q13" s="268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6"/>
      <c r="P14" s="267"/>
      <c r="Q14" s="268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6"/>
      <c r="P15" s="267"/>
      <c r="Q15" s="2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6"/>
      <c r="P16" s="267"/>
      <c r="Q16" s="268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6"/>
      <c r="P17" s="267"/>
      <c r="Q17" s="26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6"/>
      <c r="P18" s="267"/>
      <c r="Q18" s="26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6"/>
      <c r="P19" s="267"/>
      <c r="Q19" s="267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74"/>
      <c r="P20" s="275"/>
      <c r="Q20" s="27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6"/>
      <c r="P21" s="267"/>
      <c r="Q21" s="267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6"/>
      <c r="P22" s="267"/>
      <c r="Q22" s="26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72"/>
      <c r="Y23" s="273"/>
      <c r="Z23" s="273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6"/>
      <c r="P24" s="267"/>
      <c r="Q24" s="2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6"/>
      <c r="P25" s="267"/>
      <c r="Q25" s="26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76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6"/>
      <c r="P26" s="267"/>
      <c r="Q26" s="268"/>
      <c r="R26" s="103">
        <f>R25*37.5</f>
        <v>0</v>
      </c>
      <c r="S26" s="93">
        <f>S25*41.5</f>
        <v>0</v>
      </c>
      <c r="T26" s="93">
        <f>T25*50</f>
        <v>0</v>
      </c>
      <c r="U26" s="277"/>
      <c r="X26" s="41" t="s">
        <v>30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6"/>
      <c r="P27" s="267"/>
      <c r="Q27" s="268"/>
      <c r="R27" s="288" t="s">
        <v>56</v>
      </c>
      <c r="S27" s="289"/>
      <c r="T27" s="289"/>
      <c r="U27" s="290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6"/>
      <c r="P28" s="267"/>
      <c r="Q28" s="268"/>
      <c r="R28" s="281"/>
      <c r="S28" s="282"/>
      <c r="T28" s="283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297"/>
      <c r="P29" s="298"/>
      <c r="Q29" s="299"/>
      <c r="R29" s="300"/>
      <c r="S29" s="301"/>
      <c r="T29" s="302"/>
      <c r="U29" s="140"/>
      <c r="X29" s="14">
        <v>3</v>
      </c>
      <c r="Z29" s="45"/>
      <c r="AE29" s="39"/>
    </row>
    <row r="30" spans="1:44" ht="16.5" customHeight="1" thickBot="1">
      <c r="A30" s="303" t="s">
        <v>48</v>
      </c>
      <c r="B30" s="304"/>
      <c r="C30" s="304"/>
      <c r="D30" s="304"/>
      <c r="E30" s="305"/>
      <c r="F30" s="304"/>
      <c r="G30" s="304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06"/>
      <c r="S30" s="306"/>
      <c r="T30" s="307"/>
      <c r="U30" s="141"/>
      <c r="X30" s="14">
        <v>4</v>
      </c>
      <c r="Z30" s="45"/>
      <c r="AD30" s="46"/>
    </row>
    <row r="31" spans="1:44">
      <c r="A31" s="308" t="s">
        <v>16</v>
      </c>
      <c r="B31" s="309"/>
      <c r="C31" s="309"/>
      <c r="D31" s="309"/>
      <c r="E31" s="309"/>
      <c r="F31" s="309"/>
      <c r="G31" s="309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293">
        <f>H31+I31+L31+M31</f>
        <v>0</v>
      </c>
      <c r="U31" s="294"/>
      <c r="X31" s="47" t="s">
        <v>28</v>
      </c>
      <c r="Y31" s="47"/>
      <c r="Z31" s="47">
        <f>SUM(Z27:Z30)</f>
        <v>-2745</v>
      </c>
      <c r="AE31" s="39"/>
    </row>
    <row r="32" spans="1:44" ht="15.75" thickBot="1">
      <c r="A32" s="284" t="s">
        <v>55</v>
      </c>
      <c r="B32" s="285"/>
      <c r="C32" s="98">
        <f>H31+I31+J31+K31</f>
        <v>0</v>
      </c>
      <c r="D32" s="186"/>
      <c r="E32" s="98"/>
      <c r="F32" s="286" t="s">
        <v>53</v>
      </c>
      <c r="G32" s="286"/>
      <c r="H32" s="100">
        <f>COUNT(B5:B29,B37:B61,B69:B93)</f>
        <v>0</v>
      </c>
      <c r="I32" s="287" t="s">
        <v>54</v>
      </c>
      <c r="J32" s="287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295"/>
      <c r="U32" s="296"/>
      <c r="V32" s="39"/>
      <c r="W32" s="39"/>
      <c r="X32" s="48" t="s">
        <v>27</v>
      </c>
      <c r="Y32" s="48"/>
      <c r="Z32" s="47">
        <f>I31</f>
        <v>0</v>
      </c>
    </row>
    <row r="33" spans="1:33" ht="15.75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50"/>
      <c r="U33" s="251"/>
      <c r="X33" s="49" t="s">
        <v>29</v>
      </c>
      <c r="Y33" s="49"/>
      <c r="Z33" s="50">
        <f>SUM(Z31:Z32)</f>
        <v>-2745</v>
      </c>
      <c r="AG33" s="35"/>
    </row>
    <row r="34" spans="1:33" ht="15.75" thickBot="1">
      <c r="A34" s="249" t="str">
        <f>A2</f>
        <v>/ / 2023</v>
      </c>
      <c r="B34" s="250"/>
      <c r="C34" s="250"/>
      <c r="D34" s="250"/>
      <c r="E34" s="250"/>
      <c r="F34" s="250"/>
      <c r="G34" s="251"/>
      <c r="H34" s="252" t="s">
        <v>49</v>
      </c>
      <c r="I34" s="253"/>
      <c r="J34" s="249">
        <f>J2</f>
        <v>0</v>
      </c>
      <c r="K34" s="251"/>
      <c r="L34" s="253" t="s">
        <v>50</v>
      </c>
      <c r="M34" s="254"/>
      <c r="N34" s="252"/>
      <c r="O34" s="250">
        <f>O2</f>
        <v>0</v>
      </c>
      <c r="P34" s="250"/>
      <c r="Q34" s="251"/>
      <c r="R34" s="253" t="s">
        <v>51</v>
      </c>
      <c r="S34" s="252"/>
      <c r="T34" s="255">
        <f>T2</f>
        <v>0</v>
      </c>
      <c r="U34" s="255"/>
      <c r="Z34" s="39"/>
    </row>
    <row r="35" spans="1:33" ht="15.75" thickBot="1">
      <c r="A35" s="15" t="s">
        <v>6</v>
      </c>
      <c r="H35" s="9"/>
      <c r="I35" s="18"/>
      <c r="T35" s="10"/>
      <c r="U35" s="11"/>
    </row>
    <row r="36" spans="1:33" ht="15.75" thickBot="1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59" t="s">
        <v>8</v>
      </c>
      <c r="P36" s="259"/>
      <c r="Q36" s="259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6"/>
      <c r="P37" s="267"/>
      <c r="Q37" s="268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63"/>
      <c r="P38" s="264"/>
      <c r="Q38" s="265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6"/>
      <c r="P39" s="267"/>
      <c r="Q39" s="268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69"/>
      <c r="P40" s="270"/>
      <c r="Q40" s="271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69"/>
      <c r="P41" s="270"/>
      <c r="Q41" s="271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56"/>
      <c r="P42" s="257"/>
      <c r="Q42" s="258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6"/>
      <c r="P43" s="267"/>
      <c r="Q43" s="268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6"/>
      <c r="P44" s="267"/>
      <c r="Q44" s="268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6"/>
      <c r="P45" s="267"/>
      <c r="Q45" s="268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6"/>
      <c r="P46" s="267"/>
      <c r="Q46" s="268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6"/>
      <c r="P47" s="267"/>
      <c r="Q47" s="268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6"/>
      <c r="P48" s="267"/>
      <c r="Q48" s="268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6"/>
      <c r="P49" s="267"/>
      <c r="Q49" s="268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6"/>
      <c r="P50" s="267"/>
      <c r="Q50" s="268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6"/>
      <c r="P51" s="267"/>
      <c r="Q51" s="267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6"/>
      <c r="P52" s="267"/>
      <c r="Q52" s="267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0"/>
      <c r="P53" s="266"/>
      <c r="Q53" s="266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0"/>
      <c r="P54" s="266"/>
      <c r="Q54" s="266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0"/>
      <c r="P55" s="266"/>
      <c r="Q55" s="266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7"/>
      <c r="P56" s="267"/>
      <c r="Q56" s="267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6"/>
      <c r="P57" s="267"/>
      <c r="Q57" s="267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7"/>
      <c r="P58" s="267"/>
      <c r="Q58" s="267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7"/>
      <c r="P59" s="267"/>
      <c r="Q59" s="267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6"/>
      <c r="P60" s="267"/>
      <c r="Q60" s="268"/>
      <c r="R60" s="72"/>
      <c r="S60" s="59"/>
      <c r="T60" s="59"/>
      <c r="U60" s="68"/>
    </row>
    <row r="61" spans="1:21" ht="15.7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1"/>
      <c r="P61" s="312"/>
      <c r="Q61" s="313"/>
      <c r="R61" s="72"/>
      <c r="S61" s="59"/>
      <c r="T61" s="59"/>
      <c r="U61" s="68"/>
    </row>
    <row r="62" spans="1:21">
      <c r="A62" s="314" t="s">
        <v>48</v>
      </c>
      <c r="B62" s="315"/>
      <c r="C62" s="315"/>
      <c r="D62" s="315"/>
      <c r="E62" s="315"/>
      <c r="F62" s="315"/>
      <c r="G62" s="315"/>
      <c r="H62" s="315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329"/>
      <c r="O62" s="330"/>
      <c r="P62" s="330"/>
      <c r="Q62" s="331"/>
      <c r="R62" s="5"/>
      <c r="S62" s="6"/>
      <c r="T62" s="7"/>
      <c r="U62" s="8"/>
    </row>
    <row r="63" spans="1:21" ht="15.75" thickBot="1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332"/>
      <c r="O63" s="333"/>
      <c r="P63" s="333"/>
      <c r="Q63" s="334"/>
      <c r="R63" s="1"/>
      <c r="S63" s="2"/>
      <c r="T63" s="3"/>
      <c r="U63" s="4"/>
    </row>
    <row r="64" spans="1:21" ht="15.75" thickBot="1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291"/>
      <c r="O64" s="292"/>
      <c r="P64" s="292"/>
      <c r="Q64" s="335"/>
      <c r="R64" s="336" t="s">
        <v>17</v>
      </c>
      <c r="S64" s="337"/>
      <c r="T64" s="337"/>
      <c r="U64" s="338"/>
    </row>
    <row r="65" spans="1:21" ht="15.75" thickBot="1">
      <c r="A65" s="249" t="s">
        <v>24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</row>
    <row r="66" spans="1:21" ht="15.75" thickBot="1">
      <c r="A66" s="249" t="str">
        <f>A34</f>
        <v>/ / 2023</v>
      </c>
      <c r="B66" s="250"/>
      <c r="C66" s="250"/>
      <c r="D66" s="250"/>
      <c r="E66" s="250"/>
      <c r="F66" s="250"/>
      <c r="G66" s="251"/>
      <c r="H66" s="252" t="s">
        <v>49</v>
      </c>
      <c r="I66" s="253"/>
      <c r="J66" s="249">
        <f>J34</f>
        <v>0</v>
      </c>
      <c r="K66" s="251"/>
      <c r="L66" s="253" t="s">
        <v>50</v>
      </c>
      <c r="M66" s="254"/>
      <c r="N66" s="252"/>
      <c r="O66" s="250">
        <f>O34</f>
        <v>0</v>
      </c>
      <c r="P66" s="250"/>
      <c r="Q66" s="251"/>
      <c r="R66" s="253" t="s">
        <v>51</v>
      </c>
      <c r="S66" s="252"/>
      <c r="T66" s="255">
        <f>T34</f>
        <v>0</v>
      </c>
      <c r="U66" s="255"/>
    </row>
    <row r="67" spans="1:21" ht="15.75" thickBot="1">
      <c r="A67" s="15" t="s">
        <v>6</v>
      </c>
      <c r="H67" s="9"/>
      <c r="I67" s="18"/>
      <c r="T67" s="10"/>
      <c r="U67" s="11"/>
    </row>
    <row r="68" spans="1:21" ht="15.75" thickBot="1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59" t="s">
        <v>8</v>
      </c>
      <c r="P68" s="259"/>
      <c r="Q68" s="259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6"/>
      <c r="P69" s="267"/>
      <c r="Q69" s="268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63"/>
      <c r="P70" s="264"/>
      <c r="Q70" s="265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6"/>
      <c r="P71" s="267"/>
      <c r="Q71" s="268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69"/>
      <c r="P72" s="270"/>
      <c r="Q72" s="271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69"/>
      <c r="P73" s="270"/>
      <c r="Q73" s="271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56"/>
      <c r="P74" s="257"/>
      <c r="Q74" s="258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6"/>
      <c r="P75" s="267"/>
      <c r="Q75" s="268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6"/>
      <c r="P76" s="267"/>
      <c r="Q76" s="268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6"/>
      <c r="P77" s="267"/>
      <c r="Q77" s="268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6"/>
      <c r="P78" s="267"/>
      <c r="Q78" s="268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6"/>
      <c r="P79" s="267"/>
      <c r="Q79" s="268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6"/>
      <c r="P80" s="267"/>
      <c r="Q80" s="268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6"/>
      <c r="P81" s="267"/>
      <c r="Q81" s="268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6"/>
      <c r="P82" s="267"/>
      <c r="Q82" s="268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6"/>
      <c r="P83" s="267"/>
      <c r="Q83" s="267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6"/>
      <c r="P84" s="267"/>
      <c r="Q84" s="267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0"/>
      <c r="P85" s="266"/>
      <c r="Q85" s="266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0"/>
      <c r="P86" s="266"/>
      <c r="Q86" s="266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0"/>
      <c r="P87" s="266"/>
      <c r="Q87" s="266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7"/>
      <c r="P88" s="267"/>
      <c r="Q88" s="267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6"/>
      <c r="P89" s="267"/>
      <c r="Q89" s="267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7"/>
      <c r="P90" s="267"/>
      <c r="Q90" s="267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7"/>
      <c r="P91" s="267"/>
      <c r="Q91" s="267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6"/>
      <c r="P92" s="267"/>
      <c r="Q92" s="268"/>
      <c r="R92" s="72"/>
      <c r="S92" s="59"/>
      <c r="T92" s="59"/>
      <c r="U92" s="68"/>
    </row>
    <row r="93" spans="1:21" ht="15.7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1"/>
      <c r="P93" s="312"/>
      <c r="Q93" s="313"/>
      <c r="R93" s="72"/>
      <c r="S93" s="59"/>
      <c r="T93" s="59"/>
      <c r="U93" s="68"/>
    </row>
    <row r="94" spans="1:21">
      <c r="A94" s="314" t="s">
        <v>48</v>
      </c>
      <c r="B94" s="315"/>
      <c r="C94" s="315"/>
      <c r="D94" s="315"/>
      <c r="E94" s="339"/>
      <c r="F94" s="315"/>
      <c r="G94" s="315"/>
      <c r="H94" s="315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329"/>
      <c r="O94" s="330"/>
      <c r="P94" s="330"/>
      <c r="Q94" s="331"/>
      <c r="R94" s="5"/>
      <c r="S94" s="6"/>
      <c r="T94" s="7"/>
      <c r="U94" s="8"/>
    </row>
    <row r="95" spans="1:21" ht="15.75" thickBot="1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332"/>
      <c r="O95" s="333"/>
      <c r="P95" s="333"/>
      <c r="Q95" s="334"/>
      <c r="R95" s="1"/>
      <c r="S95" s="2"/>
      <c r="T95" s="3"/>
      <c r="U95" s="4"/>
    </row>
    <row r="96" spans="1:21" ht="15.75" thickBot="1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291"/>
      <c r="O96" s="292"/>
      <c r="P96" s="292"/>
      <c r="Q96" s="335"/>
      <c r="R96" s="336" t="s">
        <v>52</v>
      </c>
      <c r="S96" s="337"/>
      <c r="T96" s="337"/>
      <c r="U96" s="338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A3" sqref="A3"/>
    </sheetView>
  </sheetViews>
  <sheetFormatPr defaultColWidth="9" defaultRowHeight="15"/>
  <cols>
    <col min="1" max="1" width="5.140625" style="14" bestFit="1" customWidth="1"/>
    <col min="2" max="2" width="7.5703125" style="14" customWidth="1"/>
    <col min="3" max="3" width="8.5703125" style="14" customWidth="1"/>
    <col min="4" max="4" width="10.28515625" style="183" customWidth="1"/>
    <col min="5" max="5" width="5.7109375" style="156" customWidth="1"/>
    <col min="6" max="6" width="5.5703125" style="14" customWidth="1"/>
    <col min="7" max="7" width="7.28515625" style="14" customWidth="1"/>
    <col min="8" max="8" width="6.7109375" style="14" customWidth="1"/>
    <col min="9" max="11" width="6.7109375" style="156" customWidth="1"/>
    <col min="12" max="13" width="6.7109375" style="14" customWidth="1"/>
    <col min="14" max="14" width="7.7109375" style="14" customWidth="1"/>
    <col min="15" max="15" width="5.42578125" style="156" customWidth="1"/>
    <col min="16" max="17" width="4.5703125" style="156" customWidth="1"/>
    <col min="18" max="18" width="9.5703125" style="14" customWidth="1"/>
    <col min="19" max="20" width="7.7109375" style="53" customWidth="1"/>
    <col min="21" max="21" width="7.7109375" style="36" customWidth="1"/>
    <col min="22" max="25" width="11.140625" style="14" customWidth="1"/>
    <col min="26" max="26" width="11.42578125" style="14" customWidth="1"/>
    <col min="27" max="27" width="11.5703125" style="14" customWidth="1"/>
    <col min="28" max="29" width="10.42578125" style="14" customWidth="1"/>
    <col min="30" max="30" width="9.85546875" style="14" customWidth="1"/>
    <col min="31" max="31" width="10.7109375" style="14" customWidth="1"/>
    <col min="32" max="32" width="11.7109375" style="14" customWidth="1"/>
    <col min="33" max="33" width="14" style="14" customWidth="1"/>
    <col min="34" max="34" width="11.140625" style="14" customWidth="1"/>
    <col min="35" max="35" width="12" style="14" customWidth="1"/>
    <col min="36" max="36" width="9" style="14"/>
    <col min="37" max="37" width="10.5703125" style="14" customWidth="1"/>
    <col min="38" max="38" width="12" style="14" customWidth="1"/>
    <col min="39" max="39" width="10.28515625" style="14" customWidth="1"/>
    <col min="40" max="41" width="9" style="14"/>
    <col min="42" max="42" width="10.85546875" style="14" customWidth="1"/>
    <col min="43" max="43" width="13.7109375" style="14" customWidth="1"/>
    <col min="44" max="44" width="10.85546875" style="14" customWidth="1"/>
    <col min="45" max="16384" width="9" style="14"/>
  </cols>
  <sheetData>
    <row r="1" spans="1:44" ht="15.75" thickBot="1">
      <c r="A1" s="249" t="s">
        <v>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1"/>
    </row>
    <row r="2" spans="1:44" ht="15.75" thickBot="1">
      <c r="A2" s="249" t="s">
        <v>97</v>
      </c>
      <c r="B2" s="250"/>
      <c r="C2" s="250"/>
      <c r="D2" s="250"/>
      <c r="E2" s="250"/>
      <c r="F2" s="250"/>
      <c r="G2" s="251"/>
      <c r="H2" s="252" t="s">
        <v>49</v>
      </c>
      <c r="I2" s="253"/>
      <c r="J2" s="249"/>
      <c r="K2" s="251"/>
      <c r="L2" s="253" t="s">
        <v>96</v>
      </c>
      <c r="M2" s="254"/>
      <c r="N2" s="252"/>
      <c r="O2" s="250"/>
      <c r="P2" s="250"/>
      <c r="Q2" s="251"/>
      <c r="R2" s="253" t="s">
        <v>51</v>
      </c>
      <c r="S2" s="252"/>
      <c r="T2" s="255"/>
      <c r="U2" s="255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>
      <c r="A3" s="15" t="s">
        <v>6</v>
      </c>
      <c r="H3" s="9"/>
      <c r="I3" s="18"/>
      <c r="T3" s="10"/>
      <c r="U3" s="11"/>
    </row>
    <row r="4" spans="1:44" ht="15.75" thickBot="1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59" t="s">
        <v>8</v>
      </c>
      <c r="P4" s="259"/>
      <c r="Q4" s="259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260"/>
      <c r="P5" s="261"/>
      <c r="Q5" s="262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63"/>
      <c r="P6" s="264"/>
      <c r="Q6" s="265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6"/>
      <c r="P7" s="267"/>
      <c r="Q7" s="268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69"/>
      <c r="P8" s="270"/>
      <c r="Q8" s="271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69"/>
      <c r="P9" s="270"/>
      <c r="Q9" s="271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56"/>
      <c r="P10" s="257"/>
      <c r="Q10" s="25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6"/>
      <c r="P11" s="267"/>
      <c r="Q11" s="2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6"/>
      <c r="P12" s="267"/>
      <c r="Q12" s="2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6"/>
      <c r="P13" s="267"/>
      <c r="Q13" s="268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6"/>
      <c r="P14" s="267"/>
      <c r="Q14" s="268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6"/>
      <c r="P15" s="267"/>
      <c r="Q15" s="2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6"/>
      <c r="P16" s="267"/>
      <c r="Q16" s="268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6"/>
      <c r="P17" s="267"/>
      <c r="Q17" s="26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6"/>
      <c r="P18" s="267"/>
      <c r="Q18" s="26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6"/>
      <c r="P19" s="267"/>
      <c r="Q19" s="267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74"/>
      <c r="P20" s="275"/>
      <c r="Q20" s="27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6"/>
      <c r="P21" s="267"/>
      <c r="Q21" s="267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6"/>
      <c r="P22" s="267"/>
      <c r="Q22" s="26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72"/>
      <c r="Y23" s="273"/>
      <c r="Z23" s="273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6"/>
      <c r="P24" s="267"/>
      <c r="Q24" s="2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6"/>
      <c r="P25" s="267"/>
      <c r="Q25" s="26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76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6"/>
      <c r="P26" s="267"/>
      <c r="Q26" s="268"/>
      <c r="R26" s="103">
        <f>R25*37.5</f>
        <v>0</v>
      </c>
      <c r="S26" s="93">
        <f>S25*41.5</f>
        <v>0</v>
      </c>
      <c r="T26" s="93">
        <f>T25*50</f>
        <v>0</v>
      </c>
      <c r="U26" s="277"/>
      <c r="X26" s="41" t="s">
        <v>30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6"/>
      <c r="P27" s="267"/>
      <c r="Q27" s="268"/>
      <c r="R27" s="288" t="s">
        <v>56</v>
      </c>
      <c r="S27" s="289"/>
      <c r="T27" s="289"/>
      <c r="U27" s="290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6"/>
      <c r="P28" s="267"/>
      <c r="Q28" s="268"/>
      <c r="R28" s="281"/>
      <c r="S28" s="282"/>
      <c r="T28" s="283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297"/>
      <c r="P29" s="298"/>
      <c r="Q29" s="299"/>
      <c r="R29" s="300"/>
      <c r="S29" s="301"/>
      <c r="T29" s="302"/>
      <c r="U29" s="140"/>
      <c r="X29" s="14">
        <v>3</v>
      </c>
      <c r="Z29" s="45"/>
      <c r="AE29" s="39"/>
    </row>
    <row r="30" spans="1:44" ht="16.5" customHeight="1" thickBot="1">
      <c r="A30" s="303" t="s">
        <v>48</v>
      </c>
      <c r="B30" s="304"/>
      <c r="C30" s="304"/>
      <c r="D30" s="304"/>
      <c r="E30" s="305"/>
      <c r="F30" s="304"/>
      <c r="G30" s="304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06"/>
      <c r="S30" s="306"/>
      <c r="T30" s="307"/>
      <c r="U30" s="141"/>
      <c r="X30" s="14">
        <v>4</v>
      </c>
      <c r="Z30" s="45"/>
      <c r="AD30" s="46"/>
    </row>
    <row r="31" spans="1:44">
      <c r="A31" s="308" t="s">
        <v>16</v>
      </c>
      <c r="B31" s="309"/>
      <c r="C31" s="309"/>
      <c r="D31" s="309"/>
      <c r="E31" s="309"/>
      <c r="F31" s="309"/>
      <c r="G31" s="309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293">
        <f>H31+I31+L31+M31</f>
        <v>0</v>
      </c>
      <c r="U31" s="294"/>
      <c r="X31" s="47" t="s">
        <v>28</v>
      </c>
      <c r="Y31" s="47"/>
      <c r="Z31" s="47">
        <f>SUM(Z27:Z30)</f>
        <v>-2745</v>
      </c>
      <c r="AE31" s="39"/>
    </row>
    <row r="32" spans="1:44" ht="15.75" thickBot="1">
      <c r="A32" s="284" t="s">
        <v>55</v>
      </c>
      <c r="B32" s="285"/>
      <c r="C32" s="98">
        <f>H31+I31+J31+K31</f>
        <v>0</v>
      </c>
      <c r="D32" s="186"/>
      <c r="E32" s="98"/>
      <c r="F32" s="286" t="s">
        <v>53</v>
      </c>
      <c r="G32" s="286"/>
      <c r="H32" s="100">
        <f>COUNT(B5:B29,B37:B61,B69:B93)</f>
        <v>0</v>
      </c>
      <c r="I32" s="287" t="s">
        <v>54</v>
      </c>
      <c r="J32" s="287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295"/>
      <c r="U32" s="296"/>
      <c r="V32" s="39"/>
      <c r="W32" s="39"/>
      <c r="X32" s="48" t="s">
        <v>27</v>
      </c>
      <c r="Y32" s="48"/>
      <c r="Z32" s="47">
        <f>I31</f>
        <v>0</v>
      </c>
    </row>
    <row r="33" spans="1:33" ht="15.75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50"/>
      <c r="U33" s="251"/>
      <c r="X33" s="49" t="s">
        <v>29</v>
      </c>
      <c r="Y33" s="49"/>
      <c r="Z33" s="50">
        <f>SUM(Z31:Z32)</f>
        <v>-2745</v>
      </c>
      <c r="AG33" s="35"/>
    </row>
    <row r="34" spans="1:33" ht="15.75" thickBot="1">
      <c r="A34" s="249" t="str">
        <f>A2</f>
        <v>/ / 2023</v>
      </c>
      <c r="B34" s="250"/>
      <c r="C34" s="250"/>
      <c r="D34" s="250"/>
      <c r="E34" s="250"/>
      <c r="F34" s="250"/>
      <c r="G34" s="251"/>
      <c r="H34" s="252" t="s">
        <v>49</v>
      </c>
      <c r="I34" s="253"/>
      <c r="J34" s="249">
        <f>J2</f>
        <v>0</v>
      </c>
      <c r="K34" s="251"/>
      <c r="L34" s="253" t="s">
        <v>50</v>
      </c>
      <c r="M34" s="254"/>
      <c r="N34" s="252"/>
      <c r="O34" s="250">
        <f>O2</f>
        <v>0</v>
      </c>
      <c r="P34" s="250"/>
      <c r="Q34" s="251"/>
      <c r="R34" s="253" t="s">
        <v>51</v>
      </c>
      <c r="S34" s="252"/>
      <c r="T34" s="255">
        <f>T2</f>
        <v>0</v>
      </c>
      <c r="U34" s="255"/>
      <c r="Z34" s="39"/>
    </row>
    <row r="35" spans="1:33" ht="15.75" thickBot="1">
      <c r="A35" s="15" t="s">
        <v>6</v>
      </c>
      <c r="H35" s="9"/>
      <c r="I35" s="18"/>
      <c r="T35" s="10"/>
      <c r="U35" s="11"/>
    </row>
    <row r="36" spans="1:33" ht="15.75" thickBot="1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59" t="s">
        <v>8</v>
      </c>
      <c r="P36" s="259"/>
      <c r="Q36" s="259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6"/>
      <c r="P37" s="267"/>
      <c r="Q37" s="268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63"/>
      <c r="P38" s="264"/>
      <c r="Q38" s="265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6"/>
      <c r="P39" s="267"/>
      <c r="Q39" s="268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69"/>
      <c r="P40" s="270"/>
      <c r="Q40" s="271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69"/>
      <c r="P41" s="270"/>
      <c r="Q41" s="271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56"/>
      <c r="P42" s="257"/>
      <c r="Q42" s="258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6"/>
      <c r="P43" s="267"/>
      <c r="Q43" s="268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6"/>
      <c r="P44" s="267"/>
      <c r="Q44" s="268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6"/>
      <c r="P45" s="267"/>
      <c r="Q45" s="268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6"/>
      <c r="P46" s="267"/>
      <c r="Q46" s="268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6"/>
      <c r="P47" s="267"/>
      <c r="Q47" s="268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6"/>
      <c r="P48" s="267"/>
      <c r="Q48" s="268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6"/>
      <c r="P49" s="267"/>
      <c r="Q49" s="268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6"/>
      <c r="P50" s="267"/>
      <c r="Q50" s="268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6"/>
      <c r="P51" s="267"/>
      <c r="Q51" s="267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6"/>
      <c r="P52" s="267"/>
      <c r="Q52" s="267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0"/>
      <c r="P53" s="266"/>
      <c r="Q53" s="266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0"/>
      <c r="P54" s="266"/>
      <c r="Q54" s="266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0"/>
      <c r="P55" s="266"/>
      <c r="Q55" s="266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7"/>
      <c r="P56" s="267"/>
      <c r="Q56" s="267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6"/>
      <c r="P57" s="267"/>
      <c r="Q57" s="267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7"/>
      <c r="P58" s="267"/>
      <c r="Q58" s="267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7"/>
      <c r="P59" s="267"/>
      <c r="Q59" s="267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6"/>
      <c r="P60" s="267"/>
      <c r="Q60" s="268"/>
      <c r="R60" s="72"/>
      <c r="S60" s="59"/>
      <c r="T60" s="59"/>
      <c r="U60" s="68"/>
    </row>
    <row r="61" spans="1:21" ht="15.7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1"/>
      <c r="P61" s="312"/>
      <c r="Q61" s="313"/>
      <c r="R61" s="72"/>
      <c r="S61" s="59"/>
      <c r="T61" s="59"/>
      <c r="U61" s="68"/>
    </row>
    <row r="62" spans="1:21">
      <c r="A62" s="314" t="s">
        <v>48</v>
      </c>
      <c r="B62" s="315"/>
      <c r="C62" s="315"/>
      <c r="D62" s="315"/>
      <c r="E62" s="315"/>
      <c r="F62" s="315"/>
      <c r="G62" s="315"/>
      <c r="H62" s="315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329"/>
      <c r="O62" s="330"/>
      <c r="P62" s="330"/>
      <c r="Q62" s="331"/>
      <c r="R62" s="5"/>
      <c r="S62" s="6"/>
      <c r="T62" s="7"/>
      <c r="U62" s="8"/>
    </row>
    <row r="63" spans="1:21" ht="15.75" thickBot="1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332"/>
      <c r="O63" s="333"/>
      <c r="P63" s="333"/>
      <c r="Q63" s="334"/>
      <c r="R63" s="1"/>
      <c r="S63" s="2"/>
      <c r="T63" s="3"/>
      <c r="U63" s="4"/>
    </row>
    <row r="64" spans="1:21" ht="15.75" thickBot="1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291"/>
      <c r="O64" s="292"/>
      <c r="P64" s="292"/>
      <c r="Q64" s="335"/>
      <c r="R64" s="336" t="s">
        <v>17</v>
      </c>
      <c r="S64" s="337"/>
      <c r="T64" s="337"/>
      <c r="U64" s="338"/>
    </row>
    <row r="65" spans="1:21" ht="15.75" thickBot="1">
      <c r="A65" s="249" t="s">
        <v>24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</row>
    <row r="66" spans="1:21" ht="15.75" thickBot="1">
      <c r="A66" s="249" t="str">
        <f>A34</f>
        <v>/ / 2023</v>
      </c>
      <c r="B66" s="250"/>
      <c r="C66" s="250"/>
      <c r="D66" s="250"/>
      <c r="E66" s="250"/>
      <c r="F66" s="250"/>
      <c r="G66" s="251"/>
      <c r="H66" s="252" t="s">
        <v>49</v>
      </c>
      <c r="I66" s="253"/>
      <c r="J66" s="249">
        <f>J34</f>
        <v>0</v>
      </c>
      <c r="K66" s="251"/>
      <c r="L66" s="253" t="s">
        <v>50</v>
      </c>
      <c r="M66" s="254"/>
      <c r="N66" s="252"/>
      <c r="O66" s="250">
        <f>O34</f>
        <v>0</v>
      </c>
      <c r="P66" s="250"/>
      <c r="Q66" s="251"/>
      <c r="R66" s="253" t="s">
        <v>51</v>
      </c>
      <c r="S66" s="252"/>
      <c r="T66" s="255">
        <f>T34</f>
        <v>0</v>
      </c>
      <c r="U66" s="255"/>
    </row>
    <row r="67" spans="1:21" ht="15.75" thickBot="1">
      <c r="A67" s="15" t="s">
        <v>6</v>
      </c>
      <c r="H67" s="9"/>
      <c r="I67" s="18"/>
      <c r="T67" s="10"/>
      <c r="U67" s="11"/>
    </row>
    <row r="68" spans="1:21" ht="15.75" thickBot="1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59" t="s">
        <v>8</v>
      </c>
      <c r="P68" s="259"/>
      <c r="Q68" s="259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6"/>
      <c r="P69" s="267"/>
      <c r="Q69" s="268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63"/>
      <c r="P70" s="264"/>
      <c r="Q70" s="265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6"/>
      <c r="P71" s="267"/>
      <c r="Q71" s="268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69"/>
      <c r="P72" s="270"/>
      <c r="Q72" s="271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69"/>
      <c r="P73" s="270"/>
      <c r="Q73" s="271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56"/>
      <c r="P74" s="257"/>
      <c r="Q74" s="258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6"/>
      <c r="P75" s="267"/>
      <c r="Q75" s="268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6"/>
      <c r="P76" s="267"/>
      <c r="Q76" s="268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6"/>
      <c r="P77" s="267"/>
      <c r="Q77" s="268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6"/>
      <c r="P78" s="267"/>
      <c r="Q78" s="268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6"/>
      <c r="P79" s="267"/>
      <c r="Q79" s="268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6"/>
      <c r="P80" s="267"/>
      <c r="Q80" s="268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6"/>
      <c r="P81" s="267"/>
      <c r="Q81" s="268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6"/>
      <c r="P82" s="267"/>
      <c r="Q82" s="268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6"/>
      <c r="P83" s="267"/>
      <c r="Q83" s="267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6"/>
      <c r="P84" s="267"/>
      <c r="Q84" s="267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0"/>
      <c r="P85" s="266"/>
      <c r="Q85" s="266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0"/>
      <c r="P86" s="266"/>
      <c r="Q86" s="266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0"/>
      <c r="P87" s="266"/>
      <c r="Q87" s="266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7"/>
      <c r="P88" s="267"/>
      <c r="Q88" s="267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6"/>
      <c r="P89" s="267"/>
      <c r="Q89" s="267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7"/>
      <c r="P90" s="267"/>
      <c r="Q90" s="267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7"/>
      <c r="P91" s="267"/>
      <c r="Q91" s="267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6"/>
      <c r="P92" s="267"/>
      <c r="Q92" s="268"/>
      <c r="R92" s="72"/>
      <c r="S92" s="59"/>
      <c r="T92" s="59"/>
      <c r="U92" s="68"/>
    </row>
    <row r="93" spans="1:21" ht="15.7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1"/>
      <c r="P93" s="312"/>
      <c r="Q93" s="313"/>
      <c r="R93" s="72"/>
      <c r="S93" s="59"/>
      <c r="T93" s="59"/>
      <c r="U93" s="68"/>
    </row>
    <row r="94" spans="1:21">
      <c r="A94" s="314" t="s">
        <v>48</v>
      </c>
      <c r="B94" s="315"/>
      <c r="C94" s="315"/>
      <c r="D94" s="315"/>
      <c r="E94" s="339"/>
      <c r="F94" s="315"/>
      <c r="G94" s="315"/>
      <c r="H94" s="315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329"/>
      <c r="O94" s="330"/>
      <c r="P94" s="330"/>
      <c r="Q94" s="331"/>
      <c r="R94" s="5"/>
      <c r="S94" s="6"/>
      <c r="T94" s="7"/>
      <c r="U94" s="8"/>
    </row>
    <row r="95" spans="1:21" ht="15.75" thickBot="1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332"/>
      <c r="O95" s="333"/>
      <c r="P95" s="333"/>
      <c r="Q95" s="334"/>
      <c r="R95" s="1"/>
      <c r="S95" s="2"/>
      <c r="T95" s="3"/>
      <c r="U95" s="4"/>
    </row>
    <row r="96" spans="1:21" ht="15.75" thickBot="1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291"/>
      <c r="O96" s="292"/>
      <c r="P96" s="292"/>
      <c r="Q96" s="335"/>
      <c r="R96" s="336" t="s">
        <v>52</v>
      </c>
      <c r="S96" s="337"/>
      <c r="T96" s="337"/>
      <c r="U96" s="338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disablePrompts="1"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A3" sqref="A3"/>
    </sheetView>
  </sheetViews>
  <sheetFormatPr defaultColWidth="9" defaultRowHeight="15"/>
  <cols>
    <col min="1" max="1" width="5.140625" style="14" bestFit="1" customWidth="1"/>
    <col min="2" max="2" width="7.5703125" style="14" customWidth="1"/>
    <col min="3" max="3" width="8.5703125" style="14" customWidth="1"/>
    <col min="4" max="4" width="10.28515625" style="183" customWidth="1"/>
    <col min="5" max="5" width="5.7109375" style="156" customWidth="1"/>
    <col min="6" max="6" width="5.5703125" style="14" customWidth="1"/>
    <col min="7" max="7" width="7.28515625" style="14" customWidth="1"/>
    <col min="8" max="8" width="6.7109375" style="14" customWidth="1"/>
    <col min="9" max="11" width="6.7109375" style="156" customWidth="1"/>
    <col min="12" max="13" width="6.7109375" style="14" customWidth="1"/>
    <col min="14" max="14" width="7.7109375" style="14" customWidth="1"/>
    <col min="15" max="15" width="5.42578125" style="156" customWidth="1"/>
    <col min="16" max="17" width="4.5703125" style="156" customWidth="1"/>
    <col min="18" max="18" width="9.5703125" style="14" customWidth="1"/>
    <col min="19" max="20" width="7.7109375" style="53" customWidth="1"/>
    <col min="21" max="21" width="7.7109375" style="36" customWidth="1"/>
    <col min="22" max="25" width="11.140625" style="14" customWidth="1"/>
    <col min="26" max="26" width="11.42578125" style="14" customWidth="1"/>
    <col min="27" max="27" width="11.5703125" style="14" customWidth="1"/>
    <col min="28" max="29" width="10.42578125" style="14" customWidth="1"/>
    <col min="30" max="30" width="9.85546875" style="14" customWidth="1"/>
    <col min="31" max="31" width="10.7109375" style="14" customWidth="1"/>
    <col min="32" max="32" width="11.7109375" style="14" customWidth="1"/>
    <col min="33" max="33" width="14" style="14" customWidth="1"/>
    <col min="34" max="34" width="11.140625" style="14" customWidth="1"/>
    <col min="35" max="35" width="12" style="14" customWidth="1"/>
    <col min="36" max="36" width="9" style="14"/>
    <col min="37" max="37" width="10.5703125" style="14" customWidth="1"/>
    <col min="38" max="38" width="12" style="14" customWidth="1"/>
    <col min="39" max="39" width="10.28515625" style="14" customWidth="1"/>
    <col min="40" max="41" width="9" style="14"/>
    <col min="42" max="42" width="10.85546875" style="14" customWidth="1"/>
    <col min="43" max="43" width="13.7109375" style="14" customWidth="1"/>
    <col min="44" max="44" width="10.85546875" style="14" customWidth="1"/>
    <col min="45" max="16384" width="9" style="14"/>
  </cols>
  <sheetData>
    <row r="1" spans="1:44" ht="15.75" thickBot="1">
      <c r="A1" s="249" t="s">
        <v>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1"/>
    </row>
    <row r="2" spans="1:44" ht="15.75" thickBot="1">
      <c r="A2" s="249" t="s">
        <v>97</v>
      </c>
      <c r="B2" s="250"/>
      <c r="C2" s="250"/>
      <c r="D2" s="250"/>
      <c r="E2" s="250"/>
      <c r="F2" s="250"/>
      <c r="G2" s="251"/>
      <c r="H2" s="252" t="s">
        <v>49</v>
      </c>
      <c r="I2" s="253"/>
      <c r="J2" s="249"/>
      <c r="K2" s="251"/>
      <c r="L2" s="253" t="s">
        <v>96</v>
      </c>
      <c r="M2" s="254"/>
      <c r="N2" s="252"/>
      <c r="O2" s="250"/>
      <c r="P2" s="250"/>
      <c r="Q2" s="251"/>
      <c r="R2" s="253" t="s">
        <v>51</v>
      </c>
      <c r="S2" s="252"/>
      <c r="T2" s="255"/>
      <c r="U2" s="255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>
      <c r="A3" s="15" t="s">
        <v>6</v>
      </c>
      <c r="H3" s="9"/>
      <c r="I3" s="18"/>
      <c r="T3" s="10"/>
      <c r="U3" s="11"/>
    </row>
    <row r="4" spans="1:44" ht="15.75" thickBot="1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59" t="s">
        <v>8</v>
      </c>
      <c r="P4" s="259"/>
      <c r="Q4" s="259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260"/>
      <c r="P5" s="261"/>
      <c r="Q5" s="262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63"/>
      <c r="P6" s="264"/>
      <c r="Q6" s="265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6"/>
      <c r="P7" s="267"/>
      <c r="Q7" s="268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69"/>
      <c r="P8" s="270"/>
      <c r="Q8" s="271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69"/>
      <c r="P9" s="270"/>
      <c r="Q9" s="271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56"/>
      <c r="P10" s="257"/>
      <c r="Q10" s="25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6"/>
      <c r="P11" s="267"/>
      <c r="Q11" s="2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6"/>
      <c r="P12" s="267"/>
      <c r="Q12" s="2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6"/>
      <c r="P13" s="267"/>
      <c r="Q13" s="268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6"/>
      <c r="P14" s="267"/>
      <c r="Q14" s="268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6"/>
      <c r="P15" s="267"/>
      <c r="Q15" s="2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6"/>
      <c r="P16" s="267"/>
      <c r="Q16" s="268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6"/>
      <c r="P17" s="267"/>
      <c r="Q17" s="26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6"/>
      <c r="P18" s="267"/>
      <c r="Q18" s="26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6"/>
      <c r="P19" s="267"/>
      <c r="Q19" s="267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74"/>
      <c r="P20" s="275"/>
      <c r="Q20" s="27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6"/>
      <c r="P21" s="267"/>
      <c r="Q21" s="267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6"/>
      <c r="P22" s="267"/>
      <c r="Q22" s="26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72"/>
      <c r="Y23" s="273"/>
      <c r="Z23" s="273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6"/>
      <c r="P24" s="267"/>
      <c r="Q24" s="2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6"/>
      <c r="P25" s="267"/>
      <c r="Q25" s="26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76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6"/>
      <c r="P26" s="267"/>
      <c r="Q26" s="268"/>
      <c r="R26" s="103">
        <f>R25*37.5</f>
        <v>0</v>
      </c>
      <c r="S26" s="93">
        <f>S25*41.5</f>
        <v>0</v>
      </c>
      <c r="T26" s="93">
        <f>T25*50</f>
        <v>0</v>
      </c>
      <c r="U26" s="277"/>
      <c r="X26" s="41" t="s">
        <v>30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6"/>
      <c r="P27" s="267"/>
      <c r="Q27" s="268"/>
      <c r="R27" s="288" t="s">
        <v>56</v>
      </c>
      <c r="S27" s="289"/>
      <c r="T27" s="289"/>
      <c r="U27" s="290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6"/>
      <c r="P28" s="267"/>
      <c r="Q28" s="268"/>
      <c r="R28" s="281"/>
      <c r="S28" s="282"/>
      <c r="T28" s="283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297"/>
      <c r="P29" s="298"/>
      <c r="Q29" s="299"/>
      <c r="R29" s="300"/>
      <c r="S29" s="301"/>
      <c r="T29" s="302"/>
      <c r="U29" s="140"/>
      <c r="X29" s="14">
        <v>3</v>
      </c>
      <c r="Z29" s="45"/>
      <c r="AE29" s="39"/>
    </row>
    <row r="30" spans="1:44" ht="16.5" customHeight="1" thickBot="1">
      <c r="A30" s="303" t="s">
        <v>48</v>
      </c>
      <c r="B30" s="304"/>
      <c r="C30" s="304"/>
      <c r="D30" s="304"/>
      <c r="E30" s="305"/>
      <c r="F30" s="304"/>
      <c r="G30" s="304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06"/>
      <c r="S30" s="306"/>
      <c r="T30" s="307"/>
      <c r="U30" s="141"/>
      <c r="X30" s="14">
        <v>4</v>
      </c>
      <c r="Z30" s="45"/>
      <c r="AD30" s="46"/>
    </row>
    <row r="31" spans="1:44">
      <c r="A31" s="308" t="s">
        <v>16</v>
      </c>
      <c r="B31" s="309"/>
      <c r="C31" s="309"/>
      <c r="D31" s="309"/>
      <c r="E31" s="309"/>
      <c r="F31" s="309"/>
      <c r="G31" s="309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293">
        <f>H31+I31+L31+M31</f>
        <v>0</v>
      </c>
      <c r="U31" s="294"/>
      <c r="X31" s="47" t="s">
        <v>28</v>
      </c>
      <c r="Y31" s="47"/>
      <c r="Z31" s="47">
        <f>SUM(Z27:Z30)</f>
        <v>-2745</v>
      </c>
      <c r="AE31" s="39"/>
    </row>
    <row r="32" spans="1:44" ht="15.75" thickBot="1">
      <c r="A32" s="284" t="s">
        <v>55</v>
      </c>
      <c r="B32" s="285"/>
      <c r="C32" s="98">
        <f>H31+I31+J31+K31</f>
        <v>0</v>
      </c>
      <c r="D32" s="186"/>
      <c r="E32" s="98"/>
      <c r="F32" s="286" t="s">
        <v>53</v>
      </c>
      <c r="G32" s="286"/>
      <c r="H32" s="100">
        <f>COUNT(B5:B29,B37:B61,B69:B93)</f>
        <v>0</v>
      </c>
      <c r="I32" s="287" t="s">
        <v>54</v>
      </c>
      <c r="J32" s="287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295"/>
      <c r="U32" s="296"/>
      <c r="V32" s="39"/>
      <c r="W32" s="39"/>
      <c r="X32" s="48" t="s">
        <v>27</v>
      </c>
      <c r="Y32" s="48"/>
      <c r="Z32" s="47">
        <f>I31</f>
        <v>0</v>
      </c>
    </row>
    <row r="33" spans="1:33" ht="15.75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50"/>
      <c r="U33" s="251"/>
      <c r="X33" s="49" t="s">
        <v>29</v>
      </c>
      <c r="Y33" s="49"/>
      <c r="Z33" s="50">
        <f>SUM(Z31:Z32)</f>
        <v>-2745</v>
      </c>
      <c r="AG33" s="35"/>
    </row>
    <row r="34" spans="1:33" ht="15.75" thickBot="1">
      <c r="A34" s="249" t="str">
        <f>A2</f>
        <v>/ / 2023</v>
      </c>
      <c r="B34" s="250"/>
      <c r="C34" s="250"/>
      <c r="D34" s="250"/>
      <c r="E34" s="250"/>
      <c r="F34" s="250"/>
      <c r="G34" s="251"/>
      <c r="H34" s="252" t="s">
        <v>49</v>
      </c>
      <c r="I34" s="253"/>
      <c r="J34" s="249">
        <f>J2</f>
        <v>0</v>
      </c>
      <c r="K34" s="251"/>
      <c r="L34" s="253" t="s">
        <v>50</v>
      </c>
      <c r="M34" s="254"/>
      <c r="N34" s="252"/>
      <c r="O34" s="250">
        <f>O2</f>
        <v>0</v>
      </c>
      <c r="P34" s="250"/>
      <c r="Q34" s="251"/>
      <c r="R34" s="253" t="s">
        <v>51</v>
      </c>
      <c r="S34" s="252"/>
      <c r="T34" s="255">
        <f>T2</f>
        <v>0</v>
      </c>
      <c r="U34" s="255"/>
      <c r="Z34" s="39"/>
    </row>
    <row r="35" spans="1:33" ht="15.75" thickBot="1">
      <c r="A35" s="15" t="s">
        <v>6</v>
      </c>
      <c r="H35" s="9"/>
      <c r="I35" s="18"/>
      <c r="T35" s="10"/>
      <c r="U35" s="11"/>
    </row>
    <row r="36" spans="1:33" ht="15.75" thickBot="1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59" t="s">
        <v>8</v>
      </c>
      <c r="P36" s="259"/>
      <c r="Q36" s="259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6"/>
      <c r="P37" s="267"/>
      <c r="Q37" s="268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63"/>
      <c r="P38" s="264"/>
      <c r="Q38" s="265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6"/>
      <c r="P39" s="267"/>
      <c r="Q39" s="268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69"/>
      <c r="P40" s="270"/>
      <c r="Q40" s="271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69"/>
      <c r="P41" s="270"/>
      <c r="Q41" s="271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56"/>
      <c r="P42" s="257"/>
      <c r="Q42" s="258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6"/>
      <c r="P43" s="267"/>
      <c r="Q43" s="268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6"/>
      <c r="P44" s="267"/>
      <c r="Q44" s="268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6"/>
      <c r="P45" s="267"/>
      <c r="Q45" s="268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6"/>
      <c r="P46" s="267"/>
      <c r="Q46" s="268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6"/>
      <c r="P47" s="267"/>
      <c r="Q47" s="268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6"/>
      <c r="P48" s="267"/>
      <c r="Q48" s="268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6"/>
      <c r="P49" s="267"/>
      <c r="Q49" s="268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6"/>
      <c r="P50" s="267"/>
      <c r="Q50" s="268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6"/>
      <c r="P51" s="267"/>
      <c r="Q51" s="267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6"/>
      <c r="P52" s="267"/>
      <c r="Q52" s="267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0"/>
      <c r="P53" s="266"/>
      <c r="Q53" s="266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0"/>
      <c r="P54" s="266"/>
      <c r="Q54" s="266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0"/>
      <c r="P55" s="266"/>
      <c r="Q55" s="266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7"/>
      <c r="P56" s="267"/>
      <c r="Q56" s="267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6"/>
      <c r="P57" s="267"/>
      <c r="Q57" s="267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7"/>
      <c r="P58" s="267"/>
      <c r="Q58" s="267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7"/>
      <c r="P59" s="267"/>
      <c r="Q59" s="267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6"/>
      <c r="P60" s="267"/>
      <c r="Q60" s="268"/>
      <c r="R60" s="72"/>
      <c r="S60" s="59"/>
      <c r="T60" s="59"/>
      <c r="U60" s="68"/>
    </row>
    <row r="61" spans="1:21" ht="15.7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1"/>
      <c r="P61" s="312"/>
      <c r="Q61" s="313"/>
      <c r="R61" s="72"/>
      <c r="S61" s="59"/>
      <c r="T61" s="59"/>
      <c r="U61" s="68"/>
    </row>
    <row r="62" spans="1:21">
      <c r="A62" s="314" t="s">
        <v>48</v>
      </c>
      <c r="B62" s="315"/>
      <c r="C62" s="315"/>
      <c r="D62" s="315"/>
      <c r="E62" s="315"/>
      <c r="F62" s="315"/>
      <c r="G62" s="315"/>
      <c r="H62" s="315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329"/>
      <c r="O62" s="330"/>
      <c r="P62" s="330"/>
      <c r="Q62" s="331"/>
      <c r="R62" s="5"/>
      <c r="S62" s="6"/>
      <c r="T62" s="7"/>
      <c r="U62" s="8"/>
    </row>
    <row r="63" spans="1:21" ht="15.75" thickBot="1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332"/>
      <c r="O63" s="333"/>
      <c r="P63" s="333"/>
      <c r="Q63" s="334"/>
      <c r="R63" s="1"/>
      <c r="S63" s="2"/>
      <c r="T63" s="3"/>
      <c r="U63" s="4"/>
    </row>
    <row r="64" spans="1:21" ht="15.75" thickBot="1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291"/>
      <c r="O64" s="292"/>
      <c r="P64" s="292"/>
      <c r="Q64" s="335"/>
      <c r="R64" s="336" t="s">
        <v>17</v>
      </c>
      <c r="S64" s="337"/>
      <c r="T64" s="337"/>
      <c r="U64" s="338"/>
    </row>
    <row r="65" spans="1:21" ht="15.75" thickBot="1">
      <c r="A65" s="249" t="s">
        <v>24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</row>
    <row r="66" spans="1:21" ht="15.75" thickBot="1">
      <c r="A66" s="249" t="str">
        <f>A34</f>
        <v>/ / 2023</v>
      </c>
      <c r="B66" s="250"/>
      <c r="C66" s="250"/>
      <c r="D66" s="250"/>
      <c r="E66" s="250"/>
      <c r="F66" s="250"/>
      <c r="G66" s="251"/>
      <c r="H66" s="252" t="s">
        <v>49</v>
      </c>
      <c r="I66" s="253"/>
      <c r="J66" s="249">
        <f>J34</f>
        <v>0</v>
      </c>
      <c r="K66" s="251"/>
      <c r="L66" s="253" t="s">
        <v>50</v>
      </c>
      <c r="M66" s="254"/>
      <c r="N66" s="252"/>
      <c r="O66" s="250">
        <f>O34</f>
        <v>0</v>
      </c>
      <c r="P66" s="250"/>
      <c r="Q66" s="251"/>
      <c r="R66" s="253" t="s">
        <v>51</v>
      </c>
      <c r="S66" s="252"/>
      <c r="T66" s="255">
        <f>T34</f>
        <v>0</v>
      </c>
      <c r="U66" s="255"/>
    </row>
    <row r="67" spans="1:21" ht="15.75" thickBot="1">
      <c r="A67" s="15" t="s">
        <v>6</v>
      </c>
      <c r="H67" s="9"/>
      <c r="I67" s="18"/>
      <c r="T67" s="10"/>
      <c r="U67" s="11"/>
    </row>
    <row r="68" spans="1:21" ht="15.75" thickBot="1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59" t="s">
        <v>8</v>
      </c>
      <c r="P68" s="259"/>
      <c r="Q68" s="259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6"/>
      <c r="P69" s="267"/>
      <c r="Q69" s="268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63"/>
      <c r="P70" s="264"/>
      <c r="Q70" s="265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6"/>
      <c r="P71" s="267"/>
      <c r="Q71" s="268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69"/>
      <c r="P72" s="270"/>
      <c r="Q72" s="271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69"/>
      <c r="P73" s="270"/>
      <c r="Q73" s="271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56"/>
      <c r="P74" s="257"/>
      <c r="Q74" s="258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6"/>
      <c r="P75" s="267"/>
      <c r="Q75" s="268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6"/>
      <c r="P76" s="267"/>
      <c r="Q76" s="268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6"/>
      <c r="P77" s="267"/>
      <c r="Q77" s="268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6"/>
      <c r="P78" s="267"/>
      <c r="Q78" s="268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6"/>
      <c r="P79" s="267"/>
      <c r="Q79" s="268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6"/>
      <c r="P80" s="267"/>
      <c r="Q80" s="268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6"/>
      <c r="P81" s="267"/>
      <c r="Q81" s="268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6"/>
      <c r="P82" s="267"/>
      <c r="Q82" s="268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6"/>
      <c r="P83" s="267"/>
      <c r="Q83" s="267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6"/>
      <c r="P84" s="267"/>
      <c r="Q84" s="267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0"/>
      <c r="P85" s="266"/>
      <c r="Q85" s="266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0"/>
      <c r="P86" s="266"/>
      <c r="Q86" s="266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0"/>
      <c r="P87" s="266"/>
      <c r="Q87" s="266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7"/>
      <c r="P88" s="267"/>
      <c r="Q88" s="267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6"/>
      <c r="P89" s="267"/>
      <c r="Q89" s="267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7"/>
      <c r="P90" s="267"/>
      <c r="Q90" s="267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7"/>
      <c r="P91" s="267"/>
      <c r="Q91" s="267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6"/>
      <c r="P92" s="267"/>
      <c r="Q92" s="268"/>
      <c r="R92" s="72"/>
      <c r="S92" s="59"/>
      <c r="T92" s="59"/>
      <c r="U92" s="68"/>
    </row>
    <row r="93" spans="1:21" ht="15.7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1"/>
      <c r="P93" s="312"/>
      <c r="Q93" s="313"/>
      <c r="R93" s="72"/>
      <c r="S93" s="59"/>
      <c r="T93" s="59"/>
      <c r="U93" s="68"/>
    </row>
    <row r="94" spans="1:21">
      <c r="A94" s="314" t="s">
        <v>48</v>
      </c>
      <c r="B94" s="315"/>
      <c r="C94" s="315"/>
      <c r="D94" s="315"/>
      <c r="E94" s="339"/>
      <c r="F94" s="315"/>
      <c r="G94" s="315"/>
      <c r="H94" s="315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329"/>
      <c r="O94" s="330"/>
      <c r="P94" s="330"/>
      <c r="Q94" s="331"/>
      <c r="R94" s="5"/>
      <c r="S94" s="6"/>
      <c r="T94" s="7"/>
      <c r="U94" s="8"/>
    </row>
    <row r="95" spans="1:21" ht="15.75" thickBot="1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332"/>
      <c r="O95" s="333"/>
      <c r="P95" s="333"/>
      <c r="Q95" s="334"/>
      <c r="R95" s="1"/>
      <c r="S95" s="2"/>
      <c r="T95" s="3"/>
      <c r="U95" s="4"/>
    </row>
    <row r="96" spans="1:21" ht="15.75" thickBot="1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291"/>
      <c r="O96" s="292"/>
      <c r="P96" s="292"/>
      <c r="Q96" s="335"/>
      <c r="R96" s="336" t="s">
        <v>52</v>
      </c>
      <c r="S96" s="337"/>
      <c r="T96" s="337"/>
      <c r="U96" s="338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A3" sqref="A3"/>
    </sheetView>
  </sheetViews>
  <sheetFormatPr defaultColWidth="9" defaultRowHeight="15"/>
  <cols>
    <col min="1" max="1" width="5.140625" style="14" bestFit="1" customWidth="1"/>
    <col min="2" max="2" width="7.5703125" style="14" customWidth="1"/>
    <col min="3" max="3" width="8.5703125" style="14" customWidth="1"/>
    <col min="4" max="4" width="10.28515625" style="183" customWidth="1"/>
    <col min="5" max="5" width="5.7109375" style="156" customWidth="1"/>
    <col min="6" max="6" width="5.5703125" style="14" customWidth="1"/>
    <col min="7" max="7" width="7.28515625" style="14" customWidth="1"/>
    <col min="8" max="8" width="6.7109375" style="14" customWidth="1"/>
    <col min="9" max="11" width="6.7109375" style="156" customWidth="1"/>
    <col min="12" max="13" width="6.7109375" style="14" customWidth="1"/>
    <col min="14" max="14" width="7.7109375" style="14" customWidth="1"/>
    <col min="15" max="15" width="5.42578125" style="156" customWidth="1"/>
    <col min="16" max="17" width="4.5703125" style="156" customWidth="1"/>
    <col min="18" max="18" width="9.5703125" style="14" customWidth="1"/>
    <col min="19" max="20" width="7.7109375" style="53" customWidth="1"/>
    <col min="21" max="21" width="7.7109375" style="36" customWidth="1"/>
    <col min="22" max="25" width="11.140625" style="14" customWidth="1"/>
    <col min="26" max="26" width="11.42578125" style="14" customWidth="1"/>
    <col min="27" max="27" width="11.5703125" style="14" customWidth="1"/>
    <col min="28" max="29" width="10.42578125" style="14" customWidth="1"/>
    <col min="30" max="30" width="9.85546875" style="14" customWidth="1"/>
    <col min="31" max="31" width="10.7109375" style="14" customWidth="1"/>
    <col min="32" max="32" width="11.7109375" style="14" customWidth="1"/>
    <col min="33" max="33" width="14" style="14" customWidth="1"/>
    <col min="34" max="34" width="11.140625" style="14" customWidth="1"/>
    <col min="35" max="35" width="12" style="14" customWidth="1"/>
    <col min="36" max="36" width="9" style="14"/>
    <col min="37" max="37" width="10.5703125" style="14" customWidth="1"/>
    <col min="38" max="38" width="12" style="14" customWidth="1"/>
    <col min="39" max="39" width="10.28515625" style="14" customWidth="1"/>
    <col min="40" max="41" width="9" style="14"/>
    <col min="42" max="42" width="10.85546875" style="14" customWidth="1"/>
    <col min="43" max="43" width="13.7109375" style="14" customWidth="1"/>
    <col min="44" max="44" width="10.85546875" style="14" customWidth="1"/>
    <col min="45" max="16384" width="9" style="14"/>
  </cols>
  <sheetData>
    <row r="1" spans="1:44" ht="15.75" thickBot="1">
      <c r="A1" s="249" t="s">
        <v>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1"/>
    </row>
    <row r="2" spans="1:44" ht="15.75" thickBot="1">
      <c r="A2" s="249" t="s">
        <v>97</v>
      </c>
      <c r="B2" s="250"/>
      <c r="C2" s="250"/>
      <c r="D2" s="250"/>
      <c r="E2" s="250"/>
      <c r="F2" s="250"/>
      <c r="G2" s="251"/>
      <c r="H2" s="252" t="s">
        <v>49</v>
      </c>
      <c r="I2" s="253"/>
      <c r="J2" s="249"/>
      <c r="K2" s="251"/>
      <c r="L2" s="253" t="s">
        <v>96</v>
      </c>
      <c r="M2" s="254"/>
      <c r="N2" s="252"/>
      <c r="O2" s="250"/>
      <c r="P2" s="250"/>
      <c r="Q2" s="251"/>
      <c r="R2" s="253" t="s">
        <v>51</v>
      </c>
      <c r="S2" s="252"/>
      <c r="T2" s="255"/>
      <c r="U2" s="255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>
      <c r="A3" s="15" t="s">
        <v>6</v>
      </c>
      <c r="H3" s="9"/>
      <c r="I3" s="18"/>
      <c r="T3" s="10"/>
      <c r="U3" s="11"/>
    </row>
    <row r="4" spans="1:44" ht="15.75" thickBot="1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59" t="s">
        <v>8</v>
      </c>
      <c r="P4" s="259"/>
      <c r="Q4" s="259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260"/>
      <c r="P5" s="261"/>
      <c r="Q5" s="262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63"/>
      <c r="P6" s="264"/>
      <c r="Q6" s="265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6"/>
      <c r="P7" s="267"/>
      <c r="Q7" s="268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69"/>
      <c r="P8" s="270"/>
      <c r="Q8" s="271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69"/>
      <c r="P9" s="270"/>
      <c r="Q9" s="271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56"/>
      <c r="P10" s="257"/>
      <c r="Q10" s="25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6"/>
      <c r="P11" s="267"/>
      <c r="Q11" s="2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6"/>
      <c r="P12" s="267"/>
      <c r="Q12" s="2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6"/>
      <c r="P13" s="267"/>
      <c r="Q13" s="268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6"/>
      <c r="P14" s="267"/>
      <c r="Q14" s="268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6"/>
      <c r="P15" s="267"/>
      <c r="Q15" s="2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6"/>
      <c r="P16" s="267"/>
      <c r="Q16" s="268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6"/>
      <c r="P17" s="267"/>
      <c r="Q17" s="26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6"/>
      <c r="P18" s="267"/>
      <c r="Q18" s="26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6"/>
      <c r="P19" s="267"/>
      <c r="Q19" s="267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74"/>
      <c r="P20" s="275"/>
      <c r="Q20" s="27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6"/>
      <c r="P21" s="267"/>
      <c r="Q21" s="267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6"/>
      <c r="P22" s="267"/>
      <c r="Q22" s="26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72"/>
      <c r="Y23" s="273"/>
      <c r="Z23" s="273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6"/>
      <c r="P24" s="267"/>
      <c r="Q24" s="2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6"/>
      <c r="P25" s="267"/>
      <c r="Q25" s="26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76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6"/>
      <c r="P26" s="267"/>
      <c r="Q26" s="268"/>
      <c r="R26" s="103">
        <f>R25*37.5</f>
        <v>0</v>
      </c>
      <c r="S26" s="93">
        <f>S25*41.5</f>
        <v>0</v>
      </c>
      <c r="T26" s="93">
        <f>T25*50</f>
        <v>0</v>
      </c>
      <c r="U26" s="277"/>
      <c r="X26" s="41" t="s">
        <v>30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6"/>
      <c r="P27" s="267"/>
      <c r="Q27" s="268"/>
      <c r="R27" s="288" t="s">
        <v>56</v>
      </c>
      <c r="S27" s="289"/>
      <c r="T27" s="289"/>
      <c r="U27" s="290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6"/>
      <c r="P28" s="267"/>
      <c r="Q28" s="268"/>
      <c r="R28" s="281"/>
      <c r="S28" s="282"/>
      <c r="T28" s="283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297"/>
      <c r="P29" s="298"/>
      <c r="Q29" s="299"/>
      <c r="R29" s="300"/>
      <c r="S29" s="301"/>
      <c r="T29" s="302"/>
      <c r="U29" s="140"/>
      <c r="X29" s="14">
        <v>3</v>
      </c>
      <c r="Z29" s="45"/>
      <c r="AE29" s="39"/>
    </row>
    <row r="30" spans="1:44" ht="16.5" customHeight="1" thickBot="1">
      <c r="A30" s="303" t="s">
        <v>48</v>
      </c>
      <c r="B30" s="304"/>
      <c r="C30" s="304"/>
      <c r="D30" s="304"/>
      <c r="E30" s="305"/>
      <c r="F30" s="304"/>
      <c r="G30" s="304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06"/>
      <c r="S30" s="306"/>
      <c r="T30" s="307"/>
      <c r="U30" s="141"/>
      <c r="X30" s="14">
        <v>4</v>
      </c>
      <c r="Z30" s="45"/>
      <c r="AD30" s="46"/>
    </row>
    <row r="31" spans="1:44">
      <c r="A31" s="308" t="s">
        <v>16</v>
      </c>
      <c r="B31" s="309"/>
      <c r="C31" s="309"/>
      <c r="D31" s="309"/>
      <c r="E31" s="309"/>
      <c r="F31" s="309"/>
      <c r="G31" s="309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293">
        <f>H31+I31+L31+M31</f>
        <v>0</v>
      </c>
      <c r="U31" s="294"/>
      <c r="X31" s="47" t="s">
        <v>28</v>
      </c>
      <c r="Y31" s="47"/>
      <c r="Z31" s="47">
        <f>SUM(Z27:Z30)</f>
        <v>-2745</v>
      </c>
      <c r="AE31" s="39"/>
    </row>
    <row r="32" spans="1:44" ht="15.75" thickBot="1">
      <c r="A32" s="284" t="s">
        <v>55</v>
      </c>
      <c r="B32" s="285"/>
      <c r="C32" s="98">
        <f>H31+I31+J31+K31</f>
        <v>0</v>
      </c>
      <c r="D32" s="186"/>
      <c r="E32" s="98"/>
      <c r="F32" s="286" t="s">
        <v>53</v>
      </c>
      <c r="G32" s="286"/>
      <c r="H32" s="100">
        <f>COUNT(B5:B29,B37:B61,B69:B93)</f>
        <v>0</v>
      </c>
      <c r="I32" s="287" t="s">
        <v>54</v>
      </c>
      <c r="J32" s="287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295"/>
      <c r="U32" s="296"/>
      <c r="V32" s="39"/>
      <c r="W32" s="39"/>
      <c r="X32" s="48" t="s">
        <v>27</v>
      </c>
      <c r="Y32" s="48"/>
      <c r="Z32" s="47">
        <f>I31</f>
        <v>0</v>
      </c>
    </row>
    <row r="33" spans="1:33" ht="15.75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50"/>
      <c r="U33" s="251"/>
      <c r="X33" s="49" t="s">
        <v>29</v>
      </c>
      <c r="Y33" s="49"/>
      <c r="Z33" s="50">
        <f>SUM(Z31:Z32)</f>
        <v>-2745</v>
      </c>
      <c r="AG33" s="35"/>
    </row>
    <row r="34" spans="1:33" ht="15.75" thickBot="1">
      <c r="A34" s="249" t="str">
        <f>A2</f>
        <v>/ / 2023</v>
      </c>
      <c r="B34" s="250"/>
      <c r="C34" s="250"/>
      <c r="D34" s="250"/>
      <c r="E34" s="250"/>
      <c r="F34" s="250"/>
      <c r="G34" s="251"/>
      <c r="H34" s="252" t="s">
        <v>49</v>
      </c>
      <c r="I34" s="253"/>
      <c r="J34" s="249">
        <f>J2</f>
        <v>0</v>
      </c>
      <c r="K34" s="251"/>
      <c r="L34" s="253" t="s">
        <v>50</v>
      </c>
      <c r="M34" s="254"/>
      <c r="N34" s="252"/>
      <c r="O34" s="250">
        <f>O2</f>
        <v>0</v>
      </c>
      <c r="P34" s="250"/>
      <c r="Q34" s="251"/>
      <c r="R34" s="253" t="s">
        <v>51</v>
      </c>
      <c r="S34" s="252"/>
      <c r="T34" s="255">
        <f>T2</f>
        <v>0</v>
      </c>
      <c r="U34" s="255"/>
      <c r="Z34" s="39"/>
    </row>
    <row r="35" spans="1:33" ht="15.75" thickBot="1">
      <c r="A35" s="15" t="s">
        <v>6</v>
      </c>
      <c r="H35" s="9"/>
      <c r="I35" s="18"/>
      <c r="T35" s="10"/>
      <c r="U35" s="11"/>
    </row>
    <row r="36" spans="1:33" ht="15.75" thickBot="1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59" t="s">
        <v>8</v>
      </c>
      <c r="P36" s="259"/>
      <c r="Q36" s="259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6"/>
      <c r="P37" s="267"/>
      <c r="Q37" s="268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63"/>
      <c r="P38" s="264"/>
      <c r="Q38" s="265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6"/>
      <c r="P39" s="267"/>
      <c r="Q39" s="268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69"/>
      <c r="P40" s="270"/>
      <c r="Q40" s="271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69"/>
      <c r="P41" s="270"/>
      <c r="Q41" s="271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56"/>
      <c r="P42" s="257"/>
      <c r="Q42" s="258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6"/>
      <c r="P43" s="267"/>
      <c r="Q43" s="268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6"/>
      <c r="P44" s="267"/>
      <c r="Q44" s="268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6"/>
      <c r="P45" s="267"/>
      <c r="Q45" s="268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6"/>
      <c r="P46" s="267"/>
      <c r="Q46" s="268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6"/>
      <c r="P47" s="267"/>
      <c r="Q47" s="268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6"/>
      <c r="P48" s="267"/>
      <c r="Q48" s="268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6"/>
      <c r="P49" s="267"/>
      <c r="Q49" s="268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6"/>
      <c r="P50" s="267"/>
      <c r="Q50" s="268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6"/>
      <c r="P51" s="267"/>
      <c r="Q51" s="267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6"/>
      <c r="P52" s="267"/>
      <c r="Q52" s="267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0"/>
      <c r="P53" s="266"/>
      <c r="Q53" s="266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0"/>
      <c r="P54" s="266"/>
      <c r="Q54" s="266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0"/>
      <c r="P55" s="266"/>
      <c r="Q55" s="266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7"/>
      <c r="P56" s="267"/>
      <c r="Q56" s="267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6"/>
      <c r="P57" s="267"/>
      <c r="Q57" s="267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7"/>
      <c r="P58" s="267"/>
      <c r="Q58" s="267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7"/>
      <c r="P59" s="267"/>
      <c r="Q59" s="267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6"/>
      <c r="P60" s="267"/>
      <c r="Q60" s="268"/>
      <c r="R60" s="72"/>
      <c r="S60" s="59"/>
      <c r="T60" s="59"/>
      <c r="U60" s="68"/>
    </row>
    <row r="61" spans="1:21" ht="15.7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1"/>
      <c r="P61" s="312"/>
      <c r="Q61" s="313"/>
      <c r="R61" s="72"/>
      <c r="S61" s="59"/>
      <c r="T61" s="59"/>
      <c r="U61" s="68"/>
    </row>
    <row r="62" spans="1:21">
      <c r="A62" s="314" t="s">
        <v>48</v>
      </c>
      <c r="B62" s="315"/>
      <c r="C62" s="315"/>
      <c r="D62" s="315"/>
      <c r="E62" s="315"/>
      <c r="F62" s="315"/>
      <c r="G62" s="315"/>
      <c r="H62" s="315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329"/>
      <c r="O62" s="330"/>
      <c r="P62" s="330"/>
      <c r="Q62" s="331"/>
      <c r="R62" s="5"/>
      <c r="S62" s="6"/>
      <c r="T62" s="7"/>
      <c r="U62" s="8"/>
    </row>
    <row r="63" spans="1:21" ht="15.75" thickBot="1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332"/>
      <c r="O63" s="333"/>
      <c r="P63" s="333"/>
      <c r="Q63" s="334"/>
      <c r="R63" s="1"/>
      <c r="S63" s="2"/>
      <c r="T63" s="3"/>
      <c r="U63" s="4"/>
    </row>
    <row r="64" spans="1:21" ht="15.75" thickBot="1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291"/>
      <c r="O64" s="292"/>
      <c r="P64" s="292"/>
      <c r="Q64" s="335"/>
      <c r="R64" s="336" t="s">
        <v>17</v>
      </c>
      <c r="S64" s="337"/>
      <c r="T64" s="337"/>
      <c r="U64" s="338"/>
    </row>
    <row r="65" spans="1:21" ht="15.75" thickBot="1">
      <c r="A65" s="249" t="s">
        <v>24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</row>
    <row r="66" spans="1:21" ht="15.75" thickBot="1">
      <c r="A66" s="249" t="str">
        <f>A34</f>
        <v>/ / 2023</v>
      </c>
      <c r="B66" s="250"/>
      <c r="C66" s="250"/>
      <c r="D66" s="250"/>
      <c r="E66" s="250"/>
      <c r="F66" s="250"/>
      <c r="G66" s="251"/>
      <c r="H66" s="252" t="s">
        <v>49</v>
      </c>
      <c r="I66" s="253"/>
      <c r="J66" s="249">
        <f>J34</f>
        <v>0</v>
      </c>
      <c r="K66" s="251"/>
      <c r="L66" s="253" t="s">
        <v>50</v>
      </c>
      <c r="M66" s="254"/>
      <c r="N66" s="252"/>
      <c r="O66" s="250">
        <f>O34</f>
        <v>0</v>
      </c>
      <c r="P66" s="250"/>
      <c r="Q66" s="251"/>
      <c r="R66" s="253" t="s">
        <v>51</v>
      </c>
      <c r="S66" s="252"/>
      <c r="T66" s="255">
        <f>T34</f>
        <v>0</v>
      </c>
      <c r="U66" s="255"/>
    </row>
    <row r="67" spans="1:21" ht="15.75" thickBot="1">
      <c r="A67" s="15" t="s">
        <v>6</v>
      </c>
      <c r="H67" s="9"/>
      <c r="I67" s="18"/>
      <c r="T67" s="10"/>
      <c r="U67" s="11"/>
    </row>
    <row r="68" spans="1:21" ht="15.75" thickBot="1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59" t="s">
        <v>8</v>
      </c>
      <c r="P68" s="259"/>
      <c r="Q68" s="259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6"/>
      <c r="P69" s="267"/>
      <c r="Q69" s="268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63"/>
      <c r="P70" s="264"/>
      <c r="Q70" s="265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6"/>
      <c r="P71" s="267"/>
      <c r="Q71" s="268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69"/>
      <c r="P72" s="270"/>
      <c r="Q72" s="271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69"/>
      <c r="P73" s="270"/>
      <c r="Q73" s="271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56"/>
      <c r="P74" s="257"/>
      <c r="Q74" s="258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6"/>
      <c r="P75" s="267"/>
      <c r="Q75" s="268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6"/>
      <c r="P76" s="267"/>
      <c r="Q76" s="268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6"/>
      <c r="P77" s="267"/>
      <c r="Q77" s="268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6"/>
      <c r="P78" s="267"/>
      <c r="Q78" s="268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6"/>
      <c r="P79" s="267"/>
      <c r="Q79" s="268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6"/>
      <c r="P80" s="267"/>
      <c r="Q80" s="268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6"/>
      <c r="P81" s="267"/>
      <c r="Q81" s="268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6"/>
      <c r="P82" s="267"/>
      <c r="Q82" s="268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6"/>
      <c r="P83" s="267"/>
      <c r="Q83" s="267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6"/>
      <c r="P84" s="267"/>
      <c r="Q84" s="267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0"/>
      <c r="P85" s="266"/>
      <c r="Q85" s="266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0"/>
      <c r="P86" s="266"/>
      <c r="Q86" s="266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0"/>
      <c r="P87" s="266"/>
      <c r="Q87" s="266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7"/>
      <c r="P88" s="267"/>
      <c r="Q88" s="267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6"/>
      <c r="P89" s="267"/>
      <c r="Q89" s="267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7"/>
      <c r="P90" s="267"/>
      <c r="Q90" s="267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7"/>
      <c r="P91" s="267"/>
      <c r="Q91" s="267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6"/>
      <c r="P92" s="267"/>
      <c r="Q92" s="268"/>
      <c r="R92" s="72"/>
      <c r="S92" s="59"/>
      <c r="T92" s="59"/>
      <c r="U92" s="68"/>
    </row>
    <row r="93" spans="1:21" ht="15.7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1"/>
      <c r="P93" s="312"/>
      <c r="Q93" s="313"/>
      <c r="R93" s="72"/>
      <c r="S93" s="59"/>
      <c r="T93" s="59"/>
      <c r="U93" s="68"/>
    </row>
    <row r="94" spans="1:21">
      <c r="A94" s="314" t="s">
        <v>48</v>
      </c>
      <c r="B94" s="315"/>
      <c r="C94" s="315"/>
      <c r="D94" s="315"/>
      <c r="E94" s="339"/>
      <c r="F94" s="315"/>
      <c r="G94" s="315"/>
      <c r="H94" s="315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329"/>
      <c r="O94" s="330"/>
      <c r="P94" s="330"/>
      <c r="Q94" s="331"/>
      <c r="R94" s="5"/>
      <c r="S94" s="6"/>
      <c r="T94" s="7"/>
      <c r="U94" s="8"/>
    </row>
    <row r="95" spans="1:21" ht="15.75" thickBot="1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332"/>
      <c r="O95" s="333"/>
      <c r="P95" s="333"/>
      <c r="Q95" s="334"/>
      <c r="R95" s="1"/>
      <c r="S95" s="2"/>
      <c r="T95" s="3"/>
      <c r="U95" s="4"/>
    </row>
    <row r="96" spans="1:21" ht="15.75" thickBot="1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291"/>
      <c r="O96" s="292"/>
      <c r="P96" s="292"/>
      <c r="Q96" s="335"/>
      <c r="R96" s="336" t="s">
        <v>52</v>
      </c>
      <c r="S96" s="337"/>
      <c r="T96" s="337"/>
      <c r="U96" s="338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A3" sqref="A3"/>
    </sheetView>
  </sheetViews>
  <sheetFormatPr defaultColWidth="9" defaultRowHeight="15"/>
  <cols>
    <col min="1" max="1" width="5.140625" style="14" bestFit="1" customWidth="1"/>
    <col min="2" max="2" width="7.5703125" style="14" customWidth="1"/>
    <col min="3" max="3" width="8.5703125" style="14" customWidth="1"/>
    <col min="4" max="4" width="10.28515625" style="183" customWidth="1"/>
    <col min="5" max="5" width="5.7109375" style="156" customWidth="1"/>
    <col min="6" max="6" width="5.5703125" style="14" customWidth="1"/>
    <col min="7" max="7" width="7.28515625" style="14" customWidth="1"/>
    <col min="8" max="8" width="6.7109375" style="14" customWidth="1"/>
    <col min="9" max="11" width="6.7109375" style="156" customWidth="1"/>
    <col min="12" max="13" width="6.7109375" style="14" customWidth="1"/>
    <col min="14" max="14" width="7.7109375" style="14" customWidth="1"/>
    <col min="15" max="15" width="5.42578125" style="156" customWidth="1"/>
    <col min="16" max="17" width="4.5703125" style="156" customWidth="1"/>
    <col min="18" max="18" width="9.5703125" style="14" customWidth="1"/>
    <col min="19" max="20" width="7.7109375" style="53" customWidth="1"/>
    <col min="21" max="21" width="7.7109375" style="36" customWidth="1"/>
    <col min="22" max="25" width="11.140625" style="14" customWidth="1"/>
    <col min="26" max="26" width="11.42578125" style="14" customWidth="1"/>
    <col min="27" max="27" width="11.5703125" style="14" customWidth="1"/>
    <col min="28" max="29" width="10.42578125" style="14" customWidth="1"/>
    <col min="30" max="30" width="9.85546875" style="14" customWidth="1"/>
    <col min="31" max="31" width="10.7109375" style="14" customWidth="1"/>
    <col min="32" max="32" width="11.7109375" style="14" customWidth="1"/>
    <col min="33" max="33" width="14" style="14" customWidth="1"/>
    <col min="34" max="34" width="11.140625" style="14" customWidth="1"/>
    <col min="35" max="35" width="12" style="14" customWidth="1"/>
    <col min="36" max="36" width="9" style="14"/>
    <col min="37" max="37" width="10.5703125" style="14" customWidth="1"/>
    <col min="38" max="38" width="12" style="14" customWidth="1"/>
    <col min="39" max="39" width="10.28515625" style="14" customWidth="1"/>
    <col min="40" max="41" width="9" style="14"/>
    <col min="42" max="42" width="10.85546875" style="14" customWidth="1"/>
    <col min="43" max="43" width="13.7109375" style="14" customWidth="1"/>
    <col min="44" max="44" width="10.85546875" style="14" customWidth="1"/>
    <col min="45" max="16384" width="9" style="14"/>
  </cols>
  <sheetData>
    <row r="1" spans="1:44" ht="15.75" thickBot="1">
      <c r="A1" s="249" t="s">
        <v>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1"/>
    </row>
    <row r="2" spans="1:44" ht="15.75" thickBot="1">
      <c r="A2" s="249" t="s">
        <v>97</v>
      </c>
      <c r="B2" s="250"/>
      <c r="C2" s="250"/>
      <c r="D2" s="250"/>
      <c r="E2" s="250"/>
      <c r="F2" s="250"/>
      <c r="G2" s="251"/>
      <c r="H2" s="252" t="s">
        <v>49</v>
      </c>
      <c r="I2" s="253"/>
      <c r="J2" s="249"/>
      <c r="K2" s="251"/>
      <c r="L2" s="253" t="s">
        <v>96</v>
      </c>
      <c r="M2" s="254"/>
      <c r="N2" s="252"/>
      <c r="O2" s="250"/>
      <c r="P2" s="250"/>
      <c r="Q2" s="251"/>
      <c r="R2" s="253" t="s">
        <v>51</v>
      </c>
      <c r="S2" s="252"/>
      <c r="T2" s="255"/>
      <c r="U2" s="255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>
      <c r="A3" s="15" t="s">
        <v>6</v>
      </c>
      <c r="H3" s="9"/>
      <c r="I3" s="18"/>
      <c r="T3" s="10"/>
      <c r="U3" s="11"/>
    </row>
    <row r="4" spans="1:44" ht="15.75" thickBot="1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59" t="s">
        <v>8</v>
      </c>
      <c r="P4" s="259"/>
      <c r="Q4" s="259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260"/>
      <c r="P5" s="261"/>
      <c r="Q5" s="262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63"/>
      <c r="P6" s="264"/>
      <c r="Q6" s="265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6"/>
      <c r="P7" s="267"/>
      <c r="Q7" s="268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69"/>
      <c r="P8" s="270"/>
      <c r="Q8" s="271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69"/>
      <c r="P9" s="270"/>
      <c r="Q9" s="271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56"/>
      <c r="P10" s="257"/>
      <c r="Q10" s="25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6"/>
      <c r="P11" s="267"/>
      <c r="Q11" s="2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6"/>
      <c r="P12" s="267"/>
      <c r="Q12" s="2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6"/>
      <c r="P13" s="267"/>
      <c r="Q13" s="268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6"/>
      <c r="P14" s="267"/>
      <c r="Q14" s="268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6"/>
      <c r="P15" s="267"/>
      <c r="Q15" s="2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6"/>
      <c r="P16" s="267"/>
      <c r="Q16" s="268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6"/>
      <c r="P17" s="267"/>
      <c r="Q17" s="26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6"/>
      <c r="P18" s="267"/>
      <c r="Q18" s="26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6"/>
      <c r="P19" s="267"/>
      <c r="Q19" s="267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74"/>
      <c r="P20" s="275"/>
      <c r="Q20" s="27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6"/>
      <c r="P21" s="267"/>
      <c r="Q21" s="267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6"/>
      <c r="P22" s="267"/>
      <c r="Q22" s="26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72"/>
      <c r="Y23" s="273"/>
      <c r="Z23" s="273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6"/>
      <c r="P24" s="267"/>
      <c r="Q24" s="2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6"/>
      <c r="P25" s="267"/>
      <c r="Q25" s="26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76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6"/>
      <c r="P26" s="267"/>
      <c r="Q26" s="268"/>
      <c r="R26" s="103">
        <f>R25*37.5</f>
        <v>0</v>
      </c>
      <c r="S26" s="93">
        <f>S25*41.5</f>
        <v>0</v>
      </c>
      <c r="T26" s="93">
        <f>T25*50</f>
        <v>0</v>
      </c>
      <c r="U26" s="277"/>
      <c r="X26" s="41" t="s">
        <v>30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6"/>
      <c r="P27" s="267"/>
      <c r="Q27" s="268"/>
      <c r="R27" s="288" t="s">
        <v>56</v>
      </c>
      <c r="S27" s="289"/>
      <c r="T27" s="289"/>
      <c r="U27" s="290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6"/>
      <c r="P28" s="267"/>
      <c r="Q28" s="268"/>
      <c r="R28" s="281"/>
      <c r="S28" s="282"/>
      <c r="T28" s="283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297"/>
      <c r="P29" s="298"/>
      <c r="Q29" s="299"/>
      <c r="R29" s="300"/>
      <c r="S29" s="301"/>
      <c r="T29" s="302"/>
      <c r="U29" s="140"/>
      <c r="X29" s="14">
        <v>3</v>
      </c>
      <c r="Z29" s="45"/>
      <c r="AE29" s="39"/>
    </row>
    <row r="30" spans="1:44" ht="16.5" customHeight="1" thickBot="1">
      <c r="A30" s="303" t="s">
        <v>48</v>
      </c>
      <c r="B30" s="304"/>
      <c r="C30" s="304"/>
      <c r="D30" s="304"/>
      <c r="E30" s="305"/>
      <c r="F30" s="304"/>
      <c r="G30" s="304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06"/>
      <c r="S30" s="306"/>
      <c r="T30" s="307"/>
      <c r="U30" s="141"/>
      <c r="X30" s="14">
        <v>4</v>
      </c>
      <c r="Z30" s="45"/>
      <c r="AD30" s="46"/>
    </row>
    <row r="31" spans="1:44">
      <c r="A31" s="308" t="s">
        <v>16</v>
      </c>
      <c r="B31" s="309"/>
      <c r="C31" s="309"/>
      <c r="D31" s="309"/>
      <c r="E31" s="309"/>
      <c r="F31" s="309"/>
      <c r="G31" s="309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293">
        <f>H31+I31+L31+M31</f>
        <v>0</v>
      </c>
      <c r="U31" s="294"/>
      <c r="X31" s="47" t="s">
        <v>28</v>
      </c>
      <c r="Y31" s="47"/>
      <c r="Z31" s="47">
        <f>SUM(Z27:Z30)</f>
        <v>-2745</v>
      </c>
      <c r="AE31" s="39"/>
    </row>
    <row r="32" spans="1:44" ht="15.75" thickBot="1">
      <c r="A32" s="284" t="s">
        <v>55</v>
      </c>
      <c r="B32" s="285"/>
      <c r="C32" s="98">
        <f>H31+I31+J31+K31</f>
        <v>0</v>
      </c>
      <c r="D32" s="186"/>
      <c r="E32" s="98"/>
      <c r="F32" s="286" t="s">
        <v>53</v>
      </c>
      <c r="G32" s="286"/>
      <c r="H32" s="100">
        <f>COUNT(B5:B29,B37:B61,B69:B93)</f>
        <v>0</v>
      </c>
      <c r="I32" s="287" t="s">
        <v>54</v>
      </c>
      <c r="J32" s="287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295"/>
      <c r="U32" s="296"/>
      <c r="V32" s="39"/>
      <c r="W32" s="39"/>
      <c r="X32" s="48" t="s">
        <v>27</v>
      </c>
      <c r="Y32" s="48"/>
      <c r="Z32" s="47">
        <f>I31</f>
        <v>0</v>
      </c>
    </row>
    <row r="33" spans="1:33" ht="15.75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50"/>
      <c r="U33" s="251"/>
      <c r="X33" s="49" t="s">
        <v>29</v>
      </c>
      <c r="Y33" s="49"/>
      <c r="Z33" s="50">
        <f>SUM(Z31:Z32)</f>
        <v>-2745</v>
      </c>
      <c r="AG33" s="35"/>
    </row>
    <row r="34" spans="1:33" ht="15.75" thickBot="1">
      <c r="A34" s="249" t="str">
        <f>A2</f>
        <v>/ / 2023</v>
      </c>
      <c r="B34" s="250"/>
      <c r="C34" s="250"/>
      <c r="D34" s="250"/>
      <c r="E34" s="250"/>
      <c r="F34" s="250"/>
      <c r="G34" s="251"/>
      <c r="H34" s="252" t="s">
        <v>49</v>
      </c>
      <c r="I34" s="253"/>
      <c r="J34" s="249">
        <f>J2</f>
        <v>0</v>
      </c>
      <c r="K34" s="251"/>
      <c r="L34" s="253" t="s">
        <v>50</v>
      </c>
      <c r="M34" s="254"/>
      <c r="N34" s="252"/>
      <c r="O34" s="250">
        <f>O2</f>
        <v>0</v>
      </c>
      <c r="P34" s="250"/>
      <c r="Q34" s="251"/>
      <c r="R34" s="253" t="s">
        <v>51</v>
      </c>
      <c r="S34" s="252"/>
      <c r="T34" s="255">
        <f>T2</f>
        <v>0</v>
      </c>
      <c r="U34" s="255"/>
      <c r="Z34" s="39"/>
    </row>
    <row r="35" spans="1:33" ht="15.75" thickBot="1">
      <c r="A35" s="15" t="s">
        <v>6</v>
      </c>
      <c r="H35" s="9"/>
      <c r="I35" s="18"/>
      <c r="T35" s="10"/>
      <c r="U35" s="11"/>
    </row>
    <row r="36" spans="1:33" ht="15.75" thickBot="1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59" t="s">
        <v>8</v>
      </c>
      <c r="P36" s="259"/>
      <c r="Q36" s="259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6"/>
      <c r="P37" s="267"/>
      <c r="Q37" s="268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63"/>
      <c r="P38" s="264"/>
      <c r="Q38" s="265"/>
      <c r="R38" s="69"/>
      <c r="S38" s="62"/>
      <c r="T38" s="16"/>
      <c r="U38" s="63"/>
    </row>
    <row r="39" spans="1:3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6"/>
      <c r="P39" s="267"/>
      <c r="Q39" s="268"/>
      <c r="R39" s="70"/>
      <c r="S39" s="13"/>
      <c r="T39" s="12"/>
      <c r="U39" s="63"/>
    </row>
    <row r="40" spans="1:3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69"/>
      <c r="P40" s="270"/>
      <c r="Q40" s="271"/>
      <c r="R40" s="69"/>
      <c r="S40" s="62"/>
      <c r="T40" s="62"/>
      <c r="U40" s="63"/>
    </row>
    <row r="41" spans="1:3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69"/>
      <c r="P41" s="270"/>
      <c r="Q41" s="271"/>
      <c r="R41" s="71"/>
      <c r="S41" s="64"/>
      <c r="T41" s="64"/>
      <c r="U41" s="65"/>
    </row>
    <row r="42" spans="1:3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56"/>
      <c r="P42" s="257"/>
      <c r="Q42" s="258"/>
      <c r="R42" s="71"/>
      <c r="S42" s="64"/>
      <c r="T42" s="64"/>
      <c r="U42" s="65"/>
    </row>
    <row r="43" spans="1:3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6"/>
      <c r="P43" s="267"/>
      <c r="Q43" s="268"/>
      <c r="R43" s="69"/>
      <c r="S43" s="62"/>
      <c r="T43" s="62"/>
      <c r="U43" s="63"/>
    </row>
    <row r="44" spans="1:3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6"/>
      <c r="P44" s="267"/>
      <c r="Q44" s="268"/>
      <c r="R44" s="5"/>
      <c r="S44" s="62"/>
      <c r="T44" s="62"/>
      <c r="U44" s="63"/>
    </row>
    <row r="45" spans="1:3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6"/>
      <c r="P45" s="267"/>
      <c r="Q45" s="268"/>
      <c r="R45" s="5"/>
      <c r="S45" s="62"/>
      <c r="T45" s="62"/>
      <c r="U45" s="63"/>
    </row>
    <row r="46" spans="1:3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6"/>
      <c r="P46" s="267"/>
      <c r="Q46" s="268"/>
      <c r="R46" s="5"/>
      <c r="S46" s="62"/>
      <c r="T46" s="62"/>
      <c r="U46" s="63"/>
    </row>
    <row r="47" spans="1:3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6"/>
      <c r="P47" s="267"/>
      <c r="Q47" s="268"/>
      <c r="R47" s="5"/>
      <c r="S47" s="62"/>
      <c r="T47" s="62"/>
      <c r="U47" s="63"/>
    </row>
    <row r="48" spans="1:3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6"/>
      <c r="P48" s="267"/>
      <c r="Q48" s="268"/>
      <c r="R48" s="5"/>
      <c r="S48" s="62"/>
      <c r="T48" s="62"/>
      <c r="U48" s="63"/>
    </row>
    <row r="49" spans="1:21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6"/>
      <c r="P49" s="267"/>
      <c r="Q49" s="268"/>
      <c r="R49" s="5"/>
      <c r="S49" s="62"/>
      <c r="T49" s="66"/>
      <c r="U49" s="63"/>
    </row>
    <row r="50" spans="1:21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6"/>
      <c r="P50" s="267"/>
      <c r="Q50" s="268"/>
      <c r="R50" s="5"/>
      <c r="S50" s="62"/>
      <c r="T50" s="66"/>
      <c r="U50" s="63"/>
    </row>
    <row r="51" spans="1:21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6"/>
      <c r="P51" s="267"/>
      <c r="Q51" s="267"/>
      <c r="R51" s="5"/>
      <c r="S51" s="62"/>
      <c r="T51" s="66"/>
      <c r="U51" s="63"/>
    </row>
    <row r="52" spans="1:21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6"/>
      <c r="P52" s="267"/>
      <c r="Q52" s="267"/>
      <c r="R52" s="72"/>
      <c r="S52" s="59"/>
      <c r="T52" s="67"/>
      <c r="U52" s="68"/>
    </row>
    <row r="53" spans="1:21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0"/>
      <c r="P53" s="266"/>
      <c r="Q53" s="266"/>
      <c r="R53" s="72"/>
      <c r="S53" s="59"/>
      <c r="T53" s="67"/>
      <c r="U53" s="68"/>
    </row>
    <row r="54" spans="1:21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0"/>
      <c r="P54" s="266"/>
      <c r="Q54" s="266"/>
      <c r="R54" s="72"/>
      <c r="S54" s="59"/>
      <c r="T54" s="67"/>
      <c r="U54" s="68"/>
    </row>
    <row r="55" spans="1:21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0"/>
      <c r="P55" s="266"/>
      <c r="Q55" s="266"/>
      <c r="R55" s="72"/>
      <c r="S55" s="59"/>
      <c r="T55" s="67"/>
      <c r="U55" s="68"/>
    </row>
    <row r="56" spans="1:21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7"/>
      <c r="P56" s="267"/>
      <c r="Q56" s="267"/>
      <c r="R56" s="72"/>
      <c r="S56" s="59"/>
      <c r="T56" s="67"/>
      <c r="U56" s="68"/>
    </row>
    <row r="57" spans="1:21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6"/>
      <c r="P57" s="267"/>
      <c r="Q57" s="267"/>
      <c r="R57" s="72"/>
      <c r="S57" s="59"/>
      <c r="T57" s="59"/>
      <c r="U57" s="68"/>
    </row>
    <row r="58" spans="1:21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7"/>
      <c r="P58" s="267"/>
      <c r="Q58" s="267"/>
      <c r="R58" s="72"/>
      <c r="S58" s="59"/>
      <c r="T58" s="59"/>
      <c r="U58" s="68"/>
    </row>
    <row r="59" spans="1:21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7"/>
      <c r="P59" s="267"/>
      <c r="Q59" s="267"/>
      <c r="R59" s="72"/>
      <c r="S59" s="59"/>
      <c r="T59" s="59"/>
      <c r="U59" s="68"/>
    </row>
    <row r="60" spans="1:21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6"/>
      <c r="P60" s="267"/>
      <c r="Q60" s="268"/>
      <c r="R60" s="72"/>
      <c r="S60" s="59"/>
      <c r="T60" s="59"/>
      <c r="U60" s="68"/>
    </row>
    <row r="61" spans="1:21" ht="15.75" thickBot="1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1"/>
      <c r="P61" s="312"/>
      <c r="Q61" s="313"/>
      <c r="R61" s="72"/>
      <c r="S61" s="59"/>
      <c r="T61" s="59"/>
      <c r="U61" s="68"/>
    </row>
    <row r="62" spans="1:21">
      <c r="A62" s="314" t="s">
        <v>48</v>
      </c>
      <c r="B62" s="315"/>
      <c r="C62" s="315"/>
      <c r="D62" s="315"/>
      <c r="E62" s="315"/>
      <c r="F62" s="315"/>
      <c r="G62" s="315"/>
      <c r="H62" s="315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329"/>
      <c r="O62" s="330"/>
      <c r="P62" s="330"/>
      <c r="Q62" s="331"/>
      <c r="R62" s="5"/>
      <c r="S62" s="6"/>
      <c r="T62" s="7"/>
      <c r="U62" s="8"/>
    </row>
    <row r="63" spans="1:21" ht="15.75" thickBot="1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332"/>
      <c r="O63" s="333"/>
      <c r="P63" s="333"/>
      <c r="Q63" s="334"/>
      <c r="R63" s="1"/>
      <c r="S63" s="2"/>
      <c r="T63" s="3"/>
      <c r="U63" s="4"/>
    </row>
    <row r="64" spans="1:21" ht="15.75" thickBot="1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291"/>
      <c r="O64" s="292"/>
      <c r="P64" s="292"/>
      <c r="Q64" s="335"/>
      <c r="R64" s="336" t="s">
        <v>17</v>
      </c>
      <c r="S64" s="337"/>
      <c r="T64" s="337"/>
      <c r="U64" s="338"/>
    </row>
    <row r="65" spans="1:21" ht="15.75" thickBot="1">
      <c r="A65" s="249" t="s">
        <v>24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</row>
    <row r="66" spans="1:21" ht="15.75" thickBot="1">
      <c r="A66" s="249" t="str">
        <f>A34</f>
        <v>/ / 2023</v>
      </c>
      <c r="B66" s="250"/>
      <c r="C66" s="250"/>
      <c r="D66" s="250"/>
      <c r="E66" s="250"/>
      <c r="F66" s="250"/>
      <c r="G66" s="251"/>
      <c r="H66" s="252" t="s">
        <v>49</v>
      </c>
      <c r="I66" s="253"/>
      <c r="J66" s="249">
        <f>J34</f>
        <v>0</v>
      </c>
      <c r="K66" s="251"/>
      <c r="L66" s="253" t="s">
        <v>50</v>
      </c>
      <c r="M66" s="254"/>
      <c r="N66" s="252"/>
      <c r="O66" s="250">
        <f>O34</f>
        <v>0</v>
      </c>
      <c r="P66" s="250"/>
      <c r="Q66" s="251"/>
      <c r="R66" s="253" t="s">
        <v>51</v>
      </c>
      <c r="S66" s="252"/>
      <c r="T66" s="255">
        <f>T34</f>
        <v>0</v>
      </c>
      <c r="U66" s="255"/>
    </row>
    <row r="67" spans="1:21" ht="15.75" thickBot="1">
      <c r="A67" s="15" t="s">
        <v>6</v>
      </c>
      <c r="H67" s="9"/>
      <c r="I67" s="18"/>
      <c r="T67" s="10"/>
      <c r="U67" s="11"/>
    </row>
    <row r="68" spans="1:21" ht="15.75" thickBot="1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59" t="s">
        <v>8</v>
      </c>
      <c r="P68" s="259"/>
      <c r="Q68" s="259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6"/>
      <c r="P69" s="267"/>
      <c r="Q69" s="268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63"/>
      <c r="P70" s="264"/>
      <c r="Q70" s="265"/>
      <c r="R70" s="69"/>
      <c r="S70" s="62"/>
      <c r="T70" s="16"/>
      <c r="U70" s="63"/>
    </row>
    <row r="71" spans="1:21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6"/>
      <c r="P71" s="267"/>
      <c r="Q71" s="268"/>
      <c r="R71" s="70"/>
      <c r="S71" s="13"/>
      <c r="T71" s="12"/>
      <c r="U71" s="63"/>
    </row>
    <row r="72" spans="1:21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69"/>
      <c r="P72" s="270"/>
      <c r="Q72" s="271"/>
      <c r="R72" s="69"/>
      <c r="S72" s="62"/>
      <c r="T72" s="62"/>
      <c r="U72" s="63"/>
    </row>
    <row r="73" spans="1:21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69"/>
      <c r="P73" s="270"/>
      <c r="Q73" s="271"/>
      <c r="R73" s="71"/>
      <c r="S73" s="64"/>
      <c r="T73" s="64"/>
      <c r="U73" s="65"/>
    </row>
    <row r="74" spans="1:21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56"/>
      <c r="P74" s="257"/>
      <c r="Q74" s="258"/>
      <c r="R74" s="71"/>
      <c r="S74" s="64"/>
      <c r="T74" s="64"/>
      <c r="U74" s="65"/>
    </row>
    <row r="75" spans="1:21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6"/>
      <c r="P75" s="267"/>
      <c r="Q75" s="268"/>
      <c r="R75" s="69"/>
      <c r="S75" s="62"/>
      <c r="T75" s="62"/>
      <c r="U75" s="63"/>
    </row>
    <row r="76" spans="1:21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6"/>
      <c r="P76" s="267"/>
      <c r="Q76" s="268"/>
      <c r="R76" s="5"/>
      <c r="S76" s="62"/>
      <c r="T76" s="62"/>
      <c r="U76" s="63"/>
    </row>
    <row r="77" spans="1:21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6"/>
      <c r="P77" s="267"/>
      <c r="Q77" s="268"/>
      <c r="R77" s="5"/>
      <c r="S77" s="62"/>
      <c r="T77" s="62"/>
      <c r="U77" s="63"/>
    </row>
    <row r="78" spans="1:21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6"/>
      <c r="P78" s="267"/>
      <c r="Q78" s="268"/>
      <c r="R78" s="5"/>
      <c r="S78" s="62"/>
      <c r="T78" s="62"/>
      <c r="U78" s="63"/>
    </row>
    <row r="79" spans="1:21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6"/>
      <c r="P79" s="267"/>
      <c r="Q79" s="268"/>
      <c r="R79" s="5"/>
      <c r="S79" s="62"/>
      <c r="T79" s="62"/>
      <c r="U79" s="63"/>
    </row>
    <row r="80" spans="1:21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6"/>
      <c r="P80" s="267"/>
      <c r="Q80" s="268"/>
      <c r="R80" s="5"/>
      <c r="S80" s="62"/>
      <c r="T80" s="62"/>
      <c r="U80" s="63"/>
    </row>
    <row r="81" spans="1:21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6"/>
      <c r="P81" s="267"/>
      <c r="Q81" s="268"/>
      <c r="R81" s="5"/>
      <c r="S81" s="62"/>
      <c r="T81" s="66"/>
      <c r="U81" s="63"/>
    </row>
    <row r="82" spans="1:21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6"/>
      <c r="P82" s="267"/>
      <c r="Q82" s="268"/>
      <c r="R82" s="5"/>
      <c r="S82" s="62"/>
      <c r="T82" s="66"/>
      <c r="U82" s="63"/>
    </row>
    <row r="83" spans="1:21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6"/>
      <c r="P83" s="267"/>
      <c r="Q83" s="267"/>
      <c r="R83" s="5"/>
      <c r="S83" s="62"/>
      <c r="T83" s="66"/>
      <c r="U83" s="63"/>
    </row>
    <row r="84" spans="1:21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6"/>
      <c r="P84" s="267"/>
      <c r="Q84" s="267"/>
      <c r="R84" s="72"/>
      <c r="S84" s="59"/>
      <c r="T84" s="67"/>
      <c r="U84" s="68"/>
    </row>
    <row r="85" spans="1:21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0"/>
      <c r="P85" s="266"/>
      <c r="Q85" s="266"/>
      <c r="R85" s="72"/>
      <c r="S85" s="59"/>
      <c r="T85" s="67"/>
      <c r="U85" s="68"/>
    </row>
    <row r="86" spans="1:21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0"/>
      <c r="P86" s="266"/>
      <c r="Q86" s="266"/>
      <c r="R86" s="72"/>
      <c r="S86" s="59"/>
      <c r="T86" s="67"/>
      <c r="U86" s="68"/>
    </row>
    <row r="87" spans="1:21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0"/>
      <c r="P87" s="266"/>
      <c r="Q87" s="266"/>
      <c r="R87" s="72"/>
      <c r="S87" s="59"/>
      <c r="T87" s="67"/>
      <c r="U87" s="68"/>
    </row>
    <row r="88" spans="1:21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7"/>
      <c r="P88" s="267"/>
      <c r="Q88" s="267"/>
      <c r="R88" s="72"/>
      <c r="S88" s="59"/>
      <c r="T88" s="67"/>
      <c r="U88" s="68"/>
    </row>
    <row r="89" spans="1:21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6"/>
      <c r="P89" s="267"/>
      <c r="Q89" s="267"/>
      <c r="R89" s="72"/>
      <c r="S89" s="59"/>
      <c r="T89" s="59"/>
      <c r="U89" s="68"/>
    </row>
    <row r="90" spans="1:21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7"/>
      <c r="P90" s="267"/>
      <c r="Q90" s="267"/>
      <c r="R90" s="72"/>
      <c r="S90" s="59"/>
      <c r="T90" s="59"/>
      <c r="U90" s="68"/>
    </row>
    <row r="91" spans="1:21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7"/>
      <c r="P91" s="267"/>
      <c r="Q91" s="267"/>
      <c r="R91" s="72"/>
      <c r="S91" s="59"/>
      <c r="T91" s="59"/>
      <c r="U91" s="68"/>
    </row>
    <row r="92" spans="1:21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6"/>
      <c r="P92" s="267"/>
      <c r="Q92" s="268"/>
      <c r="R92" s="72"/>
      <c r="S92" s="59"/>
      <c r="T92" s="59"/>
      <c r="U92" s="68"/>
    </row>
    <row r="93" spans="1:21" ht="15.75" thickBot="1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1"/>
      <c r="P93" s="312"/>
      <c r="Q93" s="313"/>
      <c r="R93" s="72"/>
      <c r="S93" s="59"/>
      <c r="T93" s="59"/>
      <c r="U93" s="68"/>
    </row>
    <row r="94" spans="1:21">
      <c r="A94" s="314" t="s">
        <v>48</v>
      </c>
      <c r="B94" s="315"/>
      <c r="C94" s="315"/>
      <c r="D94" s="315"/>
      <c r="E94" s="339"/>
      <c r="F94" s="315"/>
      <c r="G94" s="315"/>
      <c r="H94" s="315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329"/>
      <c r="O94" s="330"/>
      <c r="P94" s="330"/>
      <c r="Q94" s="331"/>
      <c r="R94" s="5"/>
      <c r="S94" s="6"/>
      <c r="T94" s="7"/>
      <c r="U94" s="8"/>
    </row>
    <row r="95" spans="1:21" ht="15.75" thickBot="1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332"/>
      <c r="O95" s="333"/>
      <c r="P95" s="333"/>
      <c r="Q95" s="334"/>
      <c r="R95" s="1"/>
      <c r="S95" s="2"/>
      <c r="T95" s="3"/>
      <c r="U95" s="4"/>
    </row>
    <row r="96" spans="1:21" ht="15.75" thickBot="1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291"/>
      <c r="O96" s="292"/>
      <c r="P96" s="292"/>
      <c r="Q96" s="335"/>
      <c r="R96" s="336" t="s">
        <v>52</v>
      </c>
      <c r="S96" s="337"/>
      <c r="T96" s="337"/>
      <c r="U96" s="338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4" sqref="H24:K24"/>
    </sheetView>
  </sheetViews>
  <sheetFormatPr defaultColWidth="9" defaultRowHeight="15"/>
  <cols>
    <col min="1" max="477" width="2.5703125" style="14" customWidth="1"/>
    <col min="478" max="16384" width="9" style="14"/>
  </cols>
  <sheetData>
    <row r="1" spans="1:30" ht="32.25" customHeight="1">
      <c r="A1" s="489"/>
      <c r="B1" s="489"/>
      <c r="C1" s="489"/>
      <c r="D1" s="489"/>
      <c r="E1" s="487" t="s">
        <v>59</v>
      </c>
      <c r="F1" s="487"/>
      <c r="G1" s="487"/>
      <c r="H1" s="487" t="s">
        <v>60</v>
      </c>
      <c r="I1" s="487"/>
      <c r="J1" s="487"/>
      <c r="K1" s="487"/>
      <c r="L1" s="487" t="s">
        <v>61</v>
      </c>
      <c r="M1" s="487"/>
      <c r="N1" s="487"/>
      <c r="O1" s="487"/>
      <c r="P1" s="487"/>
      <c r="Q1" s="487" t="s">
        <v>62</v>
      </c>
      <c r="R1" s="487"/>
      <c r="S1" s="487"/>
      <c r="T1" s="487"/>
      <c r="U1" s="487"/>
      <c r="V1" s="487" t="s">
        <v>63</v>
      </c>
      <c r="W1" s="487"/>
      <c r="X1" s="487"/>
      <c r="Y1" s="487"/>
      <c r="Z1" s="487"/>
      <c r="AA1" s="487" t="s">
        <v>64</v>
      </c>
      <c r="AB1" s="487"/>
      <c r="AC1" s="487"/>
      <c r="AD1" s="487"/>
    </row>
    <row r="2" spans="1:30" ht="20.100000000000001" customHeight="1">
      <c r="A2" s="406" t="s">
        <v>66</v>
      </c>
      <c r="B2" s="429" t="s">
        <v>57</v>
      </c>
      <c r="C2" s="429"/>
      <c r="D2" s="488"/>
      <c r="E2" s="488">
        <f>MON!N31</f>
        <v>0</v>
      </c>
      <c r="F2" s="488"/>
      <c r="G2" s="488"/>
      <c r="H2" s="490">
        <f>MON!S31</f>
        <v>0</v>
      </c>
      <c r="I2" s="490"/>
      <c r="J2" s="490"/>
      <c r="K2" s="490"/>
      <c r="L2" s="491" t="e">
        <f>MON!N32</f>
        <v>#DIV/0!</v>
      </c>
      <c r="M2" s="491"/>
      <c r="N2" s="491"/>
      <c r="O2" s="491"/>
      <c r="P2" s="491"/>
      <c r="Q2" s="559">
        <f>SUM(E2:G5)</f>
        <v>0</v>
      </c>
      <c r="R2" s="560"/>
      <c r="S2" s="560"/>
      <c r="T2" s="560"/>
      <c r="U2" s="561"/>
      <c r="V2" s="501">
        <f>SUM(H2,H3,H5)</f>
        <v>0</v>
      </c>
      <c r="W2" s="502"/>
      <c r="X2" s="502"/>
      <c r="Y2" s="502"/>
      <c r="Z2" s="503"/>
      <c r="AA2" s="510" t="e">
        <f>V2/Q2</f>
        <v>#DIV/0!</v>
      </c>
      <c r="AB2" s="511"/>
      <c r="AC2" s="511"/>
      <c r="AD2" s="512"/>
    </row>
    <row r="3" spans="1:30" ht="20.100000000000001" customHeight="1">
      <c r="A3" s="407"/>
      <c r="B3" s="429" t="s">
        <v>58</v>
      </c>
      <c r="C3" s="429"/>
      <c r="D3" s="488"/>
      <c r="E3" s="488">
        <f>MON!O31</f>
        <v>0</v>
      </c>
      <c r="F3" s="488"/>
      <c r="G3" s="488"/>
      <c r="H3" s="490">
        <f>MON!S32</f>
        <v>0</v>
      </c>
      <c r="I3" s="490"/>
      <c r="J3" s="490"/>
      <c r="K3" s="490"/>
      <c r="L3" s="491" t="e">
        <f>MON!O32</f>
        <v>#DIV/0!</v>
      </c>
      <c r="M3" s="491"/>
      <c r="N3" s="491"/>
      <c r="O3" s="491"/>
      <c r="P3" s="491"/>
      <c r="Q3" s="562"/>
      <c r="R3" s="563"/>
      <c r="S3" s="563"/>
      <c r="T3" s="563"/>
      <c r="U3" s="564"/>
      <c r="V3" s="504"/>
      <c r="W3" s="505"/>
      <c r="X3" s="505"/>
      <c r="Y3" s="505"/>
      <c r="Z3" s="506"/>
      <c r="AA3" s="513"/>
      <c r="AB3" s="514"/>
      <c r="AC3" s="514"/>
      <c r="AD3" s="515"/>
    </row>
    <row r="4" spans="1:30" ht="20.100000000000001" customHeight="1">
      <c r="A4" s="407"/>
      <c r="B4" s="429" t="s">
        <v>45</v>
      </c>
      <c r="C4" s="429"/>
      <c r="D4" s="488"/>
      <c r="E4" s="488">
        <f>MON!P31</f>
        <v>0</v>
      </c>
      <c r="F4" s="488"/>
      <c r="G4" s="488"/>
      <c r="H4" s="490">
        <f>MON!K31</f>
        <v>0</v>
      </c>
      <c r="I4" s="490"/>
      <c r="J4" s="490"/>
      <c r="K4" s="490"/>
      <c r="L4" s="491" t="e">
        <f>MON!P32</f>
        <v>#DIV/0!</v>
      </c>
      <c r="M4" s="491"/>
      <c r="N4" s="491"/>
      <c r="O4" s="491"/>
      <c r="P4" s="491"/>
      <c r="Q4" s="562"/>
      <c r="R4" s="563"/>
      <c r="S4" s="563"/>
      <c r="T4" s="563"/>
      <c r="U4" s="564"/>
      <c r="V4" s="504"/>
      <c r="W4" s="505"/>
      <c r="X4" s="505"/>
      <c r="Y4" s="505"/>
      <c r="Z4" s="506"/>
      <c r="AA4" s="513"/>
      <c r="AB4" s="514"/>
      <c r="AC4" s="514"/>
      <c r="AD4" s="515"/>
    </row>
    <row r="5" spans="1:30" ht="20.100000000000001" customHeight="1">
      <c r="A5" s="407"/>
      <c r="B5" s="427" t="s">
        <v>65</v>
      </c>
      <c r="C5" s="428"/>
      <c r="D5" s="429"/>
      <c r="E5" s="427">
        <f>MON!Q31</f>
        <v>0</v>
      </c>
      <c r="F5" s="428"/>
      <c r="G5" s="429"/>
      <c r="H5" s="547">
        <f>MON!J31</f>
        <v>0</v>
      </c>
      <c r="I5" s="548"/>
      <c r="J5" s="548"/>
      <c r="K5" s="549"/>
      <c r="L5" s="550" t="e">
        <f>MON!Q32</f>
        <v>#DIV/0!</v>
      </c>
      <c r="M5" s="551"/>
      <c r="N5" s="551"/>
      <c r="O5" s="551"/>
      <c r="P5" s="552"/>
      <c r="Q5" s="565"/>
      <c r="R5" s="566"/>
      <c r="S5" s="566"/>
      <c r="T5" s="566"/>
      <c r="U5" s="567"/>
      <c r="V5" s="507"/>
      <c r="W5" s="508"/>
      <c r="X5" s="508"/>
      <c r="Y5" s="508"/>
      <c r="Z5" s="509"/>
      <c r="AA5" s="516"/>
      <c r="AB5" s="517"/>
      <c r="AC5" s="517"/>
      <c r="AD5" s="518"/>
    </row>
    <row r="6" spans="1:30" ht="20.100000000000001" customHeight="1">
      <c r="A6" s="408"/>
      <c r="B6" s="427" t="s">
        <v>94</v>
      </c>
      <c r="C6" s="428"/>
      <c r="D6" s="429"/>
      <c r="E6" s="427">
        <f>MON!U16</f>
        <v>-24</v>
      </c>
      <c r="F6" s="428"/>
      <c r="G6" s="429"/>
      <c r="H6" s="547" t="s">
        <v>95</v>
      </c>
      <c r="I6" s="548"/>
      <c r="J6" s="548"/>
      <c r="K6" s="549"/>
      <c r="L6" s="607">
        <f>MON!T2</f>
        <v>4</v>
      </c>
      <c r="M6" s="608"/>
      <c r="N6" s="608"/>
      <c r="O6" s="608"/>
      <c r="P6" s="609"/>
      <c r="Q6" s="610"/>
      <c r="R6" s="611"/>
      <c r="S6" s="611"/>
      <c r="T6" s="611"/>
      <c r="U6" s="612"/>
      <c r="V6" s="377"/>
      <c r="W6" s="378"/>
      <c r="X6" s="378"/>
      <c r="Y6" s="378"/>
      <c r="Z6" s="379"/>
      <c r="AA6" s="380"/>
      <c r="AB6" s="381"/>
      <c r="AC6" s="381"/>
      <c r="AD6" s="382"/>
    </row>
    <row r="7" spans="1:30" ht="20.100000000000001" customHeight="1">
      <c r="A7" s="409" t="s">
        <v>67</v>
      </c>
      <c r="B7" s="385" t="s">
        <v>57</v>
      </c>
      <c r="C7" s="385"/>
      <c r="D7" s="401"/>
      <c r="E7" s="401">
        <f>TUE!N31</f>
        <v>0</v>
      </c>
      <c r="F7" s="401"/>
      <c r="G7" s="401"/>
      <c r="H7" s="402">
        <f>TUE!S31</f>
        <v>0</v>
      </c>
      <c r="I7" s="402"/>
      <c r="J7" s="402"/>
      <c r="K7" s="402"/>
      <c r="L7" s="403" t="e">
        <f>TUE!N32</f>
        <v>#DIV/0!</v>
      </c>
      <c r="M7" s="404"/>
      <c r="N7" s="404"/>
      <c r="O7" s="404"/>
      <c r="P7" s="405"/>
      <c r="Q7" s="589">
        <f>SUM(E7:G10)</f>
        <v>0</v>
      </c>
      <c r="R7" s="590"/>
      <c r="S7" s="590"/>
      <c r="T7" s="590"/>
      <c r="U7" s="591"/>
      <c r="V7" s="492">
        <f>SUM(H7,H8,H10)</f>
        <v>0</v>
      </c>
      <c r="W7" s="493"/>
      <c r="X7" s="493"/>
      <c r="Y7" s="493"/>
      <c r="Z7" s="494"/>
      <c r="AA7" s="519" t="e">
        <f>V7/Q7</f>
        <v>#DIV/0!</v>
      </c>
      <c r="AB7" s="520"/>
      <c r="AC7" s="520"/>
      <c r="AD7" s="521"/>
    </row>
    <row r="8" spans="1:30" ht="20.100000000000001" customHeight="1">
      <c r="A8" s="410"/>
      <c r="B8" s="385" t="s">
        <v>58</v>
      </c>
      <c r="C8" s="385"/>
      <c r="D8" s="401"/>
      <c r="E8" s="401">
        <f>TUE!O31</f>
        <v>0</v>
      </c>
      <c r="F8" s="401"/>
      <c r="G8" s="401"/>
      <c r="H8" s="402">
        <f>TUE!S32</f>
        <v>0</v>
      </c>
      <c r="I8" s="402"/>
      <c r="J8" s="402"/>
      <c r="K8" s="402"/>
      <c r="L8" s="403" t="e">
        <f>TUE!O32</f>
        <v>#DIV/0!</v>
      </c>
      <c r="M8" s="404"/>
      <c r="N8" s="404"/>
      <c r="O8" s="404"/>
      <c r="P8" s="405"/>
      <c r="Q8" s="592"/>
      <c r="R8" s="593"/>
      <c r="S8" s="593"/>
      <c r="T8" s="593"/>
      <c r="U8" s="594"/>
      <c r="V8" s="495"/>
      <c r="W8" s="496"/>
      <c r="X8" s="496"/>
      <c r="Y8" s="496"/>
      <c r="Z8" s="497"/>
      <c r="AA8" s="522"/>
      <c r="AB8" s="523"/>
      <c r="AC8" s="523"/>
      <c r="AD8" s="524"/>
    </row>
    <row r="9" spans="1:30" ht="20.100000000000001" customHeight="1">
      <c r="A9" s="410"/>
      <c r="B9" s="385" t="s">
        <v>45</v>
      </c>
      <c r="C9" s="385"/>
      <c r="D9" s="401"/>
      <c r="E9" s="401">
        <f>TUE!P31</f>
        <v>0</v>
      </c>
      <c r="F9" s="401"/>
      <c r="G9" s="401"/>
      <c r="H9" s="402">
        <f>TUE!K31</f>
        <v>0</v>
      </c>
      <c r="I9" s="402"/>
      <c r="J9" s="402"/>
      <c r="K9" s="402"/>
      <c r="L9" s="403" t="e">
        <f>TUE!P32</f>
        <v>#DIV/0!</v>
      </c>
      <c r="M9" s="404"/>
      <c r="N9" s="404"/>
      <c r="O9" s="404"/>
      <c r="P9" s="405"/>
      <c r="Q9" s="592"/>
      <c r="R9" s="593"/>
      <c r="S9" s="593"/>
      <c r="T9" s="593"/>
      <c r="U9" s="594"/>
      <c r="V9" s="495"/>
      <c r="W9" s="496"/>
      <c r="X9" s="496"/>
      <c r="Y9" s="496"/>
      <c r="Z9" s="497"/>
      <c r="AA9" s="522"/>
      <c r="AB9" s="523"/>
      <c r="AC9" s="523"/>
      <c r="AD9" s="524"/>
    </row>
    <row r="10" spans="1:30" ht="20.100000000000001" customHeight="1">
      <c r="A10" s="410"/>
      <c r="B10" s="383" t="s">
        <v>65</v>
      </c>
      <c r="C10" s="384"/>
      <c r="D10" s="385"/>
      <c r="E10" s="383">
        <f>TUE!Q31</f>
        <v>0</v>
      </c>
      <c r="F10" s="384"/>
      <c r="G10" s="385"/>
      <c r="H10" s="386">
        <f>TUE!J31</f>
        <v>0</v>
      </c>
      <c r="I10" s="387"/>
      <c r="J10" s="387"/>
      <c r="K10" s="388"/>
      <c r="L10" s="403" t="e">
        <f>TUE!Q32</f>
        <v>#DIV/0!</v>
      </c>
      <c r="M10" s="404"/>
      <c r="N10" s="404"/>
      <c r="O10" s="404"/>
      <c r="P10" s="405"/>
      <c r="Q10" s="595"/>
      <c r="R10" s="596"/>
      <c r="S10" s="596"/>
      <c r="T10" s="596"/>
      <c r="U10" s="597"/>
      <c r="V10" s="498"/>
      <c r="W10" s="499"/>
      <c r="X10" s="499"/>
      <c r="Y10" s="499"/>
      <c r="Z10" s="500"/>
      <c r="AA10" s="525"/>
      <c r="AB10" s="526"/>
      <c r="AC10" s="526"/>
      <c r="AD10" s="527"/>
    </row>
    <row r="11" spans="1:30" ht="20.100000000000001" customHeight="1">
      <c r="A11" s="411"/>
      <c r="B11" s="383" t="s">
        <v>94</v>
      </c>
      <c r="C11" s="384"/>
      <c r="D11" s="385"/>
      <c r="E11" s="383">
        <f>TUE!U16</f>
        <v>0</v>
      </c>
      <c r="F11" s="384"/>
      <c r="G11" s="385"/>
      <c r="H11" s="386" t="s">
        <v>95</v>
      </c>
      <c r="I11" s="387"/>
      <c r="J11" s="387"/>
      <c r="K11" s="388"/>
      <c r="L11" s="389">
        <f>TUE!T2</f>
        <v>0</v>
      </c>
      <c r="M11" s="390"/>
      <c r="N11" s="390"/>
      <c r="O11" s="390"/>
      <c r="P11" s="391"/>
      <c r="Q11" s="392"/>
      <c r="R11" s="393"/>
      <c r="S11" s="393"/>
      <c r="T11" s="393"/>
      <c r="U11" s="394"/>
      <c r="V11" s="395"/>
      <c r="W11" s="396"/>
      <c r="X11" s="396"/>
      <c r="Y11" s="396"/>
      <c r="Z11" s="397"/>
      <c r="AA11" s="398"/>
      <c r="AB11" s="399"/>
      <c r="AC11" s="399"/>
      <c r="AD11" s="400"/>
    </row>
    <row r="12" spans="1:30" ht="20.100000000000001" customHeight="1">
      <c r="A12" s="412" t="s">
        <v>68</v>
      </c>
      <c r="B12" s="432" t="s">
        <v>57</v>
      </c>
      <c r="C12" s="432"/>
      <c r="D12" s="317"/>
      <c r="E12" s="317">
        <f>WED!N31</f>
        <v>0</v>
      </c>
      <c r="F12" s="317"/>
      <c r="G12" s="317"/>
      <c r="H12" s="553">
        <f>WED!S31</f>
        <v>0</v>
      </c>
      <c r="I12" s="554"/>
      <c r="J12" s="554"/>
      <c r="K12" s="555"/>
      <c r="L12" s="556" t="e">
        <f>WED!N32</f>
        <v>#DIV/0!</v>
      </c>
      <c r="M12" s="557"/>
      <c r="N12" s="557"/>
      <c r="O12" s="557"/>
      <c r="P12" s="558"/>
      <c r="Q12" s="568">
        <f>SUM(E12:G15)</f>
        <v>0</v>
      </c>
      <c r="R12" s="569"/>
      <c r="S12" s="569"/>
      <c r="T12" s="569"/>
      <c r="U12" s="570"/>
      <c r="V12" s="349">
        <f>SUM(H12,H13,H15)</f>
        <v>0</v>
      </c>
      <c r="W12" s="350"/>
      <c r="X12" s="350"/>
      <c r="Y12" s="350"/>
      <c r="Z12" s="351"/>
      <c r="AA12" s="340" t="e">
        <f>V12/Q12</f>
        <v>#DIV/0!</v>
      </c>
      <c r="AB12" s="341"/>
      <c r="AC12" s="341"/>
      <c r="AD12" s="342"/>
    </row>
    <row r="13" spans="1:30" ht="20.100000000000001" customHeight="1">
      <c r="A13" s="413"/>
      <c r="B13" s="432" t="s">
        <v>58</v>
      </c>
      <c r="C13" s="432"/>
      <c r="D13" s="317"/>
      <c r="E13" s="317">
        <f>WED!O31</f>
        <v>0</v>
      </c>
      <c r="F13" s="317"/>
      <c r="G13" s="317"/>
      <c r="H13" s="553">
        <f>WED!S32</f>
        <v>0</v>
      </c>
      <c r="I13" s="554"/>
      <c r="J13" s="554"/>
      <c r="K13" s="555"/>
      <c r="L13" s="556" t="e">
        <f>WED!O32</f>
        <v>#DIV/0!</v>
      </c>
      <c r="M13" s="557"/>
      <c r="N13" s="557"/>
      <c r="O13" s="557"/>
      <c r="P13" s="558"/>
      <c r="Q13" s="571"/>
      <c r="R13" s="572"/>
      <c r="S13" s="572"/>
      <c r="T13" s="572"/>
      <c r="U13" s="573"/>
      <c r="V13" s="352"/>
      <c r="W13" s="353"/>
      <c r="X13" s="353"/>
      <c r="Y13" s="353"/>
      <c r="Z13" s="354"/>
      <c r="AA13" s="343"/>
      <c r="AB13" s="344"/>
      <c r="AC13" s="344"/>
      <c r="AD13" s="345"/>
    </row>
    <row r="14" spans="1:30" ht="20.100000000000001" customHeight="1">
      <c r="A14" s="413"/>
      <c r="B14" s="432" t="s">
        <v>45</v>
      </c>
      <c r="C14" s="432"/>
      <c r="D14" s="317"/>
      <c r="E14" s="317">
        <f>WED!P31</f>
        <v>0</v>
      </c>
      <c r="F14" s="317"/>
      <c r="G14" s="317"/>
      <c r="H14" s="553">
        <f>WED!K31</f>
        <v>0</v>
      </c>
      <c r="I14" s="554"/>
      <c r="J14" s="554"/>
      <c r="K14" s="555"/>
      <c r="L14" s="556" t="e">
        <f>WED!P32</f>
        <v>#DIV/0!</v>
      </c>
      <c r="M14" s="557"/>
      <c r="N14" s="557"/>
      <c r="O14" s="557"/>
      <c r="P14" s="558"/>
      <c r="Q14" s="571"/>
      <c r="R14" s="572"/>
      <c r="S14" s="572"/>
      <c r="T14" s="572"/>
      <c r="U14" s="573"/>
      <c r="V14" s="352"/>
      <c r="W14" s="353"/>
      <c r="X14" s="353"/>
      <c r="Y14" s="353"/>
      <c r="Z14" s="354"/>
      <c r="AA14" s="343"/>
      <c r="AB14" s="344"/>
      <c r="AC14" s="344"/>
      <c r="AD14" s="345"/>
    </row>
    <row r="15" spans="1:30" ht="20.100000000000001" customHeight="1">
      <c r="A15" s="413"/>
      <c r="B15" s="430" t="s">
        <v>65</v>
      </c>
      <c r="C15" s="431"/>
      <c r="D15" s="432"/>
      <c r="E15" s="430">
        <f>WED!Q31</f>
        <v>0</v>
      </c>
      <c r="F15" s="431"/>
      <c r="G15" s="432"/>
      <c r="H15" s="553">
        <f>WED!J31</f>
        <v>0</v>
      </c>
      <c r="I15" s="554"/>
      <c r="J15" s="554"/>
      <c r="K15" s="555"/>
      <c r="L15" s="556" t="e">
        <f>WED!Q32</f>
        <v>#DIV/0!</v>
      </c>
      <c r="M15" s="557"/>
      <c r="N15" s="557"/>
      <c r="O15" s="557"/>
      <c r="P15" s="558"/>
      <c r="Q15" s="574"/>
      <c r="R15" s="575"/>
      <c r="S15" s="575"/>
      <c r="T15" s="575"/>
      <c r="U15" s="576"/>
      <c r="V15" s="355"/>
      <c r="W15" s="356"/>
      <c r="X15" s="356"/>
      <c r="Y15" s="356"/>
      <c r="Z15" s="357"/>
      <c r="AA15" s="346"/>
      <c r="AB15" s="347"/>
      <c r="AC15" s="347"/>
      <c r="AD15" s="348"/>
    </row>
    <row r="16" spans="1:30" ht="20.100000000000001" customHeight="1">
      <c r="A16" s="414"/>
      <c r="B16" s="430" t="s">
        <v>94</v>
      </c>
      <c r="C16" s="431"/>
      <c r="D16" s="432"/>
      <c r="E16" s="430">
        <f>WED!U16</f>
        <v>0</v>
      </c>
      <c r="F16" s="431"/>
      <c r="G16" s="432"/>
      <c r="H16" s="553" t="s">
        <v>95</v>
      </c>
      <c r="I16" s="554"/>
      <c r="J16" s="554"/>
      <c r="K16" s="555"/>
      <c r="L16" s="613">
        <f>WED!T2</f>
        <v>0</v>
      </c>
      <c r="M16" s="614"/>
      <c r="N16" s="614"/>
      <c r="O16" s="614"/>
      <c r="P16" s="615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>
      <c r="A17" s="415" t="s">
        <v>69</v>
      </c>
      <c r="B17" s="435" t="s">
        <v>57</v>
      </c>
      <c r="C17" s="435"/>
      <c r="D17" s="362"/>
      <c r="E17" s="362">
        <f>THU!N31</f>
        <v>0</v>
      </c>
      <c r="F17" s="362"/>
      <c r="G17" s="362"/>
      <c r="H17" s="361">
        <f>THU!S31</f>
        <v>0</v>
      </c>
      <c r="I17" s="361"/>
      <c r="J17" s="361"/>
      <c r="K17" s="361"/>
      <c r="L17" s="371" t="e">
        <f>THU!N32</f>
        <v>#DIV/0!</v>
      </c>
      <c r="M17" s="371"/>
      <c r="N17" s="371"/>
      <c r="O17" s="371"/>
      <c r="P17" s="371"/>
      <c r="Q17" s="598">
        <f>SUM(E17:G20)</f>
        <v>0</v>
      </c>
      <c r="R17" s="599"/>
      <c r="S17" s="599"/>
      <c r="T17" s="599"/>
      <c r="U17" s="600"/>
      <c r="V17" s="538">
        <f>SUM(H17,H18,H20)</f>
        <v>0</v>
      </c>
      <c r="W17" s="539"/>
      <c r="X17" s="539"/>
      <c r="Y17" s="539"/>
      <c r="Z17" s="540"/>
      <c r="AA17" s="529" t="e">
        <f>V17/Q17</f>
        <v>#DIV/0!</v>
      </c>
      <c r="AB17" s="530"/>
      <c r="AC17" s="530"/>
      <c r="AD17" s="531"/>
    </row>
    <row r="18" spans="1:30" ht="20.100000000000001" customHeight="1">
      <c r="A18" s="416"/>
      <c r="B18" s="435" t="s">
        <v>58</v>
      </c>
      <c r="C18" s="435"/>
      <c r="D18" s="362"/>
      <c r="E18" s="362">
        <f>THU!O31</f>
        <v>0</v>
      </c>
      <c r="F18" s="362"/>
      <c r="G18" s="362"/>
      <c r="H18" s="361">
        <f>THU!S32</f>
        <v>0</v>
      </c>
      <c r="I18" s="361"/>
      <c r="J18" s="361"/>
      <c r="K18" s="361"/>
      <c r="L18" s="371" t="e">
        <f>THU!O32</f>
        <v>#DIV/0!</v>
      </c>
      <c r="M18" s="371"/>
      <c r="N18" s="371"/>
      <c r="O18" s="371"/>
      <c r="P18" s="371"/>
      <c r="Q18" s="601"/>
      <c r="R18" s="602"/>
      <c r="S18" s="602"/>
      <c r="T18" s="602"/>
      <c r="U18" s="603"/>
      <c r="V18" s="541"/>
      <c r="W18" s="542"/>
      <c r="X18" s="542"/>
      <c r="Y18" s="542"/>
      <c r="Z18" s="543"/>
      <c r="AA18" s="532"/>
      <c r="AB18" s="533"/>
      <c r="AC18" s="533"/>
      <c r="AD18" s="534"/>
    </row>
    <row r="19" spans="1:30" ht="20.100000000000001" customHeight="1">
      <c r="A19" s="416"/>
      <c r="B19" s="435" t="s">
        <v>45</v>
      </c>
      <c r="C19" s="435"/>
      <c r="D19" s="362"/>
      <c r="E19" s="362">
        <f>THU!P31</f>
        <v>0</v>
      </c>
      <c r="F19" s="362"/>
      <c r="G19" s="362"/>
      <c r="H19" s="361">
        <f>THU!K31</f>
        <v>0</v>
      </c>
      <c r="I19" s="361"/>
      <c r="J19" s="361"/>
      <c r="K19" s="361"/>
      <c r="L19" s="371" t="e">
        <f>THU!P32</f>
        <v>#DIV/0!</v>
      </c>
      <c r="M19" s="371"/>
      <c r="N19" s="371"/>
      <c r="O19" s="371"/>
      <c r="P19" s="371"/>
      <c r="Q19" s="601"/>
      <c r="R19" s="602"/>
      <c r="S19" s="602"/>
      <c r="T19" s="602"/>
      <c r="U19" s="603"/>
      <c r="V19" s="541"/>
      <c r="W19" s="542"/>
      <c r="X19" s="542"/>
      <c r="Y19" s="542"/>
      <c r="Z19" s="543"/>
      <c r="AA19" s="532"/>
      <c r="AB19" s="533"/>
      <c r="AC19" s="533"/>
      <c r="AD19" s="534"/>
    </row>
    <row r="20" spans="1:30" ht="20.100000000000001" customHeight="1">
      <c r="A20" s="416"/>
      <c r="B20" s="433" t="s">
        <v>65</v>
      </c>
      <c r="C20" s="434"/>
      <c r="D20" s="435"/>
      <c r="E20" s="433">
        <f>THU!Q31</f>
        <v>0</v>
      </c>
      <c r="F20" s="434"/>
      <c r="G20" s="435"/>
      <c r="H20" s="616">
        <f>THU!J31</f>
        <v>0</v>
      </c>
      <c r="I20" s="617"/>
      <c r="J20" s="617"/>
      <c r="K20" s="618"/>
      <c r="L20" s="628" t="e">
        <f>THU!Q32</f>
        <v>#DIV/0!</v>
      </c>
      <c r="M20" s="629"/>
      <c r="N20" s="629"/>
      <c r="O20" s="629"/>
      <c r="P20" s="630"/>
      <c r="Q20" s="604"/>
      <c r="R20" s="605"/>
      <c r="S20" s="605"/>
      <c r="T20" s="605"/>
      <c r="U20" s="606"/>
      <c r="V20" s="544"/>
      <c r="W20" s="545"/>
      <c r="X20" s="545"/>
      <c r="Y20" s="545"/>
      <c r="Z20" s="546"/>
      <c r="AA20" s="535"/>
      <c r="AB20" s="536"/>
      <c r="AC20" s="536"/>
      <c r="AD20" s="537"/>
    </row>
    <row r="21" spans="1:30" ht="20.100000000000001" customHeight="1">
      <c r="A21" s="417"/>
      <c r="B21" s="433" t="s">
        <v>94</v>
      </c>
      <c r="C21" s="434"/>
      <c r="D21" s="435"/>
      <c r="E21" s="433">
        <f>THU!U16</f>
        <v>0</v>
      </c>
      <c r="F21" s="434"/>
      <c r="G21" s="435"/>
      <c r="H21" s="616" t="s">
        <v>95</v>
      </c>
      <c r="I21" s="617"/>
      <c r="J21" s="617"/>
      <c r="K21" s="618"/>
      <c r="L21" s="635">
        <f>THU!T2</f>
        <v>0</v>
      </c>
      <c r="M21" s="636"/>
      <c r="N21" s="636"/>
      <c r="O21" s="636"/>
      <c r="P21" s="637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>
      <c r="A22" s="418" t="s">
        <v>93</v>
      </c>
      <c r="B22" s="438" t="s">
        <v>57</v>
      </c>
      <c r="C22" s="438"/>
      <c r="D22" s="443"/>
      <c r="E22" s="443">
        <f>FRI!N31</f>
        <v>0</v>
      </c>
      <c r="F22" s="443"/>
      <c r="G22" s="443"/>
      <c r="H22" s="366">
        <f>FRI!S31</f>
        <v>0</v>
      </c>
      <c r="I22" s="366"/>
      <c r="J22" s="366"/>
      <c r="K22" s="366"/>
      <c r="L22" s="367" t="e">
        <f>FRI!N32</f>
        <v>#DIV/0!</v>
      </c>
      <c r="M22" s="367"/>
      <c r="N22" s="367"/>
      <c r="O22" s="367"/>
      <c r="P22" s="367"/>
      <c r="Q22" s="674">
        <f>SUM(E22:G25)</f>
        <v>0</v>
      </c>
      <c r="R22" s="675"/>
      <c r="S22" s="675"/>
      <c r="T22" s="675"/>
      <c r="U22" s="676"/>
      <c r="V22" s="619">
        <f>SUM(H22,H23,H25)</f>
        <v>0</v>
      </c>
      <c r="W22" s="620"/>
      <c r="X22" s="620"/>
      <c r="Y22" s="620"/>
      <c r="Z22" s="621"/>
      <c r="AA22" s="641" t="e">
        <f>V22/Q22</f>
        <v>#DIV/0!</v>
      </c>
      <c r="AB22" s="642"/>
      <c r="AC22" s="642"/>
      <c r="AD22" s="643"/>
    </row>
    <row r="23" spans="1:30" ht="20.100000000000001" customHeight="1">
      <c r="A23" s="419"/>
      <c r="B23" s="438" t="s">
        <v>58</v>
      </c>
      <c r="C23" s="438"/>
      <c r="D23" s="443"/>
      <c r="E23" s="443">
        <f>FRI!O31</f>
        <v>0</v>
      </c>
      <c r="F23" s="443"/>
      <c r="G23" s="443"/>
      <c r="H23" s="366">
        <f>FRI!S32</f>
        <v>0</v>
      </c>
      <c r="I23" s="366"/>
      <c r="J23" s="366"/>
      <c r="K23" s="366"/>
      <c r="L23" s="367" t="e">
        <f>FRI!O32</f>
        <v>#DIV/0!</v>
      </c>
      <c r="M23" s="367"/>
      <c r="N23" s="367"/>
      <c r="O23" s="367"/>
      <c r="P23" s="367"/>
      <c r="Q23" s="677"/>
      <c r="R23" s="678"/>
      <c r="S23" s="678"/>
      <c r="T23" s="678"/>
      <c r="U23" s="679"/>
      <c r="V23" s="622"/>
      <c r="W23" s="623"/>
      <c r="X23" s="623"/>
      <c r="Y23" s="623"/>
      <c r="Z23" s="624"/>
      <c r="AA23" s="644"/>
      <c r="AB23" s="645"/>
      <c r="AC23" s="645"/>
      <c r="AD23" s="646"/>
    </row>
    <row r="24" spans="1:30" ht="20.100000000000001" customHeight="1">
      <c r="A24" s="419"/>
      <c r="B24" s="438" t="s">
        <v>45</v>
      </c>
      <c r="C24" s="438"/>
      <c r="D24" s="443"/>
      <c r="E24" s="443">
        <f>FRI!P31</f>
        <v>0</v>
      </c>
      <c r="F24" s="443"/>
      <c r="G24" s="443"/>
      <c r="H24" s="366">
        <f>FRI!K31</f>
        <v>0</v>
      </c>
      <c r="I24" s="366"/>
      <c r="J24" s="366"/>
      <c r="K24" s="366"/>
      <c r="L24" s="367" t="e">
        <f>FRI!P32</f>
        <v>#DIV/0!</v>
      </c>
      <c r="M24" s="367"/>
      <c r="N24" s="367"/>
      <c r="O24" s="367"/>
      <c r="P24" s="367"/>
      <c r="Q24" s="677"/>
      <c r="R24" s="678"/>
      <c r="S24" s="678"/>
      <c r="T24" s="678"/>
      <c r="U24" s="679"/>
      <c r="V24" s="622"/>
      <c r="W24" s="623"/>
      <c r="X24" s="623"/>
      <c r="Y24" s="623"/>
      <c r="Z24" s="624"/>
      <c r="AA24" s="644"/>
      <c r="AB24" s="645"/>
      <c r="AC24" s="645"/>
      <c r="AD24" s="646"/>
    </row>
    <row r="25" spans="1:30" ht="20.100000000000001" customHeight="1">
      <c r="A25" s="419"/>
      <c r="B25" s="436" t="s">
        <v>65</v>
      </c>
      <c r="C25" s="437"/>
      <c r="D25" s="438"/>
      <c r="E25" s="436">
        <f>FRI!Q31</f>
        <v>0</v>
      </c>
      <c r="F25" s="437"/>
      <c r="G25" s="438"/>
      <c r="H25" s="668">
        <f>FRI!J31</f>
        <v>0</v>
      </c>
      <c r="I25" s="669"/>
      <c r="J25" s="669"/>
      <c r="K25" s="670"/>
      <c r="L25" s="671" t="e">
        <f>FRI!Q32</f>
        <v>#DIV/0!</v>
      </c>
      <c r="M25" s="672"/>
      <c r="N25" s="672"/>
      <c r="O25" s="672"/>
      <c r="P25" s="673"/>
      <c r="Q25" s="680"/>
      <c r="R25" s="681"/>
      <c r="S25" s="681"/>
      <c r="T25" s="681"/>
      <c r="U25" s="682"/>
      <c r="V25" s="625"/>
      <c r="W25" s="626"/>
      <c r="X25" s="626"/>
      <c r="Y25" s="626"/>
      <c r="Z25" s="627"/>
      <c r="AA25" s="647"/>
      <c r="AB25" s="648"/>
      <c r="AC25" s="648"/>
      <c r="AD25" s="649"/>
    </row>
    <row r="26" spans="1:30" ht="20.100000000000001" customHeight="1">
      <c r="A26" s="420"/>
      <c r="B26" s="436" t="s">
        <v>94</v>
      </c>
      <c r="C26" s="437"/>
      <c r="D26" s="438"/>
      <c r="E26" s="436">
        <f>FRI!U16</f>
        <v>0</v>
      </c>
      <c r="F26" s="437"/>
      <c r="G26" s="438"/>
      <c r="H26" s="668" t="s">
        <v>95</v>
      </c>
      <c r="I26" s="669"/>
      <c r="J26" s="669"/>
      <c r="K26" s="670"/>
      <c r="L26" s="638">
        <f>FRI!T2</f>
        <v>0</v>
      </c>
      <c r="M26" s="639"/>
      <c r="N26" s="639"/>
      <c r="O26" s="639"/>
      <c r="P26" s="640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>
      <c r="A27" s="421" t="s">
        <v>70</v>
      </c>
      <c r="B27" s="376" t="s">
        <v>57</v>
      </c>
      <c r="C27" s="376"/>
      <c r="D27" s="373"/>
      <c r="E27" s="373">
        <f>SAT!N31</f>
        <v>0</v>
      </c>
      <c r="F27" s="373"/>
      <c r="G27" s="373"/>
      <c r="H27" s="528">
        <f>SAT!S31</f>
        <v>0</v>
      </c>
      <c r="I27" s="528"/>
      <c r="J27" s="528"/>
      <c r="K27" s="528"/>
      <c r="L27" s="372" t="e">
        <f>SAT!N32</f>
        <v>#DIV/0!</v>
      </c>
      <c r="M27" s="372"/>
      <c r="N27" s="372"/>
      <c r="O27" s="372"/>
      <c r="P27" s="372"/>
      <c r="Q27" s="577">
        <f>SUM(E27:G30)</f>
        <v>0</v>
      </c>
      <c r="R27" s="578"/>
      <c r="S27" s="578"/>
      <c r="T27" s="578"/>
      <c r="U27" s="579"/>
      <c r="V27" s="659">
        <f>SUM(H27,H28,H30)</f>
        <v>0</v>
      </c>
      <c r="W27" s="660"/>
      <c r="X27" s="660"/>
      <c r="Y27" s="660"/>
      <c r="Z27" s="661"/>
      <c r="AA27" s="650" t="e">
        <f>V27/Q27</f>
        <v>#DIV/0!</v>
      </c>
      <c r="AB27" s="651"/>
      <c r="AC27" s="651"/>
      <c r="AD27" s="652"/>
    </row>
    <row r="28" spans="1:30" ht="20.100000000000001" customHeight="1">
      <c r="A28" s="422"/>
      <c r="B28" s="376" t="s">
        <v>58</v>
      </c>
      <c r="C28" s="376"/>
      <c r="D28" s="373"/>
      <c r="E28" s="373">
        <f>SAT!O31</f>
        <v>0</v>
      </c>
      <c r="F28" s="373"/>
      <c r="G28" s="373"/>
      <c r="H28" s="528">
        <f>SAT!S32</f>
        <v>0</v>
      </c>
      <c r="I28" s="528"/>
      <c r="J28" s="528"/>
      <c r="K28" s="528"/>
      <c r="L28" s="372" t="e">
        <f>SAT!O32</f>
        <v>#DIV/0!</v>
      </c>
      <c r="M28" s="372"/>
      <c r="N28" s="372"/>
      <c r="O28" s="372"/>
      <c r="P28" s="372"/>
      <c r="Q28" s="580"/>
      <c r="R28" s="581"/>
      <c r="S28" s="581"/>
      <c r="T28" s="581"/>
      <c r="U28" s="582"/>
      <c r="V28" s="662"/>
      <c r="W28" s="663"/>
      <c r="X28" s="663"/>
      <c r="Y28" s="663"/>
      <c r="Z28" s="664"/>
      <c r="AA28" s="653"/>
      <c r="AB28" s="654"/>
      <c r="AC28" s="654"/>
      <c r="AD28" s="655"/>
    </row>
    <row r="29" spans="1:30" ht="20.100000000000001" customHeight="1">
      <c r="A29" s="422"/>
      <c r="B29" s="376" t="s">
        <v>45</v>
      </c>
      <c r="C29" s="376"/>
      <c r="D29" s="373"/>
      <c r="E29" s="373">
        <f>SAT!P31</f>
        <v>0</v>
      </c>
      <c r="F29" s="373"/>
      <c r="G29" s="373"/>
      <c r="H29" s="528">
        <f>SAT!K31</f>
        <v>0</v>
      </c>
      <c r="I29" s="528"/>
      <c r="J29" s="528"/>
      <c r="K29" s="528"/>
      <c r="L29" s="372" t="e">
        <f>SAT!P32</f>
        <v>#DIV/0!</v>
      </c>
      <c r="M29" s="372"/>
      <c r="N29" s="372"/>
      <c r="O29" s="372"/>
      <c r="P29" s="372"/>
      <c r="Q29" s="580"/>
      <c r="R29" s="581"/>
      <c r="S29" s="581"/>
      <c r="T29" s="581"/>
      <c r="U29" s="582"/>
      <c r="V29" s="662"/>
      <c r="W29" s="663"/>
      <c r="X29" s="663"/>
      <c r="Y29" s="663"/>
      <c r="Z29" s="664"/>
      <c r="AA29" s="653"/>
      <c r="AB29" s="654"/>
      <c r="AC29" s="654"/>
      <c r="AD29" s="655"/>
    </row>
    <row r="30" spans="1:30" ht="20.100000000000001" customHeight="1">
      <c r="A30" s="422"/>
      <c r="B30" s="374" t="s">
        <v>65</v>
      </c>
      <c r="C30" s="375"/>
      <c r="D30" s="376"/>
      <c r="E30" s="374">
        <f>SAT!Q31</f>
        <v>0</v>
      </c>
      <c r="F30" s="375"/>
      <c r="G30" s="376"/>
      <c r="H30" s="368">
        <f>SAT!J31</f>
        <v>0</v>
      </c>
      <c r="I30" s="369"/>
      <c r="J30" s="369"/>
      <c r="K30" s="370"/>
      <c r="L30" s="586" t="e">
        <f>SAT!Q32</f>
        <v>#DIV/0!</v>
      </c>
      <c r="M30" s="587"/>
      <c r="N30" s="587"/>
      <c r="O30" s="587"/>
      <c r="P30" s="588"/>
      <c r="Q30" s="583"/>
      <c r="R30" s="584"/>
      <c r="S30" s="584"/>
      <c r="T30" s="584"/>
      <c r="U30" s="585"/>
      <c r="V30" s="665"/>
      <c r="W30" s="666"/>
      <c r="X30" s="666"/>
      <c r="Y30" s="666"/>
      <c r="Z30" s="667"/>
      <c r="AA30" s="656"/>
      <c r="AB30" s="657"/>
      <c r="AC30" s="657"/>
      <c r="AD30" s="658"/>
    </row>
    <row r="31" spans="1:30" ht="20.100000000000001" customHeight="1">
      <c r="A31" s="423"/>
      <c r="B31" s="374" t="s">
        <v>94</v>
      </c>
      <c r="C31" s="375"/>
      <c r="D31" s="376"/>
      <c r="E31" s="374">
        <f>SAT!U16</f>
        <v>0</v>
      </c>
      <c r="F31" s="375"/>
      <c r="G31" s="376"/>
      <c r="H31" s="368" t="s">
        <v>95</v>
      </c>
      <c r="I31" s="369"/>
      <c r="J31" s="369"/>
      <c r="K31" s="370"/>
      <c r="L31" s="358">
        <f>SAT!T2</f>
        <v>0</v>
      </c>
      <c r="M31" s="359"/>
      <c r="N31" s="359"/>
      <c r="O31" s="359"/>
      <c r="P31" s="360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>
      <c r="A32" s="424" t="s">
        <v>71</v>
      </c>
      <c r="B32" s="442" t="s">
        <v>57</v>
      </c>
      <c r="C32" s="363"/>
      <c r="D32" s="363"/>
      <c r="E32" s="363">
        <f>SUN!N31</f>
        <v>0</v>
      </c>
      <c r="F32" s="363"/>
      <c r="G32" s="363"/>
      <c r="H32" s="364">
        <f>SUN!S31</f>
        <v>0</v>
      </c>
      <c r="I32" s="364"/>
      <c r="J32" s="364"/>
      <c r="K32" s="364"/>
      <c r="L32" s="365" t="e">
        <f>SUN!N32</f>
        <v>#DIV/0!</v>
      </c>
      <c r="M32" s="365"/>
      <c r="N32" s="365"/>
      <c r="O32" s="365"/>
      <c r="P32" s="365"/>
      <c r="Q32" s="634">
        <f>SUM(E32:G35)</f>
        <v>0</v>
      </c>
      <c r="R32" s="634"/>
      <c r="S32" s="634"/>
      <c r="T32" s="634"/>
      <c r="U32" s="634"/>
      <c r="V32" s="692">
        <f>SUM(H32,H33,H35)</f>
        <v>0</v>
      </c>
      <c r="W32" s="692"/>
      <c r="X32" s="692"/>
      <c r="Y32" s="692"/>
      <c r="Z32" s="692"/>
      <c r="AA32" s="706" t="e">
        <f>V32/Q32</f>
        <v>#DIV/0!</v>
      </c>
      <c r="AB32" s="707"/>
      <c r="AC32" s="707"/>
      <c r="AD32" s="707"/>
    </row>
    <row r="33" spans="1:30" ht="20.100000000000001" customHeight="1">
      <c r="A33" s="425"/>
      <c r="B33" s="442" t="s">
        <v>58</v>
      </c>
      <c r="C33" s="363"/>
      <c r="D33" s="363"/>
      <c r="E33" s="363">
        <f>SUN!O31</f>
        <v>0</v>
      </c>
      <c r="F33" s="363"/>
      <c r="G33" s="363"/>
      <c r="H33" s="364">
        <f>SUN!S32</f>
        <v>0</v>
      </c>
      <c r="I33" s="364"/>
      <c r="J33" s="364"/>
      <c r="K33" s="364"/>
      <c r="L33" s="365" t="e">
        <f>SUN!O32</f>
        <v>#DIV/0!</v>
      </c>
      <c r="M33" s="365"/>
      <c r="N33" s="365"/>
      <c r="O33" s="365"/>
      <c r="P33" s="365"/>
      <c r="Q33" s="634"/>
      <c r="R33" s="634"/>
      <c r="S33" s="634"/>
      <c r="T33" s="634"/>
      <c r="U33" s="634"/>
      <c r="V33" s="692"/>
      <c r="W33" s="692"/>
      <c r="X33" s="692"/>
      <c r="Y33" s="692"/>
      <c r="Z33" s="692"/>
      <c r="AA33" s="707"/>
      <c r="AB33" s="707"/>
      <c r="AC33" s="707"/>
      <c r="AD33" s="707"/>
    </row>
    <row r="34" spans="1:30" ht="20.100000000000001" customHeight="1">
      <c r="A34" s="425"/>
      <c r="B34" s="442" t="s">
        <v>45</v>
      </c>
      <c r="C34" s="363"/>
      <c r="D34" s="363"/>
      <c r="E34" s="363">
        <f>SUN!P31</f>
        <v>0</v>
      </c>
      <c r="F34" s="363"/>
      <c r="G34" s="363"/>
      <c r="H34" s="364">
        <f>SUN!K31</f>
        <v>0</v>
      </c>
      <c r="I34" s="364"/>
      <c r="J34" s="364"/>
      <c r="K34" s="364"/>
      <c r="L34" s="365" t="e">
        <f>SUN!P32</f>
        <v>#DIV/0!</v>
      </c>
      <c r="M34" s="365"/>
      <c r="N34" s="365"/>
      <c r="O34" s="365"/>
      <c r="P34" s="365"/>
      <c r="Q34" s="634"/>
      <c r="R34" s="634"/>
      <c r="S34" s="634"/>
      <c r="T34" s="634"/>
      <c r="U34" s="634"/>
      <c r="V34" s="692"/>
      <c r="W34" s="692"/>
      <c r="X34" s="692"/>
      <c r="Y34" s="692"/>
      <c r="Z34" s="692"/>
      <c r="AA34" s="707"/>
      <c r="AB34" s="707"/>
      <c r="AC34" s="707"/>
      <c r="AD34" s="707"/>
    </row>
    <row r="35" spans="1:30" ht="20.100000000000001" customHeight="1">
      <c r="A35" s="425"/>
      <c r="B35" s="442" t="s">
        <v>65</v>
      </c>
      <c r="C35" s="363"/>
      <c r="D35" s="363"/>
      <c r="E35" s="363">
        <f>SUN!Q31</f>
        <v>0</v>
      </c>
      <c r="F35" s="363"/>
      <c r="G35" s="363"/>
      <c r="H35" s="364">
        <f>SUN!J31</f>
        <v>0</v>
      </c>
      <c r="I35" s="364"/>
      <c r="J35" s="364"/>
      <c r="K35" s="364"/>
      <c r="L35" s="365" t="e">
        <f>SUN!Q32</f>
        <v>#DIV/0!</v>
      </c>
      <c r="M35" s="365"/>
      <c r="N35" s="365"/>
      <c r="O35" s="365"/>
      <c r="P35" s="365"/>
      <c r="Q35" s="634"/>
      <c r="R35" s="634"/>
      <c r="S35" s="634"/>
      <c r="T35" s="634"/>
      <c r="U35" s="634"/>
      <c r="V35" s="692"/>
      <c r="W35" s="692"/>
      <c r="X35" s="692"/>
      <c r="Y35" s="692"/>
      <c r="Z35" s="692"/>
      <c r="AA35" s="707"/>
      <c r="AB35" s="707"/>
      <c r="AC35" s="707"/>
      <c r="AD35" s="707"/>
    </row>
    <row r="36" spans="1:30" ht="20.100000000000001" customHeight="1" thickBot="1">
      <c r="A36" s="426"/>
      <c r="B36" s="439" t="s">
        <v>94</v>
      </c>
      <c r="C36" s="440"/>
      <c r="D36" s="441"/>
      <c r="E36" s="439">
        <f>SUN!U16</f>
        <v>0</v>
      </c>
      <c r="F36" s="440"/>
      <c r="G36" s="441"/>
      <c r="H36" s="439" t="s">
        <v>95</v>
      </c>
      <c r="I36" s="440"/>
      <c r="J36" s="440"/>
      <c r="K36" s="441"/>
      <c r="L36" s="708">
        <f>SUN!T2</f>
        <v>0</v>
      </c>
      <c r="M36" s="709"/>
      <c r="N36" s="709"/>
      <c r="O36" s="709"/>
      <c r="P36" s="710"/>
      <c r="Q36" s="631"/>
      <c r="R36" s="632"/>
      <c r="S36" s="632"/>
      <c r="T36" s="632"/>
      <c r="U36" s="633"/>
      <c r="V36" s="695"/>
      <c r="W36" s="696"/>
      <c r="X36" s="696"/>
      <c r="Y36" s="696"/>
      <c r="Z36" s="697"/>
      <c r="AA36" s="698"/>
      <c r="AB36" s="699"/>
      <c r="AC36" s="699"/>
      <c r="AD36" s="700"/>
    </row>
    <row r="37" spans="1:30" ht="16.5" customHeight="1">
      <c r="A37" s="683" t="s">
        <v>72</v>
      </c>
      <c r="B37" s="684"/>
      <c r="C37" s="684"/>
      <c r="D37" s="684"/>
      <c r="E37" s="684" t="s">
        <v>73</v>
      </c>
      <c r="F37" s="684"/>
      <c r="G37" s="684"/>
      <c r="H37" s="684"/>
      <c r="I37" s="684"/>
      <c r="J37" s="684"/>
      <c r="K37" s="684" t="s">
        <v>74</v>
      </c>
      <c r="L37" s="684"/>
      <c r="M37" s="684"/>
      <c r="N37" s="684"/>
      <c r="O37" s="684" t="s">
        <v>65</v>
      </c>
      <c r="P37" s="684"/>
      <c r="Q37" s="684"/>
      <c r="R37" s="684"/>
      <c r="S37" s="684"/>
      <c r="T37" s="684" t="s">
        <v>75</v>
      </c>
      <c r="U37" s="684"/>
      <c r="V37" s="684"/>
      <c r="W37" s="684"/>
      <c r="X37" s="684"/>
      <c r="Y37" s="684" t="s">
        <v>76</v>
      </c>
      <c r="Z37" s="684"/>
      <c r="AA37" s="684"/>
      <c r="AB37" s="684"/>
      <c r="AC37" s="684"/>
      <c r="AD37" s="693"/>
    </row>
    <row r="38" spans="1:30" ht="16.5" customHeight="1">
      <c r="A38" s="685"/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686"/>
      <c r="AB38" s="686"/>
      <c r="AC38" s="686"/>
      <c r="AD38" s="694"/>
    </row>
    <row r="39" spans="1:30" ht="16.5" customHeight="1">
      <c r="A39" s="687">
        <f>SUM(Q2:U35)</f>
        <v>0</v>
      </c>
      <c r="B39" s="688"/>
      <c r="C39" s="688"/>
      <c r="D39" s="688"/>
      <c r="E39" s="691">
        <f>SUM(V2:Z35)</f>
        <v>0</v>
      </c>
      <c r="F39" s="688"/>
      <c r="G39" s="688"/>
      <c r="H39" s="688"/>
      <c r="I39" s="688"/>
      <c r="J39" s="688"/>
      <c r="K39" s="691" t="e">
        <f>E39/A39</f>
        <v>#DIV/0!</v>
      </c>
      <c r="L39" s="688"/>
      <c r="M39" s="688"/>
      <c r="N39" s="688"/>
      <c r="O39" s="688">
        <f>SUM(MON:SUN!Q31)</f>
        <v>0</v>
      </c>
      <c r="P39" s="688"/>
      <c r="Q39" s="688"/>
      <c r="R39" s="688"/>
      <c r="S39" s="688"/>
      <c r="T39" s="688">
        <f>SUM(MON:SUN!P31)</f>
        <v>0</v>
      </c>
      <c r="U39" s="688"/>
      <c r="V39" s="688"/>
      <c r="W39" s="688"/>
      <c r="X39" s="688"/>
      <c r="Y39" s="688">
        <f>SUM(MON:SUN!S19)</f>
        <v>0</v>
      </c>
      <c r="Z39" s="688"/>
      <c r="AA39" s="688"/>
      <c r="AB39" s="688"/>
      <c r="AC39" s="688"/>
      <c r="AD39" s="703"/>
    </row>
    <row r="40" spans="1:30" ht="16.5" customHeight="1">
      <c r="A40" s="687"/>
      <c r="B40" s="688"/>
      <c r="C40" s="688"/>
      <c r="D40" s="688"/>
      <c r="E40" s="688"/>
      <c r="F40" s="688"/>
      <c r="G40" s="688"/>
      <c r="H40" s="688"/>
      <c r="I40" s="688"/>
      <c r="J40" s="688"/>
      <c r="K40" s="688"/>
      <c r="L40" s="688"/>
      <c r="M40" s="688"/>
      <c r="N40" s="688"/>
      <c r="O40" s="688"/>
      <c r="P40" s="688"/>
      <c r="Q40" s="688"/>
      <c r="R40" s="688"/>
      <c r="S40" s="688"/>
      <c r="T40" s="688"/>
      <c r="U40" s="688"/>
      <c r="V40" s="688"/>
      <c r="W40" s="688"/>
      <c r="X40" s="688"/>
      <c r="Y40" s="688"/>
      <c r="Z40" s="688"/>
      <c r="AA40" s="688"/>
      <c r="AB40" s="688"/>
      <c r="AC40" s="688"/>
      <c r="AD40" s="703"/>
    </row>
    <row r="41" spans="1:30" ht="16.5" customHeight="1">
      <c r="A41" s="687"/>
      <c r="B41" s="688"/>
      <c r="C41" s="688"/>
      <c r="D41" s="688"/>
      <c r="E41" s="688"/>
      <c r="F41" s="688"/>
      <c r="G41" s="688"/>
      <c r="H41" s="688"/>
      <c r="I41" s="688"/>
      <c r="J41" s="688"/>
      <c r="K41" s="688"/>
      <c r="L41" s="688"/>
      <c r="M41" s="688"/>
      <c r="N41" s="688"/>
      <c r="O41" s="701">
        <f>SUM(MON:SUN!J31)</f>
        <v>0</v>
      </c>
      <c r="P41" s="701"/>
      <c r="Q41" s="701"/>
      <c r="R41" s="701"/>
      <c r="S41" s="701"/>
      <c r="T41" s="701">
        <f>SUM(MON:SUN!K31)</f>
        <v>0</v>
      </c>
      <c r="U41" s="701"/>
      <c r="V41" s="701"/>
      <c r="W41" s="701"/>
      <c r="X41" s="701"/>
      <c r="Y41" s="701">
        <f>SUM(MON:SUN!T19)</f>
        <v>0</v>
      </c>
      <c r="Z41" s="701"/>
      <c r="AA41" s="701"/>
      <c r="AB41" s="701"/>
      <c r="AC41" s="701"/>
      <c r="AD41" s="704"/>
    </row>
    <row r="42" spans="1:30" ht="16.5" customHeight="1" thickBot="1">
      <c r="A42" s="689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702"/>
      <c r="P42" s="702"/>
      <c r="Q42" s="702"/>
      <c r="R42" s="702"/>
      <c r="S42" s="702"/>
      <c r="T42" s="702"/>
      <c r="U42" s="702"/>
      <c r="V42" s="702"/>
      <c r="W42" s="702"/>
      <c r="X42" s="702"/>
      <c r="Y42" s="702"/>
      <c r="Z42" s="702"/>
      <c r="AA42" s="702"/>
      <c r="AB42" s="702"/>
      <c r="AC42" s="702"/>
      <c r="AD42" s="705"/>
    </row>
    <row r="43" spans="1:30" ht="17.45" customHeight="1">
      <c r="A43" s="462" t="s">
        <v>84</v>
      </c>
      <c r="B43" s="463"/>
      <c r="C43" s="463"/>
      <c r="D43" s="463"/>
      <c r="E43" s="464"/>
      <c r="F43" s="462" t="s">
        <v>85</v>
      </c>
      <c r="G43" s="463"/>
      <c r="H43" s="463"/>
      <c r="I43" s="463"/>
      <c r="J43" s="464"/>
      <c r="K43" s="462" t="s">
        <v>86</v>
      </c>
      <c r="L43" s="463"/>
      <c r="M43" s="463"/>
      <c r="N43" s="463"/>
      <c r="O43" s="464"/>
      <c r="P43" s="462" t="s">
        <v>87</v>
      </c>
      <c r="Q43" s="463"/>
      <c r="R43" s="463"/>
      <c r="S43" s="463"/>
      <c r="T43" s="464"/>
      <c r="U43" s="462" t="s">
        <v>90</v>
      </c>
      <c r="V43" s="463"/>
      <c r="W43" s="463"/>
      <c r="X43" s="463"/>
      <c r="Y43" s="464"/>
      <c r="Z43" s="468" t="s">
        <v>95</v>
      </c>
      <c r="AA43" s="469"/>
      <c r="AB43" s="469"/>
      <c r="AC43" s="469"/>
      <c r="AD43" s="470"/>
    </row>
    <row r="44" spans="1:30" ht="17.45" customHeight="1">
      <c r="A44" s="465"/>
      <c r="B44" s="466"/>
      <c r="C44" s="466"/>
      <c r="D44" s="466"/>
      <c r="E44" s="467"/>
      <c r="F44" s="465"/>
      <c r="G44" s="466"/>
      <c r="H44" s="466"/>
      <c r="I44" s="466"/>
      <c r="J44" s="467"/>
      <c r="K44" s="465"/>
      <c r="L44" s="466"/>
      <c r="M44" s="466"/>
      <c r="N44" s="466"/>
      <c r="O44" s="467"/>
      <c r="P44" s="465"/>
      <c r="Q44" s="466"/>
      <c r="R44" s="466"/>
      <c r="S44" s="466"/>
      <c r="T44" s="467"/>
      <c r="U44" s="465"/>
      <c r="V44" s="466"/>
      <c r="W44" s="466"/>
      <c r="X44" s="466"/>
      <c r="Y44" s="467"/>
      <c r="Z44" s="471"/>
      <c r="AA44" s="472"/>
      <c r="AB44" s="472"/>
      <c r="AC44" s="472"/>
      <c r="AD44" s="473"/>
    </row>
    <row r="45" spans="1:30">
      <c r="A45" s="474">
        <f>SUM(H2,H7,H12,H17,H22,H27,H32)</f>
        <v>0</v>
      </c>
      <c r="B45" s="475"/>
      <c r="C45" s="475"/>
      <c r="D45" s="475"/>
      <c r="E45" s="476"/>
      <c r="F45" s="474">
        <f>SUM(,H3,H8,H13,H18,H23,H28,H33)</f>
        <v>0</v>
      </c>
      <c r="G45" s="475"/>
      <c r="H45" s="475"/>
      <c r="I45" s="475"/>
      <c r="J45" s="476"/>
      <c r="K45" s="474">
        <f>SUM(H5,H10,H15,H20,H25,H30,H35)</f>
        <v>0</v>
      </c>
      <c r="L45" s="475"/>
      <c r="M45" s="475"/>
      <c r="N45" s="475"/>
      <c r="O45" s="476"/>
      <c r="P45" s="474">
        <f>SUM(H4,H9,H14,H19,H24,H29,H34)</f>
        <v>0</v>
      </c>
      <c r="Q45" s="475"/>
      <c r="R45" s="475"/>
      <c r="S45" s="475"/>
      <c r="T45" s="476"/>
      <c r="U45" s="483">
        <f>SUM(E6,E11,E16,E21,E26,E31,E36)</f>
        <v>-24</v>
      </c>
      <c r="V45" s="475"/>
      <c r="W45" s="475"/>
      <c r="X45" s="475"/>
      <c r="Y45" s="476"/>
      <c r="Z45" s="483">
        <f>SUM(L6,L11,L16,L21,L26,L31,L36)</f>
        <v>4</v>
      </c>
      <c r="AA45" s="475"/>
      <c r="AB45" s="475"/>
      <c r="AC45" s="475"/>
      <c r="AD45" s="484"/>
    </row>
    <row r="46" spans="1:30">
      <c r="A46" s="477"/>
      <c r="B46" s="478"/>
      <c r="C46" s="478"/>
      <c r="D46" s="478"/>
      <c r="E46" s="479"/>
      <c r="F46" s="477"/>
      <c r="G46" s="478"/>
      <c r="H46" s="478"/>
      <c r="I46" s="478"/>
      <c r="J46" s="479"/>
      <c r="K46" s="477"/>
      <c r="L46" s="478"/>
      <c r="M46" s="478"/>
      <c r="N46" s="478"/>
      <c r="O46" s="479"/>
      <c r="P46" s="477"/>
      <c r="Q46" s="478"/>
      <c r="R46" s="478"/>
      <c r="S46" s="478"/>
      <c r="T46" s="479"/>
      <c r="U46" s="477"/>
      <c r="V46" s="478"/>
      <c r="W46" s="478"/>
      <c r="X46" s="478"/>
      <c r="Y46" s="479"/>
      <c r="Z46" s="477"/>
      <c r="AA46" s="478"/>
      <c r="AB46" s="478"/>
      <c r="AC46" s="478"/>
      <c r="AD46" s="485"/>
    </row>
    <row r="47" spans="1:30">
      <c r="A47" s="477"/>
      <c r="B47" s="478"/>
      <c r="C47" s="478"/>
      <c r="D47" s="478"/>
      <c r="E47" s="479"/>
      <c r="F47" s="477"/>
      <c r="G47" s="478"/>
      <c r="H47" s="478"/>
      <c r="I47" s="478"/>
      <c r="J47" s="479"/>
      <c r="K47" s="477"/>
      <c r="L47" s="478"/>
      <c r="M47" s="478"/>
      <c r="N47" s="478"/>
      <c r="O47" s="479"/>
      <c r="P47" s="477"/>
      <c r="Q47" s="478"/>
      <c r="R47" s="478"/>
      <c r="S47" s="478"/>
      <c r="T47" s="479"/>
      <c r="U47" s="477"/>
      <c r="V47" s="478"/>
      <c r="W47" s="478"/>
      <c r="X47" s="478"/>
      <c r="Y47" s="479"/>
      <c r="Z47" s="477"/>
      <c r="AA47" s="478"/>
      <c r="AB47" s="478"/>
      <c r="AC47" s="478"/>
      <c r="AD47" s="485"/>
    </row>
    <row r="48" spans="1:30" ht="15.75" thickBot="1">
      <c r="A48" s="480"/>
      <c r="B48" s="481"/>
      <c r="C48" s="481"/>
      <c r="D48" s="481"/>
      <c r="E48" s="482"/>
      <c r="F48" s="480"/>
      <c r="G48" s="481"/>
      <c r="H48" s="481"/>
      <c r="I48" s="481"/>
      <c r="J48" s="482"/>
      <c r="K48" s="480"/>
      <c r="L48" s="481"/>
      <c r="M48" s="481"/>
      <c r="N48" s="481"/>
      <c r="O48" s="482"/>
      <c r="P48" s="480"/>
      <c r="Q48" s="481"/>
      <c r="R48" s="481"/>
      <c r="S48" s="481"/>
      <c r="T48" s="482"/>
      <c r="U48" s="480"/>
      <c r="V48" s="481"/>
      <c r="W48" s="481"/>
      <c r="X48" s="481"/>
      <c r="Y48" s="482"/>
      <c r="Z48" s="480"/>
      <c r="AA48" s="481"/>
      <c r="AB48" s="481"/>
      <c r="AC48" s="481"/>
      <c r="AD48" s="486"/>
    </row>
    <row r="49" spans="1:30" ht="17.45" customHeight="1">
      <c r="A49" s="444" t="e">
        <f>A45/E39</f>
        <v>#DIV/0!</v>
      </c>
      <c r="B49" s="445"/>
      <c r="C49" s="445"/>
      <c r="D49" s="445"/>
      <c r="E49" s="446"/>
      <c r="F49" s="444" t="e">
        <f>F45/E39</f>
        <v>#DIV/0!</v>
      </c>
      <c r="G49" s="445"/>
      <c r="H49" s="445"/>
      <c r="I49" s="445"/>
      <c r="J49" s="446"/>
      <c r="K49" s="444" t="e">
        <f>K45/E39</f>
        <v>#DIV/0!</v>
      </c>
      <c r="L49" s="445"/>
      <c r="M49" s="445"/>
      <c r="N49" s="445"/>
      <c r="O49" s="446"/>
      <c r="P49" s="444" t="e">
        <f>P45/E39</f>
        <v>#DIV/0!</v>
      </c>
      <c r="Q49" s="445"/>
      <c r="R49" s="445"/>
      <c r="S49" s="445"/>
      <c r="T49" s="446"/>
      <c r="U49" s="453">
        <f>U45/7</f>
        <v>-3.4285714285714284</v>
      </c>
      <c r="V49" s="454"/>
      <c r="W49" s="454"/>
      <c r="X49" s="454"/>
      <c r="Y49" s="455"/>
      <c r="Z49" s="453">
        <f>U45/Z45</f>
        <v>-6</v>
      </c>
      <c r="AA49" s="454"/>
      <c r="AB49" s="454"/>
      <c r="AC49" s="454"/>
      <c r="AD49" s="455"/>
    </row>
    <row r="50" spans="1:30" ht="17.45" customHeight="1">
      <c r="A50" s="447"/>
      <c r="B50" s="448"/>
      <c r="C50" s="448"/>
      <c r="D50" s="448"/>
      <c r="E50" s="449"/>
      <c r="F50" s="447"/>
      <c r="G50" s="448"/>
      <c r="H50" s="448"/>
      <c r="I50" s="448"/>
      <c r="J50" s="449"/>
      <c r="K50" s="447"/>
      <c r="L50" s="448"/>
      <c r="M50" s="448"/>
      <c r="N50" s="448"/>
      <c r="O50" s="449"/>
      <c r="P50" s="447"/>
      <c r="Q50" s="448"/>
      <c r="R50" s="448"/>
      <c r="S50" s="448"/>
      <c r="T50" s="449"/>
      <c r="U50" s="456"/>
      <c r="V50" s="457"/>
      <c r="W50" s="457"/>
      <c r="X50" s="457"/>
      <c r="Y50" s="458"/>
      <c r="Z50" s="456"/>
      <c r="AA50" s="457"/>
      <c r="AB50" s="457"/>
      <c r="AC50" s="457"/>
      <c r="AD50" s="458"/>
    </row>
    <row r="51" spans="1:30" ht="17.45" customHeight="1">
      <c r="A51" s="447"/>
      <c r="B51" s="448"/>
      <c r="C51" s="448"/>
      <c r="D51" s="448"/>
      <c r="E51" s="449"/>
      <c r="F51" s="447"/>
      <c r="G51" s="448"/>
      <c r="H51" s="448"/>
      <c r="I51" s="448"/>
      <c r="J51" s="449"/>
      <c r="K51" s="447"/>
      <c r="L51" s="448"/>
      <c r="M51" s="448"/>
      <c r="N51" s="448"/>
      <c r="O51" s="449"/>
      <c r="P51" s="447"/>
      <c r="Q51" s="448"/>
      <c r="R51" s="448"/>
      <c r="S51" s="448"/>
      <c r="T51" s="449"/>
      <c r="U51" s="456"/>
      <c r="V51" s="457"/>
      <c r="W51" s="457"/>
      <c r="X51" s="457"/>
      <c r="Y51" s="458"/>
      <c r="Z51" s="456"/>
      <c r="AA51" s="457"/>
      <c r="AB51" s="457"/>
      <c r="AC51" s="457"/>
      <c r="AD51" s="458"/>
    </row>
    <row r="52" spans="1:30" ht="18" customHeight="1" thickBot="1">
      <c r="A52" s="450"/>
      <c r="B52" s="451"/>
      <c r="C52" s="451"/>
      <c r="D52" s="451"/>
      <c r="E52" s="452"/>
      <c r="F52" s="450"/>
      <c r="G52" s="451"/>
      <c r="H52" s="451"/>
      <c r="I52" s="451"/>
      <c r="J52" s="452"/>
      <c r="K52" s="450"/>
      <c r="L52" s="451"/>
      <c r="M52" s="451"/>
      <c r="N52" s="451"/>
      <c r="O52" s="452"/>
      <c r="P52" s="450"/>
      <c r="Q52" s="451"/>
      <c r="R52" s="451"/>
      <c r="S52" s="451"/>
      <c r="T52" s="452"/>
      <c r="U52" s="459"/>
      <c r="V52" s="460"/>
      <c r="W52" s="460"/>
      <c r="X52" s="460"/>
      <c r="Y52" s="461"/>
      <c r="Z52" s="459"/>
      <c r="AA52" s="460"/>
      <c r="AB52" s="460"/>
      <c r="AC52" s="460"/>
      <c r="AD52" s="461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1B75269E-93FA-4B59-A8A6-289291DCA882}"/>
</file>

<file path=customXml/itemProps2.xml><?xml version="1.0" encoding="utf-8"?>
<ds:datastoreItem xmlns:ds="http://schemas.openxmlformats.org/officeDocument/2006/customXml" ds:itemID="{AFAC5249-7284-48EF-BEC4-86B9CD259BA2}"/>
</file>

<file path=customXml/itemProps3.xml><?xml version="1.0" encoding="utf-8"?>
<ds:datastoreItem xmlns:ds="http://schemas.openxmlformats.org/officeDocument/2006/customXml" ds:itemID="{BB036D36-8D34-4905-9784-B306BA5EA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Longmuir</cp:lastModifiedBy>
  <cp:lastPrinted>2021-12-02T06:53:47Z</cp:lastPrinted>
  <dcterms:created xsi:type="dcterms:W3CDTF">2011-11-24T03:16:40Z</dcterms:created>
  <dcterms:modified xsi:type="dcterms:W3CDTF">2023-09-17T22:50:16Z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