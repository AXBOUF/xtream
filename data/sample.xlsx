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B2 DR\2023\3. Mar\"/>
    </mc:Choice>
  </mc:AlternateContent>
  <xr:revisionPtr revIDLastSave="0" documentId="13_ncr:1_{DAC18889-F168-4220-BBB4-0E769BFB400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Sheet1" sheetId="9" r:id="rId8"/>
    <sheet name="WEEKLY TOTAL" sheetId="8" r:id="rId9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2" i="8" l="1"/>
  <c r="M94" i="7"/>
  <c r="L94" i="7"/>
  <c r="I94" i="7"/>
  <c r="H94" i="7"/>
  <c r="K93" i="7"/>
  <c r="J93" i="7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M62" i="7"/>
  <c r="L62" i="7"/>
  <c r="I62" i="7"/>
  <c r="H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A37" i="7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M31" i="7"/>
  <c r="M30" i="7"/>
  <c r="L30" i="7"/>
  <c r="L31" i="7" s="1"/>
  <c r="I30" i="7"/>
  <c r="I31" i="7" s="1"/>
  <c r="S32" i="7" s="1"/>
  <c r="H30" i="7"/>
  <c r="K29" i="7"/>
  <c r="J29" i="7"/>
  <c r="K28" i="7"/>
  <c r="J28" i="7"/>
  <c r="K27" i="7"/>
  <c r="J27" i="7"/>
  <c r="K26" i="7"/>
  <c r="J26" i="7"/>
  <c r="T25" i="7"/>
  <c r="T26" i="7" s="1"/>
  <c r="S25" i="7"/>
  <c r="S26" i="7" s="1"/>
  <c r="R25" i="7"/>
  <c r="R26" i="7" s="1"/>
  <c r="K25" i="7"/>
  <c r="J25" i="7"/>
  <c r="J24" i="7"/>
  <c r="K23" i="7"/>
  <c r="J23" i="7"/>
  <c r="AR22" i="7"/>
  <c r="AQ22" i="7"/>
  <c r="AP22" i="7"/>
  <c r="AF25" i="7" s="1"/>
  <c r="AG22" i="7"/>
  <c r="AH25" i="7" s="1"/>
  <c r="AF22" i="7"/>
  <c r="AE22" i="7"/>
  <c r="AE25" i="7" s="1"/>
  <c r="K22" i="7"/>
  <c r="J22" i="7"/>
  <c r="J21" i="7"/>
  <c r="K20" i="7"/>
  <c r="J20" i="7"/>
  <c r="T19" i="7"/>
  <c r="S19" i="7"/>
  <c r="K19" i="7"/>
  <c r="J19" i="7"/>
  <c r="K18" i="7"/>
  <c r="J18" i="7"/>
  <c r="K17" i="7"/>
  <c r="J17" i="7"/>
  <c r="K16" i="7"/>
  <c r="J16" i="7"/>
  <c r="U15" i="7"/>
  <c r="J15" i="7"/>
  <c r="U14" i="7"/>
  <c r="K14" i="7"/>
  <c r="J14" i="7"/>
  <c r="U13" i="7"/>
  <c r="K13" i="7"/>
  <c r="J13" i="7"/>
  <c r="U12" i="7"/>
  <c r="K12" i="7"/>
  <c r="J12" i="7"/>
  <c r="U11" i="7"/>
  <c r="J11" i="7"/>
  <c r="U10" i="7"/>
  <c r="K10" i="7"/>
  <c r="J10" i="7"/>
  <c r="U9" i="7"/>
  <c r="K9" i="7"/>
  <c r="J9" i="7"/>
  <c r="U8" i="7"/>
  <c r="K8" i="7"/>
  <c r="J8" i="7"/>
  <c r="U7" i="7"/>
  <c r="K7" i="7"/>
  <c r="J7" i="7"/>
  <c r="U6" i="7"/>
  <c r="J6" i="7"/>
  <c r="U5" i="7"/>
  <c r="J5" i="7"/>
  <c r="J30" i="7" s="1"/>
  <c r="M94" i="2"/>
  <c r="L94" i="2"/>
  <c r="I94" i="2"/>
  <c r="H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P22" i="2"/>
  <c r="AF25" i="2" s="1"/>
  <c r="AG22" i="2"/>
  <c r="AH25" i="2" s="1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H30" i="1"/>
  <c r="H31" i="1" s="1"/>
  <c r="K29" i="1"/>
  <c r="J29" i="1"/>
  <c r="J28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J16" i="1"/>
  <c r="U15" i="1"/>
  <c r="J15" i="1"/>
  <c r="U14" i="1"/>
  <c r="K14" i="1"/>
  <c r="J14" i="1"/>
  <c r="U13" i="1"/>
  <c r="K13" i="1"/>
  <c r="J13" i="1"/>
  <c r="U12" i="1"/>
  <c r="K12" i="1"/>
  <c r="J12" i="1"/>
  <c r="U11" i="1"/>
  <c r="J11" i="1"/>
  <c r="U10" i="1"/>
  <c r="J10" i="1"/>
  <c r="U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T19" i="3"/>
  <c r="S19" i="3"/>
  <c r="K19" i="3"/>
  <c r="J19" i="3"/>
  <c r="J18" i="3"/>
  <c r="K17" i="3"/>
  <c r="J17" i="3"/>
  <c r="K16" i="3"/>
  <c r="J16" i="3"/>
  <c r="U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I31" i="4"/>
  <c r="M30" i="4"/>
  <c r="M31" i="4" s="1"/>
  <c r="L30" i="4"/>
  <c r="L31" i="4" s="1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J21" i="4"/>
  <c r="K20" i="4"/>
  <c r="J20" i="4"/>
  <c r="T19" i="4"/>
  <c r="S19" i="4"/>
  <c r="K19" i="4"/>
  <c r="J19" i="4"/>
  <c r="K18" i="4"/>
  <c r="J18" i="4"/>
  <c r="J17" i="4"/>
  <c r="J16" i="4"/>
  <c r="U15" i="4"/>
  <c r="K15" i="4"/>
  <c r="J15" i="4"/>
  <c r="U14" i="4"/>
  <c r="K14" i="4"/>
  <c r="J14" i="4"/>
  <c r="U13" i="4"/>
  <c r="J13" i="4"/>
  <c r="U12" i="4"/>
  <c r="J12" i="4"/>
  <c r="U11" i="4"/>
  <c r="K11" i="4"/>
  <c r="J11" i="4"/>
  <c r="U10" i="4"/>
  <c r="K10" i="4"/>
  <c r="J10" i="4"/>
  <c r="U9" i="4"/>
  <c r="K9" i="4"/>
  <c r="J9" i="4"/>
  <c r="U8" i="4"/>
  <c r="J8" i="4"/>
  <c r="U7" i="4"/>
  <c r="K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J18" i="5"/>
  <c r="K17" i="5"/>
  <c r="J17" i="5"/>
  <c r="K16" i="5"/>
  <c r="J16" i="5"/>
  <c r="U15" i="5"/>
  <c r="J15" i="5"/>
  <c r="U14" i="5"/>
  <c r="J14" i="5"/>
  <c r="U13" i="5"/>
  <c r="J13" i="5"/>
  <c r="U12" i="5"/>
  <c r="K12" i="5"/>
  <c r="J12" i="5"/>
  <c r="U11" i="5"/>
  <c r="K11" i="5"/>
  <c r="J11" i="5"/>
  <c r="U10" i="5"/>
  <c r="J10" i="5"/>
  <c r="U9" i="5"/>
  <c r="K9" i="5"/>
  <c r="J9" i="5"/>
  <c r="U8" i="5"/>
  <c r="J8" i="5"/>
  <c r="U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J17" i="6"/>
  <c r="K16" i="6"/>
  <c r="J16" i="6"/>
  <c r="U15" i="6"/>
  <c r="J15" i="6"/>
  <c r="U14" i="6"/>
  <c r="K14" i="6"/>
  <c r="J14" i="6"/>
  <c r="U13" i="6"/>
  <c r="J13" i="6"/>
  <c r="U12" i="6"/>
  <c r="K12" i="6"/>
  <c r="J12" i="6"/>
  <c r="U11" i="6"/>
  <c r="J11" i="6"/>
  <c r="U10" i="6"/>
  <c r="K10" i="6"/>
  <c r="J10" i="6"/>
  <c r="U9" i="6"/>
  <c r="J9" i="6"/>
  <c r="U8" i="6"/>
  <c r="K8" i="6"/>
  <c r="J8" i="6"/>
  <c r="U7" i="6"/>
  <c r="K7" i="6"/>
  <c r="J7" i="6"/>
  <c r="U6" i="6"/>
  <c r="J6" i="6"/>
  <c r="U5" i="6"/>
  <c r="K5" i="6"/>
  <c r="J5" i="6"/>
  <c r="U16" i="7" l="1"/>
  <c r="AG25" i="7"/>
  <c r="AI25" i="7" s="1"/>
  <c r="J94" i="7"/>
  <c r="J62" i="7"/>
  <c r="J31" i="7" s="1"/>
  <c r="K94" i="7"/>
  <c r="K30" i="7"/>
  <c r="K31" i="7" s="1"/>
  <c r="H31" i="7"/>
  <c r="S31" i="7" s="1"/>
  <c r="H2" i="8" s="1"/>
  <c r="K62" i="7"/>
  <c r="J62" i="2"/>
  <c r="K94" i="2"/>
  <c r="L31" i="2"/>
  <c r="K62" i="2"/>
  <c r="AG25" i="2"/>
  <c r="J94" i="2"/>
  <c r="K30" i="2"/>
  <c r="J30" i="2"/>
  <c r="U16" i="2"/>
  <c r="R16" i="2" s="1"/>
  <c r="I31" i="1"/>
  <c r="S32" i="1" s="1"/>
  <c r="H28" i="8" s="1"/>
  <c r="K62" i="1"/>
  <c r="J62" i="1"/>
  <c r="K30" i="1"/>
  <c r="J30" i="1"/>
  <c r="U16" i="1"/>
  <c r="S16" i="1" s="1"/>
  <c r="S32" i="3"/>
  <c r="H23" i="8" s="1"/>
  <c r="K30" i="3"/>
  <c r="K31" i="3" s="1"/>
  <c r="J30" i="3"/>
  <c r="J31" i="3" s="1"/>
  <c r="U16" i="3"/>
  <c r="S16" i="3" s="1"/>
  <c r="S32" i="4"/>
  <c r="H18" i="8" s="1"/>
  <c r="K30" i="4"/>
  <c r="K31" i="4" s="1"/>
  <c r="U16" i="4"/>
  <c r="S16" i="4" s="1"/>
  <c r="J30" i="4"/>
  <c r="J31" i="4" s="1"/>
  <c r="S32" i="5"/>
  <c r="H13" i="8" s="1"/>
  <c r="K30" i="5"/>
  <c r="K31" i="5" s="1"/>
  <c r="J30" i="5"/>
  <c r="J31" i="5" s="1"/>
  <c r="U16" i="5"/>
  <c r="R16" i="5" s="1"/>
  <c r="S32" i="6"/>
  <c r="H8" i="8" s="1"/>
  <c r="U16" i="6"/>
  <c r="S16" i="6" s="1"/>
  <c r="K30" i="6"/>
  <c r="K31" i="6" s="1"/>
  <c r="J30" i="6"/>
  <c r="J31" i="6" s="1"/>
  <c r="AD25" i="7"/>
  <c r="S16" i="7"/>
  <c r="R16" i="7"/>
  <c r="Z32" i="7"/>
  <c r="Z33" i="7" s="1"/>
  <c r="AD25" i="2"/>
  <c r="AI25" i="2"/>
  <c r="S16" i="2"/>
  <c r="Z32" i="2"/>
  <c r="Z33" i="2" s="1"/>
  <c r="S31" i="2"/>
  <c r="H32" i="8" s="1"/>
  <c r="T31" i="2"/>
  <c r="AD25" i="1"/>
  <c r="AI25" i="1"/>
  <c r="S31" i="1"/>
  <c r="H27" i="8" s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3" i="8"/>
  <c r="E34" i="8"/>
  <c r="E33" i="8"/>
  <c r="E32" i="8"/>
  <c r="E24" i="8"/>
  <c r="E23" i="8"/>
  <c r="E22" i="8"/>
  <c r="E9" i="8"/>
  <c r="E8" i="8"/>
  <c r="E7" i="8"/>
  <c r="T31" i="7" l="1"/>
  <c r="C32" i="7"/>
  <c r="U25" i="7" s="1"/>
  <c r="J31" i="2"/>
  <c r="H35" i="8" s="1"/>
  <c r="V32" i="8" s="1"/>
  <c r="K31" i="2"/>
  <c r="H34" i="8" s="1"/>
  <c r="E36" i="8"/>
  <c r="T31" i="1"/>
  <c r="Z32" i="1"/>
  <c r="Z33" i="1" s="1"/>
  <c r="K31" i="1"/>
  <c r="J31" i="1"/>
  <c r="R16" i="1"/>
  <c r="E31" i="8"/>
  <c r="C32" i="3"/>
  <c r="O32" i="3" s="1"/>
  <c r="E26" i="8"/>
  <c r="R16" i="3"/>
  <c r="R16" i="4"/>
  <c r="C32" i="4"/>
  <c r="K32" i="4" s="1"/>
  <c r="S16" i="5"/>
  <c r="C32" i="5"/>
  <c r="O32" i="5" s="1"/>
  <c r="E11" i="8"/>
  <c r="R16" i="6"/>
  <c r="K32" i="7"/>
  <c r="T16" i="7"/>
  <c r="O32" i="7"/>
  <c r="N32" i="7"/>
  <c r="P32" i="7"/>
  <c r="C32" i="6"/>
  <c r="P32" i="6" s="1"/>
  <c r="Z45" i="8"/>
  <c r="E21" i="8"/>
  <c r="E16" i="8"/>
  <c r="H15" i="8"/>
  <c r="V12" i="8" s="1"/>
  <c r="E6" i="8"/>
  <c r="Q7" i="8"/>
  <c r="Q32" i="8"/>
  <c r="Q22" i="8"/>
  <c r="Q17" i="8"/>
  <c r="Q12" i="8"/>
  <c r="H10" i="8"/>
  <c r="V7" i="8" s="1"/>
  <c r="Q32" i="7" l="1"/>
  <c r="C32" i="2"/>
  <c r="K32" i="2" s="1"/>
  <c r="C32" i="1"/>
  <c r="O32" i="1" s="1"/>
  <c r="N32" i="3"/>
  <c r="L22" i="8" s="1"/>
  <c r="T16" i="3"/>
  <c r="Q32" i="3"/>
  <c r="L25" i="8" s="1"/>
  <c r="U25" i="3"/>
  <c r="P32" i="3"/>
  <c r="L24" i="8" s="1"/>
  <c r="K32" i="3"/>
  <c r="U25" i="4"/>
  <c r="O32" i="4"/>
  <c r="P32" i="4"/>
  <c r="Q32" i="4"/>
  <c r="T16" i="4"/>
  <c r="N32" i="4"/>
  <c r="K32" i="5"/>
  <c r="U25" i="5"/>
  <c r="Q32" i="5"/>
  <c r="P32" i="5"/>
  <c r="N32" i="5"/>
  <c r="T16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O41" i="8"/>
  <c r="T41" i="8"/>
  <c r="L23" i="8"/>
  <c r="H25" i="8"/>
  <c r="H24" i="8"/>
  <c r="H14" i="8"/>
  <c r="H9" i="8"/>
  <c r="L9" i="8"/>
  <c r="E30" i="8"/>
  <c r="E29" i="8"/>
  <c r="E28" i="8"/>
  <c r="E27" i="8"/>
  <c r="T16" i="2" l="1"/>
  <c r="U25" i="2"/>
  <c r="N32" i="2"/>
  <c r="L32" i="8" s="1"/>
  <c r="O32" i="2"/>
  <c r="L33" i="8" s="1"/>
  <c r="Q32" i="2"/>
  <c r="L35" i="8" s="1"/>
  <c r="P32" i="2"/>
  <c r="L34" i="8" s="1"/>
  <c r="U25" i="1"/>
  <c r="Q32" i="1"/>
  <c r="P32" i="1"/>
  <c r="K32" i="1"/>
  <c r="N32" i="1"/>
  <c r="T16" i="1"/>
  <c r="U49" i="8"/>
  <c r="L18" i="8"/>
  <c r="L15" i="8"/>
  <c r="L14" i="8"/>
  <c r="L12" i="8"/>
  <c r="L13" i="8"/>
  <c r="Q27" i="8"/>
  <c r="H29" i="8"/>
  <c r="L19" i="8" l="1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<sst xmlns="http://schemas.openxmlformats.org/spreadsheetml/2006/main" count="1850" uniqueCount="458">
  <si>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</si>
  <si>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</si>
  <si>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</si>
  <si>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</si>
  <si>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</si>
  <si>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</si>
  <si>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</si>
  <si>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</si>
  <si>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</si>
  <si>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</si>
  <si>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</si>
  <si>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</si>
  <si>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</si>
  <si>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</si>
  <si>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</si>
  <si>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</si>
  <si>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</si>
  <si>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</si>
  <si>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</si>
  <si>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</si>
  <si>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</si>
  <si>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</si>
  <si>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</si>
  <si>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</si>
  <si>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</si>
  <si>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</si>
  <si>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</si>
  <si>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</si>
  <si>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</si>
  <si>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</si>
  <si>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</si>
  <si>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</si>
  <si>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</si>
  <si>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</si>
  <si>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</si>
  <si>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</si>
  <si>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</si>
  <si>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</si>
  <si>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</si>
  <si>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</si>
  <si>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</si>
  <si>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</si>
  <si>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</si>
  <si>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</si>
  <si>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</si>
  <si>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</si>
  <si>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</si>
  <si>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</si>
  <si>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</si>
  <si>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</si>
  <si>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</si>
  <si>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</si>
  <si>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</si>
  <si>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</si>
  <si>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</si>
  <si>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</si>
  <si>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</si>
  <si>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</si>
  <si>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</si>
  <si>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</si>
  <si>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</si>
  <si>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</si>
  <si>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</si>
  <si>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</si>
  <si>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</si>
  <si>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</si>
  <si>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</si>
  <si>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</si>
  <si>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</si>
  <si>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</si>
  <si>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</si>
  <si>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</si>
  <si>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</si>
  <si>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</si>
  <si>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</si>
  <si>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</si>
  <si>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</si>
  <si>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</si>
  <si>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</si>
  <si>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</si>
  <si>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</si>
  <si>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</si>
  <si>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</si>
  <si>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</si>
  <si>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</si>
  <si>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</si>
  <si>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</si>
  <si>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</si>
  <si>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</si>
  <si>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</si>
  <si>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</si>
  <si>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</si>
  <si>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</si>
  <si>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</si>
  <si>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</si>
  <si>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</si>
  <si>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</si>
  <si>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SUNNY</t>
  </si>
  <si>
    <t>HENDRA</t>
  </si>
  <si>
    <t>KEN838</t>
  </si>
  <si>
    <t>0412038383</t>
  </si>
  <si>
    <t>M</t>
  </si>
  <si>
    <t>PCL</t>
  </si>
  <si>
    <t>22012 (6/6)</t>
  </si>
  <si>
    <t>ENA66S</t>
  </si>
  <si>
    <t>0416951959</t>
  </si>
  <si>
    <t>F</t>
  </si>
  <si>
    <t>23225 (1/6)</t>
  </si>
  <si>
    <t>SHIVAM</t>
  </si>
  <si>
    <t>EEY61G</t>
  </si>
  <si>
    <t>0401995714</t>
  </si>
  <si>
    <t>X</t>
  </si>
  <si>
    <t>JAMES</t>
  </si>
  <si>
    <t>CN800</t>
  </si>
  <si>
    <t>0418882000</t>
  </si>
  <si>
    <t>D</t>
  </si>
  <si>
    <t>ARIANTO</t>
  </si>
  <si>
    <t>JH2211</t>
  </si>
  <si>
    <t>0412771876</t>
  </si>
  <si>
    <t>VINNY</t>
  </si>
  <si>
    <t>CE32DD</t>
  </si>
  <si>
    <t>0416155783</t>
  </si>
  <si>
    <t>EVU18U</t>
  </si>
  <si>
    <t>0499080777</t>
  </si>
  <si>
    <t>GV</t>
  </si>
  <si>
    <t>XD-50-176 TO 181</t>
  </si>
  <si>
    <t>EXD61Y</t>
  </si>
  <si>
    <t>0407213067</t>
  </si>
  <si>
    <t>+</t>
  </si>
  <si>
    <t>DTY90V</t>
  </si>
  <si>
    <t>0439592230</t>
  </si>
  <si>
    <t>H</t>
  </si>
  <si>
    <t>NXQ74D</t>
  </si>
  <si>
    <t>0408518552</t>
  </si>
  <si>
    <t>ERF78A</t>
  </si>
  <si>
    <t>0432015255</t>
  </si>
  <si>
    <t>22044 (4/6) H</t>
  </si>
  <si>
    <t>EUP53B</t>
  </si>
  <si>
    <t>0410043981</t>
  </si>
  <si>
    <t>EKR80D</t>
  </si>
  <si>
    <t>0414337002</t>
  </si>
  <si>
    <t>W/O</t>
  </si>
  <si>
    <t>EBT61V</t>
  </si>
  <si>
    <t>0416281895</t>
  </si>
  <si>
    <t>VW278</t>
  </si>
  <si>
    <t>0417674600</t>
  </si>
  <si>
    <t>$5 OFF</t>
  </si>
  <si>
    <t>C1092M</t>
  </si>
  <si>
    <t>0423229668</t>
  </si>
  <si>
    <t>DUST</t>
  </si>
  <si>
    <t>JKD988</t>
  </si>
  <si>
    <t>0412822216</t>
  </si>
  <si>
    <t>22186(2/6)</t>
  </si>
  <si>
    <t>DLY25Y</t>
  </si>
  <si>
    <t>0421050164</t>
  </si>
  <si>
    <t>CV57AO</t>
  </si>
  <si>
    <t>0435117046</t>
  </si>
  <si>
    <t>DYZ80J</t>
  </si>
  <si>
    <t>0481215048</t>
  </si>
  <si>
    <t>PCS</t>
  </si>
  <si>
    <t>22056(1/6)</t>
  </si>
  <si>
    <t>DWR91W</t>
  </si>
  <si>
    <t>0411724816</t>
  </si>
  <si>
    <t>BZL35W</t>
  </si>
  <si>
    <t>0466576221</t>
  </si>
  <si>
    <t>DAJ33N</t>
  </si>
  <si>
    <t>0450070773</t>
  </si>
  <si>
    <t>22194(2/6)</t>
  </si>
  <si>
    <t>NCB66C</t>
  </si>
  <si>
    <t>0419696360</t>
  </si>
  <si>
    <t>BXC81W</t>
  </si>
  <si>
    <t>0407015117</t>
  </si>
  <si>
    <t>LP127</t>
  </si>
  <si>
    <t>0408417669</t>
  </si>
  <si>
    <t>22090(1/6)</t>
  </si>
  <si>
    <t>EEU68B</t>
  </si>
  <si>
    <t>0422673942</t>
  </si>
  <si>
    <t>KLF723</t>
  </si>
  <si>
    <t>0425777003</t>
  </si>
  <si>
    <t>22006(4/6)</t>
  </si>
  <si>
    <t>DQJ24H</t>
  </si>
  <si>
    <t>0404076130</t>
  </si>
  <si>
    <t>D/CLAY</t>
  </si>
  <si>
    <t>RC8866</t>
  </si>
  <si>
    <t>0409709697</t>
  </si>
  <si>
    <t>22097(2/6)</t>
  </si>
  <si>
    <t>27KWH</t>
  </si>
  <si>
    <t>0433612258</t>
  </si>
  <si>
    <t>BOOKING ONLINE</t>
  </si>
  <si>
    <t>CNI28W</t>
  </si>
  <si>
    <t>0425661609</t>
  </si>
  <si>
    <t>22118(2/6) H</t>
  </si>
  <si>
    <t>EUH08U</t>
  </si>
  <si>
    <t>0414158733</t>
  </si>
  <si>
    <t>0430206670</t>
  </si>
  <si>
    <t>MONA</t>
  </si>
  <si>
    <t>0413996557</t>
  </si>
  <si>
    <t>DGA98Z</t>
  </si>
  <si>
    <t>XD-50-182-187 (D)</t>
  </si>
  <si>
    <t>DDC10C</t>
  </si>
  <si>
    <t>0438775937</t>
  </si>
  <si>
    <t>EHI64P</t>
  </si>
  <si>
    <t>0431431944</t>
  </si>
  <si>
    <t>ATET</t>
  </si>
  <si>
    <t>KUROSH</t>
  </si>
  <si>
    <t xml:space="preserve"> EPW65B</t>
  </si>
  <si>
    <t>0432565750</t>
  </si>
  <si>
    <t>22070(4-5/6)</t>
  </si>
  <si>
    <t>EGQ53M</t>
  </si>
  <si>
    <t>0433818333</t>
  </si>
  <si>
    <t>BXA63C</t>
  </si>
  <si>
    <t>0450656856</t>
  </si>
  <si>
    <t>KING9</t>
  </si>
  <si>
    <t>0488891999</t>
  </si>
  <si>
    <t>22101(6/6) X, 23226(NEW) X</t>
  </si>
  <si>
    <t>CAF83J</t>
  </si>
  <si>
    <t>0410688507</t>
  </si>
  <si>
    <t>CRR97J</t>
  </si>
  <si>
    <t>0410857808</t>
  </si>
  <si>
    <t>XD50-341-347 (TAX)</t>
  </si>
  <si>
    <t>LAW885</t>
  </si>
  <si>
    <t>0423237896</t>
  </si>
  <si>
    <t>S/D</t>
  </si>
  <si>
    <t>EWU34D</t>
  </si>
  <si>
    <t>0478966933</t>
  </si>
  <si>
    <t>F/D</t>
  </si>
  <si>
    <t>TAX</t>
  </si>
  <si>
    <t>CJL828</t>
  </si>
  <si>
    <t>0400127856</t>
  </si>
  <si>
    <t>22103(3/6)</t>
  </si>
  <si>
    <t>DCB24N</t>
  </si>
  <si>
    <t>0416026587</t>
  </si>
  <si>
    <t>W/O (GV)</t>
  </si>
  <si>
    <t>XD50-137</t>
  </si>
  <si>
    <t>NCA15F</t>
  </si>
  <si>
    <t>0411139378</t>
  </si>
  <si>
    <t>22126(1/6)</t>
  </si>
  <si>
    <t>PAA333</t>
  </si>
  <si>
    <t>0414337333</t>
  </si>
  <si>
    <t>ERT75C</t>
  </si>
  <si>
    <t>0411642270</t>
  </si>
  <si>
    <t>0402505402</t>
  </si>
  <si>
    <t>EKC89S</t>
  </si>
  <si>
    <t>0438354090</t>
  </si>
  <si>
    <t>ANZ53F</t>
  </si>
  <si>
    <t>0419482011</t>
  </si>
  <si>
    <t>NCZ87M</t>
  </si>
  <si>
    <t>EKW89F</t>
  </si>
  <si>
    <t>0434622861</t>
  </si>
  <si>
    <t>XD50-348-354</t>
  </si>
  <si>
    <t>SBO212</t>
  </si>
  <si>
    <t>0401704628</t>
  </si>
  <si>
    <t>EPO91D</t>
  </si>
  <si>
    <t>0419460470</t>
  </si>
  <si>
    <t>22051(6/6)</t>
  </si>
  <si>
    <t>14164 "NO WASH"</t>
  </si>
  <si>
    <t>0422661161</t>
  </si>
  <si>
    <t>EBQ17K</t>
  </si>
  <si>
    <t>MODI</t>
  </si>
  <si>
    <t>TONY ENKHBAT</t>
  </si>
  <si>
    <t>ANDREW OCTEC</t>
  </si>
  <si>
    <t>BE11EW</t>
  </si>
  <si>
    <t>0410626003</t>
  </si>
  <si>
    <t>22080(2/6)</t>
  </si>
  <si>
    <t>GBI</t>
  </si>
  <si>
    <t>0415888891</t>
  </si>
  <si>
    <t>GEORGE CAR</t>
  </si>
  <si>
    <t>CRQ96X</t>
  </si>
  <si>
    <t>0408062082</t>
  </si>
  <si>
    <t>EOK70F</t>
  </si>
  <si>
    <t>0419236787</t>
  </si>
  <si>
    <t>EMJ32S</t>
  </si>
  <si>
    <t>0478844282</t>
  </si>
  <si>
    <t>0433216826</t>
  </si>
  <si>
    <t>NCA82M</t>
  </si>
  <si>
    <t>0439988228</t>
  </si>
  <si>
    <t>22079(6/6),23227(NEW)</t>
  </si>
  <si>
    <t>TT3388</t>
  </si>
  <si>
    <t>0418679112</t>
  </si>
  <si>
    <t>22059(4/6)</t>
  </si>
  <si>
    <t>BFY92W</t>
  </si>
  <si>
    <t>0411464642</t>
  </si>
  <si>
    <t>DZS82K</t>
  </si>
  <si>
    <t>0411277388</t>
  </si>
  <si>
    <t>SL6666</t>
  </si>
  <si>
    <t>0415190683</t>
  </si>
  <si>
    <t>22099(2/6)</t>
  </si>
  <si>
    <t>EPE21C</t>
  </si>
  <si>
    <t>ECV02N</t>
  </si>
  <si>
    <t>0439645062</t>
  </si>
  <si>
    <t>DTN05N</t>
  </si>
  <si>
    <t>0404889042</t>
  </si>
  <si>
    <t>CSQ63P</t>
  </si>
  <si>
    <t>0415915465</t>
  </si>
  <si>
    <t>NRM058</t>
  </si>
  <si>
    <t>0448441099</t>
  </si>
  <si>
    <t>XD50-368-374</t>
  </si>
  <si>
    <t>14198 : XD50-368 USE</t>
  </si>
  <si>
    <t>CDP596</t>
  </si>
  <si>
    <t>0408228252</t>
  </si>
  <si>
    <t>B2809-810 $10 OFF</t>
  </si>
  <si>
    <t>88 LIAM</t>
  </si>
  <si>
    <t>0401795858</t>
  </si>
  <si>
    <t>XD50-355 -361</t>
  </si>
  <si>
    <t>CRV58P</t>
  </si>
  <si>
    <t>0402018402</t>
  </si>
  <si>
    <t>XD50-375-380</t>
  </si>
  <si>
    <t>BKO36F</t>
  </si>
  <si>
    <t>0411757862</t>
  </si>
  <si>
    <t>AY63UN</t>
  </si>
  <si>
    <t>0431366591</t>
  </si>
  <si>
    <t>KADAM</t>
  </si>
  <si>
    <t>EUH92M</t>
  </si>
  <si>
    <t>0413723556</t>
  </si>
  <si>
    <t>YGH59W</t>
  </si>
  <si>
    <t>0409714867</t>
  </si>
  <si>
    <t>DYM17V</t>
  </si>
  <si>
    <t>0409246512</t>
  </si>
  <si>
    <t>COM84M</t>
  </si>
  <si>
    <t>0405232880</t>
  </si>
  <si>
    <t>22022(5/6), 23228(NEW)</t>
  </si>
  <si>
    <t>EHV664</t>
  </si>
  <si>
    <t>0425774597</t>
  </si>
  <si>
    <t>ENI61G</t>
  </si>
  <si>
    <t>0451513051</t>
  </si>
  <si>
    <t>BZB84A</t>
  </si>
  <si>
    <t>0408969223</t>
  </si>
  <si>
    <t>NBU59C</t>
  </si>
  <si>
    <t>BVS27Y</t>
  </si>
  <si>
    <t>0434979126</t>
  </si>
  <si>
    <t>DBF89P</t>
  </si>
  <si>
    <t>0419694780</t>
  </si>
  <si>
    <t>BGS53V</t>
  </si>
  <si>
    <t>????</t>
  </si>
  <si>
    <t>XD50-381-387</t>
  </si>
  <si>
    <t>EOT07F</t>
  </si>
  <si>
    <t>0425337813</t>
  </si>
  <si>
    <t>DDH59A</t>
  </si>
  <si>
    <t>0403878036</t>
  </si>
  <si>
    <t>WSC44P</t>
  </si>
  <si>
    <t>0414130777</t>
  </si>
  <si>
    <t>22063(2/6)</t>
  </si>
  <si>
    <t>EIF04E</t>
  </si>
  <si>
    <t>0406751366</t>
  </si>
  <si>
    <t>DVF41S</t>
  </si>
  <si>
    <t>0410742080</t>
  </si>
  <si>
    <t>RSL</t>
  </si>
  <si>
    <t>CRSL20-011/016/039 (X)</t>
  </si>
  <si>
    <t>KBS888</t>
  </si>
  <si>
    <t>0431448778</t>
  </si>
  <si>
    <t>EMB75G</t>
  </si>
  <si>
    <t>0425973686</t>
  </si>
  <si>
    <t>CDF80J</t>
  </si>
  <si>
    <t>0413809541</t>
  </si>
  <si>
    <t>CDD12P</t>
  </si>
  <si>
    <t>0416934406</t>
  </si>
  <si>
    <t>BEK07W</t>
  </si>
  <si>
    <t>0431384282</t>
  </si>
  <si>
    <t>EEI13E</t>
  </si>
  <si>
    <t>0466577917</t>
  </si>
  <si>
    <t>23210(2/6)</t>
  </si>
  <si>
    <t>EPZ98K</t>
  </si>
  <si>
    <t>0402231090</t>
  </si>
  <si>
    <t>YDE96A</t>
  </si>
  <si>
    <t>0433626429</t>
  </si>
  <si>
    <t>21056(3/6)</t>
  </si>
  <si>
    <t>DGC99E</t>
  </si>
  <si>
    <t>0406318751</t>
  </si>
  <si>
    <t>22129(3/6)</t>
  </si>
  <si>
    <t>CSC59Y</t>
  </si>
  <si>
    <t>0401246909</t>
  </si>
  <si>
    <t>CTT06M</t>
  </si>
  <si>
    <t>0408804880</t>
  </si>
  <si>
    <t>EMI62K</t>
  </si>
  <si>
    <t>0414031401</t>
  </si>
  <si>
    <t>22081(3/6) H</t>
  </si>
  <si>
    <t>LGM111</t>
  </si>
  <si>
    <t>0418691153</t>
  </si>
  <si>
    <t>EDT612</t>
  </si>
  <si>
    <t>0417117189</t>
  </si>
  <si>
    <t>XD50-388-394</t>
  </si>
  <si>
    <t>EIW06T</t>
  </si>
  <si>
    <t>0422641747</t>
  </si>
  <si>
    <t>XD50-395-401</t>
  </si>
  <si>
    <t>BSK111</t>
  </si>
  <si>
    <t>0403317903</t>
  </si>
  <si>
    <t>NCE76E</t>
  </si>
  <si>
    <t>0451660650</t>
  </si>
  <si>
    <t>ECO07V</t>
  </si>
  <si>
    <t>0401717702</t>
  </si>
  <si>
    <t>BZZ80D</t>
  </si>
  <si>
    <t>0414443866</t>
  </si>
  <si>
    <t>EWD81Y</t>
  </si>
  <si>
    <t>0415122989</t>
  </si>
  <si>
    <t>CST77V</t>
  </si>
  <si>
    <t>0419168688</t>
  </si>
  <si>
    <t>DMJ87F</t>
  </si>
  <si>
    <t>0425373112</t>
  </si>
  <si>
    <t>CYO20F</t>
  </si>
  <si>
    <t>0468848267</t>
  </si>
  <si>
    <t>22098(1/6)</t>
  </si>
  <si>
    <t>22152(1/6)</t>
  </si>
  <si>
    <t>CEC69E</t>
  </si>
  <si>
    <t>0434166888</t>
  </si>
  <si>
    <t>CD42MJ</t>
  </si>
  <si>
    <t>0402431006</t>
  </si>
  <si>
    <t>EHU87A</t>
  </si>
  <si>
    <t>0420694860</t>
  </si>
  <si>
    <t>22062(4/6) H</t>
  </si>
  <si>
    <t>EKH52N</t>
  </si>
  <si>
    <t>0420866899</t>
  </si>
  <si>
    <t>22032(4/6) X, 23229(NEW)</t>
  </si>
  <si>
    <t>DXT92E</t>
  </si>
  <si>
    <t>0479137054</t>
  </si>
  <si>
    <t>DBM56H</t>
  </si>
  <si>
    <t>0404295312</t>
  </si>
  <si>
    <t>EAQ24Y</t>
  </si>
  <si>
    <t>0421937001</t>
  </si>
  <si>
    <t>MOSAUS</t>
  </si>
  <si>
    <t>0401758007</t>
  </si>
  <si>
    <t>POJ000</t>
  </si>
  <si>
    <t>0416244569</t>
  </si>
  <si>
    <t>22194(4/6)H</t>
  </si>
  <si>
    <t>CLOUDY</t>
  </si>
  <si>
    <t>EJS26H</t>
  </si>
  <si>
    <t>0434321020</t>
  </si>
  <si>
    <t>CS700</t>
  </si>
  <si>
    <t>0438997201</t>
  </si>
  <si>
    <t>CNQ93A</t>
  </si>
  <si>
    <t>0478160880</t>
  </si>
  <si>
    <t>23230(NEW) H</t>
  </si>
  <si>
    <t>DSA73E</t>
  </si>
  <si>
    <t>0408968692</t>
  </si>
  <si>
    <t>DTC67F</t>
  </si>
  <si>
    <t>0403112344</t>
  </si>
  <si>
    <t>ESF85U</t>
  </si>
  <si>
    <t>0434437231</t>
  </si>
  <si>
    <t>NCB18X</t>
  </si>
  <si>
    <t>0488357369</t>
  </si>
  <si>
    <t>AIX070</t>
  </si>
  <si>
    <t>0413779278</t>
  </si>
  <si>
    <t>22064(2-3/6) H</t>
  </si>
  <si>
    <t>DZX36B</t>
  </si>
  <si>
    <t>0478030894</t>
  </si>
  <si>
    <t>DNW70T</t>
  </si>
  <si>
    <t>0449118109</t>
  </si>
  <si>
    <t>DQR27A</t>
  </si>
  <si>
    <t>0419487797</t>
  </si>
  <si>
    <t>ERX40P</t>
  </si>
  <si>
    <t>0405232683</t>
  </si>
  <si>
    <t>EEN30S</t>
  </si>
  <si>
    <t>0448544338</t>
  </si>
  <si>
    <t>NBY11Q</t>
  </si>
  <si>
    <t>0407197325</t>
  </si>
  <si>
    <t>NDW015</t>
  </si>
  <si>
    <t>0417650365</t>
  </si>
  <si>
    <t>XD50-362-367</t>
  </si>
  <si>
    <t>XD50-188-191/337-340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</si>
</sst>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4" formatCode="\$#,##0_);[Red]\(\$#,##0\)"/>
    <numFmt numFmtId="26" formatCode="\$#,##0.00_);[Red]\(\$#,##0.00\)"/>
    <numFmt numFmtId="176" formatCode="_-&quot;₩&quot;* #,##0_-;\-&quot;₩&quot;* #,##0_-;_-&quot;₩&quot;* &quot;-&quot;_-;_-@_-"/>
    <numFmt numFmtId="177" formatCode="\$#,##0.00"/>
    <numFmt numFmtId="178" formatCode="h:mm;@"/>
    <numFmt numFmtId="179" formatCode="0.00_);[Red]\(0.00\)"/>
    <numFmt numFmtId="180" formatCode="0_);[Red]\(0\)"/>
    <numFmt numFmtId="181" formatCode="0.00_ "/>
    <numFmt numFmtId="182" formatCode="#,##0.0;[Red]#,##0.0"/>
    <numFmt numFmtId="183" formatCode="[$$-C09]#,##0.00"/>
    <numFmt numFmtId="184" formatCode="_-\$* #,##0.00_ ;_-\$* \-#,##0.00\ ;_-\$* &quot;-&quot;??_ ;_-@_ 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9C57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9" fillId="3" borderId="33" applyNumberFormat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/>
  </cellStyleXfs>
  <cellXfs count="770">
    <xf numFmtId="0" fontId="0" fillId="0" borderId="0" xfId="0"/>
    <xf numFmtId="0" fontId="0" fillId="0" borderId="10" xfId="0" applyBorder="1"/>
    <xf numFmtId="178" fontId="0" fillId="0" borderId="3" xfId="0" applyNumberFormat="1" applyBorder="1"/>
    <xf numFmtId="178" fontId="0" fillId="0" borderId="5" xfId="0" applyNumberFormat="1" applyBorder="1"/>
    <xf numFmtId="179" fontId="0" fillId="0" borderId="16" xfId="0" applyNumberFormat="1" applyBorder="1"/>
    <xf numFmtId="0" fontId="0" fillId="0" borderId="9" xfId="0" applyBorder="1"/>
    <xf numFmtId="178" fontId="0" fillId="0" borderId="1" xfId="0" applyNumberFormat="1" applyBorder="1"/>
    <xf numFmtId="178" fontId="0" fillId="0" borderId="2" xfId="0" applyNumberFormat="1" applyBorder="1"/>
    <xf numFmtId="179" fontId="0" fillId="0" borderId="15" xfId="0" applyNumberFormat="1" applyBorder="1"/>
    <xf numFmtId="0" fontId="0" fillId="0" borderId="25" xfId="0" applyBorder="1" applyAlignment="1">
      <alignment shrinkToFit="1"/>
    </xf>
    <xf numFmtId="178" fontId="0" fillId="0" borderId="25" xfId="0" applyNumberFormat="1" applyBorder="1" applyAlignment="1">
      <alignment shrinkToFit="1"/>
    </xf>
    <xf numFmtId="179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8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76" fontId="8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8" fontId="0" fillId="2" borderId="4" xfId="0" applyNumberFormat="1" applyFill="1" applyBorder="1" applyAlignment="1">
      <alignment horizontal="center" shrinkToFit="1"/>
    </xf>
    <xf numFmtId="17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3" fontId="0" fillId="0" borderId="0" xfId="0" applyNumberFormat="1" applyAlignment="1">
      <alignment shrinkToFit="1"/>
    </xf>
    <xf numFmtId="17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7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1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3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2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1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8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9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7" fontId="8" fillId="0" borderId="1" xfId="0" applyNumberFormat="1" applyFont="1" applyBorder="1" applyAlignment="1">
      <alignment vertical="center" shrinkToFit="1"/>
    </xf>
    <xf numFmtId="177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9" fontId="6" fillId="6" borderId="12" xfId="0" applyNumberFormat="1" applyFont="1" applyFill="1" applyBorder="1" applyAlignment="1">
      <alignment shrinkToFit="1"/>
    </xf>
    <xf numFmtId="179" fontId="6" fillId="6" borderId="12" xfId="0" applyNumberFormat="1" applyFont="1" applyFill="1" applyBorder="1" applyAlignment="1">
      <alignment horizontal="center" shrinkToFit="1"/>
    </xf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9" fontId="6" fillId="6" borderId="41" xfId="0" applyNumberFormat="1" applyFont="1" applyFill="1" applyBorder="1" applyAlignment="1">
      <alignment horizontal="center" shrinkToFit="1"/>
    </xf>
    <xf numFmtId="179" fontId="17" fillId="2" borderId="1" xfId="3" applyNumberFormat="1" applyFont="1" applyFill="1" applyBorder="1" applyAlignment="1">
      <alignment horizontal="center" shrinkToFit="1"/>
    </xf>
    <xf numFmtId="179" fontId="0" fillId="2" borderId="1" xfId="0" applyNumberFormat="1" applyFill="1" applyBorder="1" applyAlignment="1">
      <alignment horizontal="center" shrinkToFit="1"/>
    </xf>
    <xf numFmtId="179" fontId="15" fillId="0" borderId="4" xfId="0" applyNumberFormat="1" applyFont="1" applyBorder="1" applyAlignment="1">
      <alignment horizontal="center" shrinkToFit="1"/>
    </xf>
    <xf numFmtId="179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80" fontId="15" fillId="6" borderId="50" xfId="0" applyNumberFormat="1" applyFont="1" applyFill="1" applyBorder="1" applyAlignment="1">
      <alignment horizontal="center" vertical="center" shrinkToFit="1"/>
    </xf>
    <xf numFmtId="180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77" fontId="6" fillId="6" borderId="13" xfId="0" applyNumberFormat="1" applyFont="1" applyFill="1" applyBorder="1" applyAlignment="1">
      <alignment horizontal="center" vertical="center" shrinkToFit="1"/>
    </xf>
    <xf numFmtId="177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1" fontId="6" fillId="6" borderId="1" xfId="0" applyNumberFormat="1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81" fontId="6" fillId="6" borderId="14" xfId="0" applyNumberFormat="1" applyFont="1" applyFill="1" applyBorder="1" applyAlignment="1">
      <alignment horizontal="center" shrinkToFit="1"/>
    </xf>
    <xf numFmtId="179" fontId="6" fillId="6" borderId="14" xfId="0" applyNumberFormat="1" applyFont="1" applyFill="1" applyBorder="1" applyAlignment="1">
      <alignment horizontal="center" shrinkToFit="1"/>
    </xf>
    <xf numFmtId="177" fontId="6" fillId="6" borderId="3" xfId="0" applyNumberFormat="1" applyFont="1" applyFill="1" applyBorder="1" applyAlignment="1">
      <alignment horizontal="center" shrinkToFit="1"/>
    </xf>
    <xf numFmtId="181" fontId="6" fillId="6" borderId="3" xfId="0" applyNumberFormat="1" applyFont="1" applyFill="1" applyBorder="1" applyAlignment="1">
      <alignment horizontal="center" shrinkToFit="1"/>
    </xf>
    <xf numFmtId="180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9" fontId="18" fillId="6" borderId="28" xfId="0" applyNumberFormat="1" applyFont="1" applyFill="1" applyBorder="1" applyAlignment="1">
      <alignment horizontal="center" vertical="center" shrinkToFit="1"/>
    </xf>
    <xf numFmtId="181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8" fontId="0" fillId="0" borderId="11" xfId="0" applyNumberFormat="1" applyBorder="1" applyAlignment="1">
      <alignment shrinkToFit="1"/>
    </xf>
    <xf numFmtId="179" fontId="0" fillId="0" borderId="38" xfId="0" applyNumberFormat="1" applyBorder="1" applyAlignment="1">
      <alignment shrinkToFit="1"/>
    </xf>
    <xf numFmtId="40" fontId="15" fillId="6" borderId="50" xfId="0" applyNumberFormat="1" applyFont="1" applyFill="1" applyBorder="1" applyAlignment="1">
      <alignment shrinkToFit="1"/>
    </xf>
    <xf numFmtId="180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9" fontId="17" fillId="0" borderId="1" xfId="3" applyNumberFormat="1" applyFont="1" applyFill="1" applyBorder="1" applyAlignment="1">
      <alignment horizontal="center" shrinkToFit="1"/>
    </xf>
    <xf numFmtId="179" fontId="3" fillId="0" borderId="4" xfId="0" applyNumberFormat="1" applyFont="1" applyBorder="1" applyAlignment="1">
      <alignment horizontal="center" shrinkToFit="1"/>
    </xf>
    <xf numFmtId="179" fontId="3" fillId="0" borderId="1" xfId="0" applyNumberFormat="1" applyFont="1" applyBorder="1" applyAlignment="1">
      <alignment horizontal="center" shrinkToFit="1"/>
    </xf>
    <xf numFmtId="179" fontId="17" fillId="2" borderId="4" xfId="0" applyNumberFormat="1" applyFont="1" applyFill="1" applyBorder="1" applyAlignment="1">
      <alignment horizontal="center"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9" fontId="3" fillId="6" borderId="4" xfId="0" applyNumberFormat="1" applyFont="1" applyFill="1" applyBorder="1" applyAlignment="1">
      <alignment horizontal="center" shrinkToFit="1"/>
    </xf>
    <xf numFmtId="179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80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80" fontId="8" fillId="0" borderId="28" xfId="0" applyNumberFormat="1" applyFont="1" applyBorder="1" applyAlignment="1">
      <alignment vertical="center" shrinkToFit="1"/>
    </xf>
    <xf numFmtId="179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9" fontId="6" fillId="6" borderId="48" xfId="0" applyNumberFormat="1" applyFont="1" applyFill="1" applyBorder="1" applyAlignment="1">
      <alignment vertical="center" shrinkToFit="1"/>
    </xf>
    <xf numFmtId="179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9" fontId="0" fillId="2" borderId="11" xfId="0" applyNumberFormat="1" applyFill="1" applyBorder="1" applyAlignment="1">
      <alignment horizontal="center" shrinkToFit="1"/>
    </xf>
    <xf numFmtId="179" fontId="17" fillId="0" borderId="40" xfId="0" applyNumberFormat="1" applyFont="1" applyBorder="1" applyAlignment="1">
      <alignment horizontal="center" shrinkToFit="1"/>
    </xf>
    <xf numFmtId="179" fontId="15" fillId="0" borderId="17" xfId="0" applyNumberFormat="1" applyFont="1" applyBorder="1" applyAlignment="1">
      <alignment shrinkToFit="1"/>
    </xf>
    <xf numFmtId="179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8" fontId="18" fillId="13" borderId="8" xfId="0" applyNumberFormat="1" applyFont="1" applyFill="1" applyBorder="1" applyAlignment="1">
      <alignment horizontal="center" shrinkToFit="1"/>
    </xf>
    <xf numFmtId="179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8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9" fontId="3" fillId="0" borderId="26" xfId="0" applyNumberFormat="1" applyFont="1" applyBorder="1" applyAlignment="1">
      <alignment horizontal="center" shrinkToFit="1"/>
    </xf>
    <xf numFmtId="179" fontId="17" fillId="0" borderId="61" xfId="3" applyNumberFormat="1" applyFont="1" applyFill="1" applyBorder="1" applyAlignment="1">
      <alignment horizontal="center" shrinkToFit="1"/>
    </xf>
    <xf numFmtId="180" fontId="8" fillId="0" borderId="39" xfId="0" applyNumberFormat="1" applyFont="1" applyBorder="1" applyAlignment="1">
      <alignment horizontal="left"/>
    </xf>
    <xf numFmtId="180" fontId="8" fillId="0" borderId="26" xfId="0" applyNumberFormat="1" applyFont="1" applyBorder="1" applyAlignment="1">
      <alignment horizontal="left"/>
    </xf>
    <xf numFmtId="180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9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9" fontId="25" fillId="2" borderId="4" xfId="4" applyNumberFormat="1" applyFill="1" applyBorder="1" applyAlignment="1">
      <alignment horizontal="center" shrinkToFit="1"/>
    </xf>
    <xf numFmtId="179" fontId="25" fillId="2" borderId="6" xfId="4" applyNumberFormat="1" applyFill="1" applyBorder="1" applyAlignment="1">
      <alignment horizontal="center" shrinkToFit="1"/>
    </xf>
    <xf numFmtId="179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4" fontId="22" fillId="6" borderId="45" xfId="0" applyNumberFormat="1" applyFont="1" applyFill="1" applyBorder="1" applyAlignment="1">
      <alignment horizontal="center" vertical="center" shrinkToFit="1"/>
    </xf>
    <xf numFmtId="184" fontId="22" fillId="6" borderId="0" xfId="0" applyNumberFormat="1" applyFont="1" applyFill="1" applyAlignment="1">
      <alignment horizontal="center" vertical="center" shrinkToFit="1"/>
    </xf>
    <xf numFmtId="184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4" fontId="22" fillId="10" borderId="45" xfId="0" applyNumberFormat="1" applyFont="1" applyFill="1" applyBorder="1" applyAlignment="1">
      <alignment horizontal="center" vertical="center" shrinkToFit="1"/>
    </xf>
    <xf numFmtId="184" fontId="22" fillId="10" borderId="0" xfId="0" applyNumberFormat="1" applyFont="1" applyFill="1" applyAlignment="1">
      <alignment horizontal="center" vertical="center" shrinkToFit="1"/>
    </xf>
    <xf numFmtId="184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4" fontId="22" fillId="7" borderId="45" xfId="0" applyNumberFormat="1" applyFont="1" applyFill="1" applyBorder="1" applyAlignment="1">
      <alignment horizontal="center" vertical="center" shrinkToFit="1"/>
    </xf>
    <xf numFmtId="184" fontId="22" fillId="7" borderId="0" xfId="0" applyNumberFormat="1" applyFont="1" applyFill="1" applyAlignment="1">
      <alignment horizontal="center" vertical="center" shrinkToFit="1"/>
    </xf>
    <xf numFmtId="184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4" fontId="22" fillId="11" borderId="6" xfId="0" applyNumberFormat="1" applyFont="1" applyFill="1" applyBorder="1" applyAlignment="1">
      <alignment horizontal="center" vertical="center" shrinkToFit="1"/>
    </xf>
    <xf numFmtId="184" fontId="22" fillId="11" borderId="37" xfId="0" applyNumberFormat="1" applyFont="1" applyFill="1" applyBorder="1" applyAlignment="1">
      <alignment horizontal="center" vertical="center" shrinkToFit="1"/>
    </xf>
    <xf numFmtId="184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2" fillId="2" borderId="4" xfId="0" applyFont="1" applyFill="1" applyBorder="1" applyAlignment="1">
      <alignment horizontal="center" shrinkToFit="1"/>
    </xf>
    <xf numFmtId="179" fontId="2" fillId="0" borderId="4" xfId="0" applyNumberFormat="1" applyFont="1" applyBorder="1" applyAlignment="1">
      <alignment horizontal="center" shrinkToFit="1"/>
    </xf>
    <xf numFmtId="179" fontId="2" fillId="6" borderId="4" xfId="0" applyNumberFormat="1" applyFont="1" applyFill="1" applyBorder="1" applyAlignment="1">
      <alignment horizontal="center" shrinkToFit="1"/>
    </xf>
    <xf numFmtId="0" fontId="25" fillId="14" borderId="19" xfId="4" applyBorder="1" applyAlignment="1">
      <alignment horizontal="center" shrinkToFit="1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horizontal="left"/>
    </xf>
    <xf numFmtId="49" fontId="25" fillId="14" borderId="2" xfId="4" applyNumberFormat="1" applyBorder="1" applyAlignment="1">
      <alignment horizontal="left"/>
    </xf>
    <xf numFmtId="0" fontId="25" fillId="14" borderId="62" xfId="4" applyBorder="1" applyAlignment="1">
      <alignment horizontal="center" shrinkToFit="1"/>
    </xf>
    <xf numFmtId="180" fontId="25" fillId="14" borderId="26" xfId="4" applyNumberFormat="1" applyBorder="1" applyAlignment="1">
      <alignment horizontal="left"/>
    </xf>
    <xf numFmtId="0" fontId="25" fillId="14" borderId="4" xfId="4" applyBorder="1" applyAlignment="1">
      <alignment horizontal="center" shrinkToFit="1"/>
    </xf>
    <xf numFmtId="179" fontId="25" fillId="14" borderId="4" xfId="4" applyNumberFormat="1" applyBorder="1" applyAlignment="1">
      <alignment horizontal="center" shrinkToFit="1"/>
    </xf>
    <xf numFmtId="179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179" fontId="2" fillId="0" borderId="1" xfId="0" applyNumberFormat="1" applyFont="1" applyBorder="1" applyAlignment="1">
      <alignment horizontal="center" shrinkToFit="1"/>
    </xf>
    <xf numFmtId="0" fontId="25" fillId="14" borderId="9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9" fontId="25" fillId="14" borderId="1" xfId="4" applyNumberFormat="1" applyBorder="1" applyAlignment="1">
      <alignment horizontal="center" shrinkToFit="1"/>
    </xf>
    <xf numFmtId="179" fontId="2" fillId="0" borderId="26" xfId="0" applyNumberFormat="1" applyFont="1" applyBorder="1" applyAlignment="1">
      <alignment horizontal="center" shrinkToFit="1"/>
    </xf>
    <xf numFmtId="179" fontId="2" fillId="2" borderId="1" xfId="0" applyNumberFormat="1" applyFont="1" applyFill="1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0" fontId="25" fillId="14" borderId="1" xfId="4" applyBorder="1" applyAlignment="1">
      <alignment horizontal="center" vertical="center" shrinkToFit="1"/>
    </xf>
    <xf numFmtId="179" fontId="17" fillId="2" borderId="4" xfId="0" applyNumberFormat="1" applyFont="1" applyFill="1" applyBorder="1" applyAlignment="1">
      <alignment horizontal="left" shrinkToFit="1"/>
    </xf>
    <xf numFmtId="0" fontId="31" fillId="2" borderId="9" xfId="0" applyFont="1" applyFill="1" applyBorder="1" applyAlignment="1">
      <alignment shrinkToFit="1"/>
    </xf>
    <xf numFmtId="0" fontId="25" fillId="14" borderId="39" xfId="4" applyBorder="1" applyAlignment="1">
      <alignment horizontal="left" shrinkToFit="1"/>
    </xf>
    <xf numFmtId="49" fontId="25" fillId="14" borderId="37" xfId="4" applyNumberFormat="1" applyBorder="1" applyAlignment="1">
      <alignment horizontal="left" shrinkToFit="1"/>
    </xf>
    <xf numFmtId="0" fontId="25" fillId="14" borderId="39" xfId="4" applyBorder="1" applyAlignment="1">
      <alignment horizontal="left"/>
    </xf>
    <xf numFmtId="0" fontId="32" fillId="15" borderId="9" xfId="5" applyBorder="1" applyAlignment="1">
      <alignment horizontal="center" shrinkToFit="1"/>
    </xf>
    <xf numFmtId="0" fontId="32" fillId="15" borderId="4" xfId="5" applyBorder="1" applyAlignment="1">
      <alignment horizontal="center" shrinkToFit="1"/>
    </xf>
    <xf numFmtId="0" fontId="32" fillId="15" borderId="1" xfId="5" applyBorder="1" applyAlignment="1">
      <alignment horizontal="left" shrinkToFit="1"/>
    </xf>
    <xf numFmtId="49" fontId="32" fillId="15" borderId="2" xfId="5" applyNumberFormat="1" applyBorder="1" applyAlignment="1">
      <alignment horizontal="left" shrinkToFit="1"/>
    </xf>
    <xf numFmtId="0" fontId="32" fillId="15" borderId="62" xfId="5" applyBorder="1" applyAlignment="1">
      <alignment horizontal="center" shrinkToFit="1"/>
    </xf>
    <xf numFmtId="0" fontId="32" fillId="15" borderId="26" xfId="5" applyBorder="1" applyAlignment="1">
      <alignment horizontal="left" shrinkToFit="1"/>
    </xf>
    <xf numFmtId="0" fontId="32" fillId="15" borderId="1" xfId="5" applyBorder="1" applyAlignment="1">
      <alignment horizontal="center" shrinkToFit="1"/>
    </xf>
    <xf numFmtId="179" fontId="32" fillId="15" borderId="1" xfId="5" applyNumberFormat="1" applyBorder="1" applyAlignment="1">
      <alignment horizontal="center" shrinkToFit="1"/>
    </xf>
    <xf numFmtId="179" fontId="32" fillId="15" borderId="4" xfId="5" applyNumberFormat="1" applyBorder="1" applyAlignment="1">
      <alignment horizontal="center" shrinkToFit="1"/>
    </xf>
    <xf numFmtId="0" fontId="32" fillId="15" borderId="39" xfId="5" applyBorder="1" applyAlignment="1">
      <alignment horizontal="left" shrinkToFit="1"/>
    </xf>
    <xf numFmtId="49" fontId="32" fillId="15" borderId="37" xfId="5" applyNumberFormat="1" applyBorder="1" applyAlignment="1">
      <alignment horizontal="left" shrinkToFit="1"/>
    </xf>
    <xf numFmtId="0" fontId="32" fillId="15" borderId="39" xfId="5" applyBorder="1" applyAlignment="1">
      <alignment horizontal="left"/>
    </xf>
    <xf numFmtId="179" fontId="32" fillId="15" borderId="6" xfId="5" applyNumberFormat="1" applyBorder="1" applyAlignment="1">
      <alignment horizontal="center" shrinkToFit="1"/>
    </xf>
    <xf numFmtId="0" fontId="33" fillId="2" borderId="9" xfId="0" applyFont="1" applyFill="1" applyBorder="1" applyAlignment="1">
      <alignment shrinkToFit="1"/>
    </xf>
    <xf numFmtId="49" fontId="25" fillId="14" borderId="2" xfId="4" applyNumberFormat="1" applyBorder="1" applyAlignment="1">
      <alignment horizontal="left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14" fontId="6" fillId="0" borderId="34" xfId="0" applyNumberFormat="1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80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5" fillId="14" borderId="2" xfId="4" applyBorder="1" applyAlignment="1">
      <alignment horizontal="center" vertical="center" shrinkToFit="1"/>
    </xf>
    <xf numFmtId="0" fontId="25" fillId="14" borderId="29" xfId="4" applyBorder="1" applyAlignment="1">
      <alignment horizontal="center" vertical="center" shrinkToFit="1"/>
    </xf>
    <xf numFmtId="0" fontId="25" fillId="14" borderId="17" xfId="4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7" fontId="15" fillId="0" borderId="0" xfId="0" applyNumberFormat="1" applyFont="1" applyAlignment="1">
      <alignment horizontal="center" shrinkToFit="1"/>
    </xf>
    <xf numFmtId="26" fontId="15" fillId="0" borderId="0" xfId="0" applyNumberFormat="1" applyFont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80" fontId="6" fillId="6" borderId="53" xfId="0" applyNumberFormat="1" applyFont="1" applyFill="1" applyBorder="1" applyAlignment="1">
      <alignment horizontal="center" vertical="center" shrinkToFit="1"/>
    </xf>
    <xf numFmtId="180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9" fontId="18" fillId="6" borderId="25" xfId="0" applyNumberFormat="1" applyFont="1" applyFill="1" applyBorder="1" applyAlignment="1">
      <alignment horizontal="center" vertical="center" shrinkToFit="1"/>
    </xf>
    <xf numFmtId="179" fontId="18" fillId="6" borderId="24" xfId="0" applyNumberFormat="1" applyFont="1" applyFill="1" applyBorder="1" applyAlignment="1">
      <alignment horizontal="center" vertical="center" shrinkToFit="1"/>
    </xf>
    <xf numFmtId="179" fontId="18" fillId="6" borderId="22" xfId="0" applyNumberFormat="1" applyFont="1" applyFill="1" applyBorder="1" applyAlignment="1">
      <alignment horizontal="center" vertical="center" shrinkToFit="1"/>
    </xf>
    <xf numFmtId="179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1" fontId="6" fillId="6" borderId="14" xfId="0" applyNumberFormat="1" applyFont="1" applyFill="1" applyBorder="1" applyAlignment="1">
      <alignment horizontal="center" vertical="center" shrinkToFit="1"/>
    </xf>
    <xf numFmtId="181" fontId="6" fillId="6" borderId="1" xfId="0" applyNumberFormat="1" applyFont="1" applyFill="1" applyBorder="1" applyAlignment="1">
      <alignment horizontal="center" vertical="center" shrinkToFit="1"/>
    </xf>
    <xf numFmtId="181" fontId="6" fillId="6" borderId="3" xfId="0" applyNumberFormat="1" applyFont="1" applyFill="1" applyBorder="1" applyAlignment="1">
      <alignment horizontal="center" vertical="center" shrinkToFit="1"/>
    </xf>
    <xf numFmtId="179" fontId="6" fillId="6" borderId="14" xfId="0" applyNumberFormat="1" applyFont="1" applyFill="1" applyBorder="1" applyAlignment="1">
      <alignment horizontal="center" vertical="center" shrinkToFit="1"/>
    </xf>
    <xf numFmtId="179" fontId="6" fillId="6" borderId="1" xfId="0" applyNumberFormat="1" applyFont="1" applyFill="1" applyBorder="1" applyAlignment="1">
      <alignment horizontal="center" vertical="center" shrinkToFit="1"/>
    </xf>
    <xf numFmtId="179" fontId="6" fillId="6" borderId="3" xfId="0" applyNumberFormat="1" applyFont="1" applyFill="1" applyBorder="1" applyAlignment="1">
      <alignment horizontal="center" vertical="center" shrinkToFit="1"/>
    </xf>
    <xf numFmtId="179" fontId="6" fillId="6" borderId="28" xfId="0" applyNumberFormat="1" applyFont="1" applyFill="1" applyBorder="1" applyAlignment="1">
      <alignment horizontal="center" vertical="center" shrinkToFit="1"/>
    </xf>
    <xf numFmtId="179" fontId="6" fillId="6" borderId="15" xfId="0" applyNumberFormat="1" applyFont="1" applyFill="1" applyBorder="1" applyAlignment="1">
      <alignment horizontal="center" vertical="center" shrinkToFit="1"/>
    </xf>
    <xf numFmtId="179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0" fontId="32" fillId="15" borderId="2" xfId="5" applyBorder="1" applyAlignment="1">
      <alignment horizontal="center" shrinkToFit="1"/>
    </xf>
    <xf numFmtId="0" fontId="32" fillId="15" borderId="29" xfId="5" applyBorder="1" applyAlignment="1">
      <alignment horizontal="center" shrinkToFit="1"/>
    </xf>
    <xf numFmtId="0" fontId="32" fillId="15" borderId="17" xfId="5" applyBorder="1" applyAlignment="1">
      <alignment horizontal="center"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7" xfId="0" applyFill="1" applyBorder="1" applyAlignment="1">
      <alignment horizontal="center" shrinkToFit="1"/>
    </xf>
    <xf numFmtId="0" fontId="1" fillId="2" borderId="2" xfId="4" applyFont="1" applyFill="1" applyBorder="1" applyAlignment="1">
      <alignment horizontal="center" shrinkToFit="1"/>
    </xf>
    <xf numFmtId="0" fontId="1" fillId="2" borderId="29" xfId="4" applyFont="1" applyFill="1" applyBorder="1" applyAlignment="1">
      <alignment horizont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4" fontId="22" fillId="6" borderId="30" xfId="0" applyNumberFormat="1" applyFont="1" applyFill="1" applyBorder="1" applyAlignment="1">
      <alignment horizontal="center" vertical="center" shrinkToFit="1"/>
    </xf>
    <xf numFmtId="184" fontId="22" fillId="6" borderId="43" xfId="0" applyNumberFormat="1" applyFont="1" applyFill="1" applyBorder="1" applyAlignment="1">
      <alignment horizontal="center" vertical="center" shrinkToFit="1"/>
    </xf>
    <xf numFmtId="184" fontId="22" fillId="6" borderId="44" xfId="0" applyNumberFormat="1" applyFont="1" applyFill="1" applyBorder="1" applyAlignment="1">
      <alignment horizontal="center" vertical="center" shrinkToFit="1"/>
    </xf>
    <xf numFmtId="184" fontId="22" fillId="6" borderId="45" xfId="0" applyNumberFormat="1" applyFont="1" applyFill="1" applyBorder="1" applyAlignment="1">
      <alignment horizontal="center" vertical="center" shrinkToFit="1"/>
    </xf>
    <xf numFmtId="184" fontId="22" fillId="6" borderId="0" xfId="0" applyNumberFormat="1" applyFont="1" applyFill="1" applyAlignment="1">
      <alignment horizontal="center" vertical="center" shrinkToFit="1"/>
    </xf>
    <xf numFmtId="184" fontId="22" fillId="6" borderId="46" xfId="0" applyNumberFormat="1" applyFont="1" applyFill="1" applyBorder="1" applyAlignment="1">
      <alignment horizontal="center" vertical="center" shrinkToFit="1"/>
    </xf>
    <xf numFmtId="184" fontId="22" fillId="6" borderId="6" xfId="0" applyNumberFormat="1" applyFont="1" applyFill="1" applyBorder="1" applyAlignment="1">
      <alignment horizontal="center" vertical="center" shrinkToFit="1"/>
    </xf>
    <xf numFmtId="184" fontId="22" fillId="6" borderId="37" xfId="0" applyNumberFormat="1" applyFont="1" applyFill="1" applyBorder="1" applyAlignment="1">
      <alignment horizontal="center" vertical="center" shrinkToFit="1"/>
    </xf>
    <xf numFmtId="184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7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7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7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7" fontId="6" fillId="11" borderId="2" xfId="0" applyNumberFormat="1" applyFont="1" applyFill="1" applyBorder="1" applyAlignment="1">
      <alignment horizontal="center" vertical="center" shrinkToFit="1"/>
    </xf>
    <xf numFmtId="177" fontId="6" fillId="11" borderId="29" xfId="0" applyNumberFormat="1" applyFont="1" applyFill="1" applyBorder="1" applyAlignment="1">
      <alignment horizontal="center" vertical="center" shrinkToFit="1"/>
    </xf>
    <xf numFmtId="177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4" fontId="22" fillId="9" borderId="2" xfId="0" applyNumberFormat="1" applyFont="1" applyFill="1" applyBorder="1" applyAlignment="1">
      <alignment horizontal="center" vertical="center" shrinkToFit="1"/>
    </xf>
    <xf numFmtId="184" fontId="22" fillId="9" borderId="29" xfId="0" applyNumberFormat="1" applyFont="1" applyFill="1" applyBorder="1" applyAlignment="1">
      <alignment horizontal="center" vertical="center" shrinkToFit="1"/>
    </xf>
    <xf numFmtId="184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7" fontId="6" fillId="5" borderId="2" xfId="0" applyNumberFormat="1" applyFont="1" applyFill="1" applyBorder="1" applyAlignment="1">
      <alignment horizontal="center" vertical="center" shrinkToFit="1"/>
    </xf>
    <xf numFmtId="177" fontId="6" fillId="5" borderId="29" xfId="0" applyNumberFormat="1" applyFont="1" applyFill="1" applyBorder="1" applyAlignment="1">
      <alignment horizontal="center" vertical="center" shrinkToFit="1"/>
    </xf>
    <xf numFmtId="177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4" fontId="22" fillId="5" borderId="2" xfId="0" applyNumberFormat="1" applyFont="1" applyFill="1" applyBorder="1" applyAlignment="1">
      <alignment horizontal="center" vertical="center" shrinkToFit="1"/>
    </xf>
    <xf numFmtId="184" fontId="22" fillId="5" borderId="29" xfId="0" applyNumberFormat="1" applyFont="1" applyFill="1" applyBorder="1" applyAlignment="1">
      <alignment horizontal="center" vertical="center" shrinkToFit="1"/>
    </xf>
    <xf numFmtId="184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7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1" fontId="22" fillId="0" borderId="58" xfId="0" applyNumberFormat="1" applyFont="1" applyBorder="1" applyAlignment="1">
      <alignment horizontal="center" vertical="center" shrinkToFit="1"/>
    </xf>
    <xf numFmtId="181" fontId="22" fillId="0" borderId="43" xfId="0" applyNumberFormat="1" applyFont="1" applyBorder="1" applyAlignment="1">
      <alignment horizontal="center" vertical="center" shrinkToFit="1"/>
    </xf>
    <xf numFmtId="181" fontId="22" fillId="0" borderId="59" xfId="0" applyNumberFormat="1" applyFont="1" applyBorder="1" applyAlignment="1">
      <alignment horizontal="center" vertical="center" shrinkToFit="1"/>
    </xf>
    <xf numFmtId="181" fontId="22" fillId="0" borderId="31" xfId="0" applyNumberFormat="1" applyFont="1" applyBorder="1" applyAlignment="1">
      <alignment horizontal="center" vertical="center" shrinkToFit="1"/>
    </xf>
    <xf numFmtId="181" fontId="22" fillId="0" borderId="0" xfId="0" applyNumberFormat="1" applyFont="1" applyAlignment="1">
      <alignment horizontal="center" vertical="center" shrinkToFit="1"/>
    </xf>
    <xf numFmtId="181" fontId="22" fillId="0" borderId="32" xfId="0" applyNumberFormat="1" applyFont="1" applyBorder="1" applyAlignment="1">
      <alignment horizontal="center" vertical="center" shrinkToFit="1"/>
    </xf>
    <xf numFmtId="181" fontId="22" fillId="0" borderId="21" xfId="0" applyNumberFormat="1" applyFont="1" applyBorder="1" applyAlignment="1">
      <alignment horizontal="center" vertical="center" shrinkToFit="1"/>
    </xf>
    <xf numFmtId="181" fontId="22" fillId="0" borderId="22" xfId="0" applyNumberFormat="1" applyFont="1" applyBorder="1" applyAlignment="1">
      <alignment horizontal="center" vertical="center" shrinkToFit="1"/>
    </xf>
    <xf numFmtId="181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7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7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4" fontId="22" fillId="5" borderId="30" xfId="0" applyNumberFormat="1" applyFont="1" applyFill="1" applyBorder="1" applyAlignment="1">
      <alignment horizontal="center" vertical="center" shrinkToFit="1"/>
    </xf>
    <xf numFmtId="184" fontId="22" fillId="5" borderId="43" xfId="0" applyNumberFormat="1" applyFont="1" applyFill="1" applyBorder="1" applyAlignment="1">
      <alignment horizontal="center" vertical="center" shrinkToFit="1"/>
    </xf>
    <xf numFmtId="184" fontId="22" fillId="5" borderId="44" xfId="0" applyNumberFormat="1" applyFont="1" applyFill="1" applyBorder="1" applyAlignment="1">
      <alignment horizontal="center" vertical="center" shrinkToFit="1"/>
    </xf>
    <xf numFmtId="184" fontId="22" fillId="5" borderId="45" xfId="0" applyNumberFormat="1" applyFont="1" applyFill="1" applyBorder="1" applyAlignment="1">
      <alignment horizontal="center" vertical="center" shrinkToFit="1"/>
    </xf>
    <xf numFmtId="184" fontId="22" fillId="5" borderId="0" xfId="0" applyNumberFormat="1" applyFont="1" applyFill="1" applyAlignment="1">
      <alignment horizontal="center" vertical="center" shrinkToFit="1"/>
    </xf>
    <xf numFmtId="184" fontId="22" fillId="5" borderId="46" xfId="0" applyNumberFormat="1" applyFont="1" applyFill="1" applyBorder="1" applyAlignment="1">
      <alignment horizontal="center" vertical="center" shrinkToFit="1"/>
    </xf>
    <xf numFmtId="184" fontId="22" fillId="5" borderId="6" xfId="0" applyNumberFormat="1" applyFont="1" applyFill="1" applyBorder="1" applyAlignment="1">
      <alignment horizontal="center" vertical="center" shrinkToFit="1"/>
    </xf>
    <xf numFmtId="184" fontId="22" fillId="5" borderId="37" xfId="0" applyNumberFormat="1" applyFont="1" applyFill="1" applyBorder="1" applyAlignment="1">
      <alignment horizontal="center" vertical="center" shrinkToFit="1"/>
    </xf>
    <xf numFmtId="184" fontId="22" fillId="5" borderId="39" xfId="0" applyNumberFormat="1" applyFont="1" applyFill="1" applyBorder="1" applyAlignment="1">
      <alignment horizontal="center" vertical="center" shrinkToFit="1"/>
    </xf>
    <xf numFmtId="184" fontId="22" fillId="9" borderId="30" xfId="0" applyNumberFormat="1" applyFont="1" applyFill="1" applyBorder="1" applyAlignment="1">
      <alignment horizontal="center" vertical="center" shrinkToFit="1"/>
    </xf>
    <xf numFmtId="184" fontId="22" fillId="9" borderId="43" xfId="0" applyNumberFormat="1" applyFont="1" applyFill="1" applyBorder="1" applyAlignment="1">
      <alignment horizontal="center" vertical="center" shrinkToFit="1"/>
    </xf>
    <xf numFmtId="184" fontId="22" fillId="9" borderId="44" xfId="0" applyNumberFormat="1" applyFont="1" applyFill="1" applyBorder="1" applyAlignment="1">
      <alignment horizontal="center" vertical="center" shrinkToFit="1"/>
    </xf>
    <xf numFmtId="184" fontId="22" fillId="9" borderId="45" xfId="0" applyNumberFormat="1" applyFont="1" applyFill="1" applyBorder="1" applyAlignment="1">
      <alignment horizontal="center" vertical="center" shrinkToFit="1"/>
    </xf>
    <xf numFmtId="184" fontId="22" fillId="9" borderId="0" xfId="0" applyNumberFormat="1" applyFont="1" applyFill="1" applyAlignment="1">
      <alignment horizontal="center" vertical="center" shrinkToFit="1"/>
    </xf>
    <xf numFmtId="184" fontId="22" fillId="9" borderId="46" xfId="0" applyNumberFormat="1" applyFont="1" applyFill="1" applyBorder="1" applyAlignment="1">
      <alignment horizontal="center" vertical="center" shrinkToFit="1"/>
    </xf>
    <xf numFmtId="184" fontId="22" fillId="9" borderId="6" xfId="0" applyNumberFormat="1" applyFont="1" applyFill="1" applyBorder="1" applyAlignment="1">
      <alignment horizontal="center" vertical="center" shrinkToFit="1"/>
    </xf>
    <xf numFmtId="184" fontId="22" fillId="9" borderId="37" xfId="0" applyNumberFormat="1" applyFont="1" applyFill="1" applyBorder="1" applyAlignment="1">
      <alignment horizontal="center" vertical="center" shrinkToFit="1"/>
    </xf>
    <xf numFmtId="184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7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4" fontId="22" fillId="10" borderId="30" xfId="0" applyNumberFormat="1" applyFont="1" applyFill="1" applyBorder="1" applyAlignment="1">
      <alignment horizontal="center" vertical="center" shrinkToFit="1"/>
    </xf>
    <xf numFmtId="184" fontId="22" fillId="10" borderId="43" xfId="0" applyNumberFormat="1" applyFont="1" applyFill="1" applyBorder="1" applyAlignment="1">
      <alignment horizontal="center" vertical="center" shrinkToFit="1"/>
    </xf>
    <xf numFmtId="184" fontId="22" fillId="10" borderId="44" xfId="0" applyNumberFormat="1" applyFont="1" applyFill="1" applyBorder="1" applyAlignment="1">
      <alignment horizontal="center" vertical="center" shrinkToFit="1"/>
    </xf>
    <xf numFmtId="184" fontId="22" fillId="10" borderId="45" xfId="0" applyNumberFormat="1" applyFont="1" applyFill="1" applyBorder="1" applyAlignment="1">
      <alignment horizontal="center" vertical="center" shrinkToFit="1"/>
    </xf>
    <xf numFmtId="184" fontId="22" fillId="10" borderId="0" xfId="0" applyNumberFormat="1" applyFont="1" applyFill="1" applyAlignment="1">
      <alignment horizontal="center" vertical="center" shrinkToFit="1"/>
    </xf>
    <xf numFmtId="184" fontId="22" fillId="10" borderId="46" xfId="0" applyNumberFormat="1" applyFont="1" applyFill="1" applyBorder="1" applyAlignment="1">
      <alignment horizontal="center" vertical="center" shrinkToFit="1"/>
    </xf>
    <xf numFmtId="184" fontId="22" fillId="10" borderId="6" xfId="0" applyNumberFormat="1" applyFont="1" applyFill="1" applyBorder="1" applyAlignment="1">
      <alignment horizontal="center" vertical="center" shrinkToFit="1"/>
    </xf>
    <xf numFmtId="184" fontId="22" fillId="10" borderId="37" xfId="0" applyNumberFormat="1" applyFont="1" applyFill="1" applyBorder="1" applyAlignment="1">
      <alignment horizontal="center" vertical="center" shrinkToFit="1"/>
    </xf>
    <xf numFmtId="184" fontId="22" fillId="10" borderId="39" xfId="0" applyNumberFormat="1" applyFont="1" applyFill="1" applyBorder="1" applyAlignment="1">
      <alignment horizontal="center" vertical="center" shrinkToFit="1"/>
    </xf>
    <xf numFmtId="177" fontId="6" fillId="9" borderId="2" xfId="0" applyNumberFormat="1" applyFont="1" applyFill="1" applyBorder="1" applyAlignment="1">
      <alignment horizontal="center" vertical="center" shrinkToFit="1"/>
    </xf>
    <xf numFmtId="177" fontId="6" fillId="9" borderId="29" xfId="0" applyNumberFormat="1" applyFont="1" applyFill="1" applyBorder="1" applyAlignment="1">
      <alignment horizontal="center" vertical="center" shrinkToFit="1"/>
    </xf>
    <xf numFmtId="177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7" fontId="6" fillId="6" borderId="2" xfId="0" applyNumberFormat="1" applyFont="1" applyFill="1" applyBorder="1" applyAlignment="1">
      <alignment horizontal="center" vertical="center" shrinkToFit="1"/>
    </xf>
    <xf numFmtId="177" fontId="6" fillId="6" borderId="29" xfId="0" applyNumberFormat="1" applyFont="1" applyFill="1" applyBorder="1" applyAlignment="1">
      <alignment horizontal="center" vertical="center" shrinkToFit="1"/>
    </xf>
    <xf numFmtId="177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7" fontId="6" fillId="10" borderId="2" xfId="0" applyNumberFormat="1" applyFont="1" applyFill="1" applyBorder="1" applyAlignment="1">
      <alignment horizontal="center" vertical="center" shrinkToFit="1"/>
    </xf>
    <xf numFmtId="177" fontId="6" fillId="10" borderId="29" xfId="0" applyNumberFormat="1" applyFont="1" applyFill="1" applyBorder="1" applyAlignment="1">
      <alignment horizontal="center" vertical="center" shrinkToFit="1"/>
    </xf>
    <xf numFmtId="177" fontId="6" fillId="10" borderId="26" xfId="0" applyNumberFormat="1" applyFont="1" applyFill="1" applyBorder="1" applyAlignment="1">
      <alignment horizontal="center" vertical="center" shrinkToFit="1"/>
    </xf>
    <xf numFmtId="184" fontId="22" fillId="7" borderId="30" xfId="0" applyNumberFormat="1" applyFont="1" applyFill="1" applyBorder="1" applyAlignment="1">
      <alignment horizontal="center" vertical="center" shrinkToFit="1"/>
    </xf>
    <xf numFmtId="184" fontId="22" fillId="7" borderId="43" xfId="0" applyNumberFormat="1" applyFont="1" applyFill="1" applyBorder="1" applyAlignment="1">
      <alignment horizontal="center" vertical="center" shrinkToFit="1"/>
    </xf>
    <xf numFmtId="184" fontId="22" fillId="7" borderId="44" xfId="0" applyNumberFormat="1" applyFont="1" applyFill="1" applyBorder="1" applyAlignment="1">
      <alignment horizontal="center" vertical="center" shrinkToFit="1"/>
    </xf>
    <xf numFmtId="184" fontId="22" fillId="7" borderId="45" xfId="0" applyNumberFormat="1" applyFont="1" applyFill="1" applyBorder="1" applyAlignment="1">
      <alignment horizontal="center" vertical="center" shrinkToFit="1"/>
    </xf>
    <xf numFmtId="184" fontId="22" fillId="7" borderId="0" xfId="0" applyNumberFormat="1" applyFont="1" applyFill="1" applyAlignment="1">
      <alignment horizontal="center" vertical="center" shrinkToFit="1"/>
    </xf>
    <xf numFmtId="184" fontId="22" fillId="7" borderId="46" xfId="0" applyNumberFormat="1" applyFont="1" applyFill="1" applyBorder="1" applyAlignment="1">
      <alignment horizontal="center" vertical="center" shrinkToFit="1"/>
    </xf>
    <xf numFmtId="184" fontId="22" fillId="7" borderId="6" xfId="0" applyNumberFormat="1" applyFont="1" applyFill="1" applyBorder="1" applyAlignment="1">
      <alignment horizontal="center" vertical="center" shrinkToFit="1"/>
    </xf>
    <xf numFmtId="184" fontId="22" fillId="7" borderId="37" xfId="0" applyNumberFormat="1" applyFont="1" applyFill="1" applyBorder="1" applyAlignment="1">
      <alignment horizontal="center" vertical="center" shrinkToFit="1"/>
    </xf>
    <xf numFmtId="184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4" fontId="22" fillId="11" borderId="30" xfId="0" applyNumberFormat="1" applyFont="1" applyFill="1" applyBorder="1" applyAlignment="1">
      <alignment horizontal="center" vertical="center" shrinkToFit="1"/>
    </xf>
    <xf numFmtId="184" fontId="22" fillId="11" borderId="43" xfId="0" applyNumberFormat="1" applyFont="1" applyFill="1" applyBorder="1" applyAlignment="1">
      <alignment horizontal="center" vertical="center" shrinkToFit="1"/>
    </xf>
    <xf numFmtId="184" fontId="22" fillId="11" borderId="44" xfId="0" applyNumberFormat="1" applyFont="1" applyFill="1" applyBorder="1" applyAlignment="1">
      <alignment horizontal="center" vertical="center" shrinkToFit="1"/>
    </xf>
    <xf numFmtId="184" fontId="22" fillId="11" borderId="45" xfId="0" applyNumberFormat="1" applyFont="1" applyFill="1" applyBorder="1" applyAlignment="1">
      <alignment horizontal="center" vertical="center" shrinkToFit="1"/>
    </xf>
    <xf numFmtId="184" fontId="22" fillId="11" borderId="0" xfId="0" applyNumberFormat="1" applyFont="1" applyFill="1" applyAlignment="1">
      <alignment horizontal="center" vertical="center" shrinkToFit="1"/>
    </xf>
    <xf numFmtId="184" fontId="22" fillId="11" borderId="46" xfId="0" applyNumberFormat="1" applyFont="1" applyFill="1" applyBorder="1" applyAlignment="1">
      <alignment horizontal="center" vertical="center" shrinkToFit="1"/>
    </xf>
    <xf numFmtId="184" fontId="22" fillId="11" borderId="6" xfId="0" applyNumberFormat="1" applyFont="1" applyFill="1" applyBorder="1" applyAlignment="1">
      <alignment horizontal="center" vertical="center" shrinkToFit="1"/>
    </xf>
    <xf numFmtId="184" fontId="22" fillId="11" borderId="37" xfId="0" applyNumberFormat="1" applyFont="1" applyFill="1" applyBorder="1" applyAlignment="1">
      <alignment horizontal="center" vertical="center" shrinkToFit="1"/>
    </xf>
    <xf numFmtId="184" fontId="22" fillId="11" borderId="39" xfId="0" applyNumberFormat="1" applyFont="1" applyFill="1" applyBorder="1" applyAlignment="1">
      <alignment horizontal="center" vertical="center" shrinkToFit="1"/>
    </xf>
    <xf numFmtId="177" fontId="6" fillId="7" borderId="2" xfId="0" applyNumberFormat="1" applyFont="1" applyFill="1" applyBorder="1" applyAlignment="1">
      <alignment horizontal="center" vertical="center" shrinkToFit="1"/>
    </xf>
    <xf numFmtId="177" fontId="6" fillId="7" borderId="29" xfId="0" applyNumberFormat="1" applyFont="1" applyFill="1" applyBorder="1" applyAlignment="1">
      <alignment horizontal="center" vertical="center" shrinkToFit="1"/>
    </xf>
    <xf numFmtId="177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4" fontId="22" fillId="0" borderId="1" xfId="0" applyNumberFormat="1" applyFont="1" applyBorder="1" applyAlignment="1">
      <alignment horizontal="center" vertical="center" shrinkToFit="1"/>
    </xf>
    <xf numFmtId="184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4" fontId="22" fillId="12" borderId="5" xfId="0" applyNumberFormat="1" applyFont="1" applyFill="1" applyBorder="1" applyAlignment="1">
      <alignment horizontal="center" vertical="center" shrinkToFit="1"/>
    </xf>
    <xf numFmtId="184" fontId="22" fillId="12" borderId="56" xfId="0" applyNumberFormat="1" applyFont="1" applyFill="1" applyBorder="1" applyAlignment="1">
      <alignment horizontal="center" vertical="center" shrinkToFit="1"/>
    </xf>
    <xf numFmtId="184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7" fontId="22" fillId="0" borderId="1" xfId="0" applyNumberFormat="1" applyFont="1" applyBorder="1" applyAlignment="1">
      <alignment horizontal="center" vertical="center" shrinkToFit="1"/>
    </xf>
    <xf numFmtId="177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7" fontId="22" fillId="0" borderId="15" xfId="0" applyNumberFormat="1" applyFont="1" applyBorder="1" applyAlignment="1">
      <alignment horizontal="center" vertical="center" shrinkToFit="1"/>
    </xf>
    <xf numFmtId="177" fontId="22" fillId="0" borderId="16" xfId="0" applyNumberFormat="1" applyFont="1" applyBorder="1" applyAlignment="1">
      <alignment horizontal="center" vertical="center" shrinkToFit="1"/>
    </xf>
    <xf numFmtId="0" fontId="22" fillId="12" borderId="1" xfId="0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K12" sqref="K1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1.1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44991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5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249">
        <v>14125</v>
      </c>
      <c r="C5" s="59" t="s">
        <v>99</v>
      </c>
      <c r="D5" s="190" t="s">
        <v>100</v>
      </c>
      <c r="E5" s="171" t="s">
        <v>101</v>
      </c>
      <c r="F5" s="160">
        <v>905</v>
      </c>
      <c r="G5" s="109" t="s">
        <v>102</v>
      </c>
      <c r="H5" s="82"/>
      <c r="I5" s="250"/>
      <c r="J5" s="251" t="str">
        <f>IF(G5="RSL","55","0")</f>
        <v>0</v>
      </c>
      <c r="K5" s="251">
        <v>79</v>
      </c>
      <c r="L5" s="121"/>
      <c r="M5" s="121"/>
      <c r="N5" s="124" t="s">
        <v>98</v>
      </c>
      <c r="O5" s="308" t="s">
        <v>103</v>
      </c>
      <c r="P5" s="309"/>
      <c r="Q5" s="310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252">
        <v>2</v>
      </c>
      <c r="B6" s="253">
        <v>14126</v>
      </c>
      <c r="C6" s="254" t="s">
        <v>104</v>
      </c>
      <c r="D6" s="255" t="s">
        <v>105</v>
      </c>
      <c r="E6" s="256" t="s">
        <v>106</v>
      </c>
      <c r="F6" s="257">
        <v>915</v>
      </c>
      <c r="G6" s="258" t="s">
        <v>102</v>
      </c>
      <c r="H6" s="259"/>
      <c r="I6" s="259"/>
      <c r="J6" s="259" t="str">
        <f t="shared" ref="J6:J29" si="1">IF(G6="RSL","55","0")</f>
        <v>0</v>
      </c>
      <c r="K6" s="259">
        <v>79</v>
      </c>
      <c r="L6" s="260"/>
      <c r="M6" s="260">
        <v>475</v>
      </c>
      <c r="N6" s="261" t="s">
        <v>98</v>
      </c>
      <c r="O6" s="311" t="s">
        <v>107</v>
      </c>
      <c r="P6" s="312"/>
      <c r="Q6" s="313"/>
      <c r="R6" s="122" t="s">
        <v>108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249">
        <v>14127</v>
      </c>
      <c r="C7" s="58" t="s">
        <v>109</v>
      </c>
      <c r="D7" s="190" t="s">
        <v>110</v>
      </c>
      <c r="E7" s="171" t="s">
        <v>106</v>
      </c>
      <c r="F7" s="161">
        <v>930</v>
      </c>
      <c r="G7" s="109" t="s">
        <v>111</v>
      </c>
      <c r="H7" s="82">
        <v>95</v>
      </c>
      <c r="I7" s="250"/>
      <c r="J7" s="251" t="str">
        <f t="shared" si="1"/>
        <v>0</v>
      </c>
      <c r="K7" s="251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98</v>
      </c>
      <c r="O7" s="314"/>
      <c r="P7" s="315"/>
      <c r="Q7" s="316"/>
      <c r="R7" s="124" t="s">
        <v>112</v>
      </c>
      <c r="S7" s="30">
        <v>0.35416666666666669</v>
      </c>
      <c r="T7" s="31">
        <v>0.70833333333333337</v>
      </c>
      <c r="U7" s="83">
        <f t="shared" si="0"/>
        <v>8.5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262">
        <v>14128</v>
      </c>
      <c r="C8" s="26" t="s">
        <v>113</v>
      </c>
      <c r="D8" s="190" t="s">
        <v>114</v>
      </c>
      <c r="E8" s="171" t="s">
        <v>106</v>
      </c>
      <c r="F8" s="161">
        <v>935</v>
      </c>
      <c r="G8" s="109" t="s">
        <v>115</v>
      </c>
      <c r="H8" s="82"/>
      <c r="I8" s="250">
        <v>75</v>
      </c>
      <c r="J8" s="251" t="str">
        <f t="shared" si="1"/>
        <v>0</v>
      </c>
      <c r="K8" s="251" t="str">
        <f t="shared" si="2"/>
        <v>0</v>
      </c>
      <c r="L8" s="121"/>
      <c r="M8" s="121"/>
      <c r="N8" s="124" t="s">
        <v>98</v>
      </c>
      <c r="O8" s="317"/>
      <c r="P8" s="318"/>
      <c r="Q8" s="319"/>
      <c r="R8" s="25" t="s">
        <v>116</v>
      </c>
      <c r="S8" s="30">
        <v>0.375</v>
      </c>
      <c r="T8" s="31">
        <v>0.625</v>
      </c>
      <c r="U8" s="83">
        <f t="shared" si="0"/>
        <v>6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249">
        <v>14129</v>
      </c>
      <c r="C9" s="54" t="s">
        <v>117</v>
      </c>
      <c r="D9" s="191" t="s">
        <v>118</v>
      </c>
      <c r="E9" s="171" t="s">
        <v>106</v>
      </c>
      <c r="F9" s="162">
        <v>945</v>
      </c>
      <c r="G9" s="110" t="s">
        <v>111</v>
      </c>
      <c r="H9" s="82"/>
      <c r="I9" s="82">
        <v>95</v>
      </c>
      <c r="J9" s="251" t="str">
        <f t="shared" si="1"/>
        <v>0</v>
      </c>
      <c r="K9" s="251" t="str">
        <f t="shared" si="2"/>
        <v>0</v>
      </c>
      <c r="L9" s="121"/>
      <c r="M9" s="121"/>
      <c r="N9" s="124" t="s">
        <v>98</v>
      </c>
      <c r="O9" s="317"/>
      <c r="P9" s="318"/>
      <c r="Q9" s="319"/>
      <c r="R9" s="25" t="s">
        <v>119</v>
      </c>
      <c r="S9" s="30">
        <v>0.45833333333333331</v>
      </c>
      <c r="T9" s="31">
        <v>0.70833333333333337</v>
      </c>
      <c r="U9" s="83">
        <f t="shared" si="0"/>
        <v>6.0000000000000018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262">
        <v>14130</v>
      </c>
      <c r="C10" s="27" t="s">
        <v>120</v>
      </c>
      <c r="D10" s="192" t="s">
        <v>121</v>
      </c>
      <c r="E10" s="171" t="s">
        <v>106</v>
      </c>
      <c r="F10" s="163">
        <v>1010</v>
      </c>
      <c r="G10" s="111" t="s">
        <v>115</v>
      </c>
      <c r="H10" s="114"/>
      <c r="I10" s="263">
        <v>75</v>
      </c>
      <c r="J10" s="251" t="str">
        <f t="shared" si="1"/>
        <v>0</v>
      </c>
      <c r="K10" s="251" t="str">
        <f t="shared" si="2"/>
        <v>0</v>
      </c>
      <c r="L10" s="121"/>
      <c r="M10" s="121"/>
      <c r="N10" s="124" t="s">
        <v>108</v>
      </c>
      <c r="O10" s="304"/>
      <c r="P10" s="305"/>
      <c r="Q10" s="30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264">
        <v>7</v>
      </c>
      <c r="B11" s="258">
        <v>14131</v>
      </c>
      <c r="C11" s="265" t="s">
        <v>122</v>
      </c>
      <c r="D11" s="266" t="s">
        <v>123</v>
      </c>
      <c r="E11" s="256" t="s">
        <v>106</v>
      </c>
      <c r="F11" s="267">
        <v>1030</v>
      </c>
      <c r="G11" s="268" t="s">
        <v>124</v>
      </c>
      <c r="H11" s="269"/>
      <c r="I11" s="259"/>
      <c r="J11" s="259" t="str">
        <f t="shared" si="1"/>
        <v>0</v>
      </c>
      <c r="K11" s="259">
        <v>0</v>
      </c>
      <c r="L11" s="260">
        <v>300</v>
      </c>
      <c r="M11" s="260"/>
      <c r="N11" s="261" t="s">
        <v>108</v>
      </c>
      <c r="O11" s="336" t="s">
        <v>125</v>
      </c>
      <c r="P11" s="337"/>
      <c r="Q11" s="338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262">
        <v>14132</v>
      </c>
      <c r="C12" s="55" t="s">
        <v>126</v>
      </c>
      <c r="D12" s="194" t="s">
        <v>127</v>
      </c>
      <c r="E12" s="171" t="s">
        <v>106</v>
      </c>
      <c r="F12" s="163">
        <v>1050</v>
      </c>
      <c r="G12" s="110" t="s">
        <v>115</v>
      </c>
      <c r="H12" s="114"/>
      <c r="I12" s="263">
        <v>75</v>
      </c>
      <c r="J12" s="251" t="str">
        <f t="shared" si="1"/>
        <v>0</v>
      </c>
      <c r="K12" s="251" t="str">
        <f t="shared" si="2"/>
        <v>0</v>
      </c>
      <c r="L12" s="121"/>
      <c r="M12" s="121"/>
      <c r="N12" s="124" t="s">
        <v>108</v>
      </c>
      <c r="O12" s="314"/>
      <c r="P12" s="315"/>
      <c r="Q12" s="316"/>
      <c r="R12" s="25"/>
      <c r="S12" s="30"/>
      <c r="T12" s="31"/>
      <c r="U12" s="83">
        <f t="shared" si="0"/>
        <v>0</v>
      </c>
      <c r="V12" s="152" t="s">
        <v>128</v>
      </c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249">
        <v>14133</v>
      </c>
      <c r="C13" s="55" t="s">
        <v>129</v>
      </c>
      <c r="D13" s="194" t="s">
        <v>130</v>
      </c>
      <c r="E13" s="171" t="s">
        <v>101</v>
      </c>
      <c r="F13" s="163">
        <v>1100</v>
      </c>
      <c r="G13" s="110" t="s">
        <v>131</v>
      </c>
      <c r="H13" s="159"/>
      <c r="I13" s="270">
        <v>100</v>
      </c>
      <c r="J13" s="251" t="str">
        <f t="shared" si="1"/>
        <v>0</v>
      </c>
      <c r="K13" s="251" t="str">
        <f t="shared" si="2"/>
        <v>0</v>
      </c>
      <c r="L13" s="121"/>
      <c r="M13" s="121"/>
      <c r="N13" s="124" t="s">
        <v>108</v>
      </c>
      <c r="O13" s="314"/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62">
        <v>14134</v>
      </c>
      <c r="C14" s="56" t="s">
        <v>132</v>
      </c>
      <c r="D14" s="195" t="s">
        <v>133</v>
      </c>
      <c r="E14" s="171" t="s">
        <v>106</v>
      </c>
      <c r="F14" s="164">
        <v>1100</v>
      </c>
      <c r="G14" s="113" t="s">
        <v>111</v>
      </c>
      <c r="H14" s="114">
        <v>75</v>
      </c>
      <c r="I14" s="263"/>
      <c r="J14" s="251" t="str">
        <f t="shared" si="1"/>
        <v>0</v>
      </c>
      <c r="K14" s="251" t="str">
        <f t="shared" si="2"/>
        <v>0</v>
      </c>
      <c r="L14" s="121"/>
      <c r="M14" s="121"/>
      <c r="N14" s="124" t="s">
        <v>108</v>
      </c>
      <c r="O14" s="314"/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249">
        <v>14135</v>
      </c>
      <c r="C15" s="56" t="s">
        <v>134</v>
      </c>
      <c r="D15" s="195" t="s">
        <v>135</v>
      </c>
      <c r="E15" s="171" t="s">
        <v>106</v>
      </c>
      <c r="F15" s="164">
        <v>1100</v>
      </c>
      <c r="G15" s="113" t="s">
        <v>102</v>
      </c>
      <c r="H15" s="114"/>
      <c r="I15" s="250"/>
      <c r="J15" s="251" t="str">
        <f t="shared" si="1"/>
        <v>0</v>
      </c>
      <c r="K15" s="251">
        <v>125</v>
      </c>
      <c r="L15" s="121"/>
      <c r="M15" s="121"/>
      <c r="N15" s="124" t="s">
        <v>108</v>
      </c>
      <c r="O15" s="314" t="s">
        <v>136</v>
      </c>
      <c r="P15" s="315"/>
      <c r="Q15" s="316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262">
        <v>14136</v>
      </c>
      <c r="C16" s="56" t="s">
        <v>137</v>
      </c>
      <c r="D16" s="195" t="s">
        <v>138</v>
      </c>
      <c r="E16" s="171" t="s">
        <v>106</v>
      </c>
      <c r="F16" s="164">
        <v>1115</v>
      </c>
      <c r="G16" s="113" t="s">
        <v>111</v>
      </c>
      <c r="H16" s="114"/>
      <c r="I16" s="250">
        <v>75</v>
      </c>
      <c r="J16" s="251" t="str">
        <f t="shared" si="1"/>
        <v>0</v>
      </c>
      <c r="K16" s="251" t="str">
        <f t="shared" si="2"/>
        <v>0</v>
      </c>
      <c r="L16" s="121"/>
      <c r="M16" s="121"/>
      <c r="N16" s="124" t="s">
        <v>108</v>
      </c>
      <c r="O16" s="314"/>
      <c r="P16" s="315"/>
      <c r="Q16" s="316"/>
      <c r="R16" s="73">
        <f>H32/U16</f>
        <v>0.54545454545454541</v>
      </c>
      <c r="S16" s="74">
        <f>H32/(U16-U5)</f>
        <v>0.71186440677966101</v>
      </c>
      <c r="T16" s="74">
        <f>C32/U16</f>
        <v>43.116883116883116</v>
      </c>
      <c r="U16" s="74">
        <f>SUM(U5:U15)</f>
        <v>38.5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249">
        <v>14137</v>
      </c>
      <c r="C17" s="17" t="s">
        <v>139</v>
      </c>
      <c r="D17" s="193" t="s">
        <v>140</v>
      </c>
      <c r="E17" s="171" t="s">
        <v>101</v>
      </c>
      <c r="F17" s="57">
        <v>1145</v>
      </c>
      <c r="G17" s="112" t="s">
        <v>141</v>
      </c>
      <c r="H17" s="114"/>
      <c r="I17" s="250">
        <v>65</v>
      </c>
      <c r="J17" s="251" t="str">
        <f t="shared" si="1"/>
        <v>0</v>
      </c>
      <c r="K17" s="251" t="str">
        <f t="shared" si="2"/>
        <v>0</v>
      </c>
      <c r="L17" s="121"/>
      <c r="M17" s="121"/>
      <c r="N17" s="124" t="s">
        <v>108</v>
      </c>
      <c r="O17" s="314"/>
      <c r="P17" s="315"/>
      <c r="Q17" s="316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262">
        <v>14138</v>
      </c>
      <c r="C18" s="17" t="s">
        <v>142</v>
      </c>
      <c r="D18" s="193" t="s">
        <v>143</v>
      </c>
      <c r="E18" s="171" t="s">
        <v>106</v>
      </c>
      <c r="F18" s="57">
        <v>1145</v>
      </c>
      <c r="G18" s="19" t="s">
        <v>115</v>
      </c>
      <c r="H18" s="114"/>
      <c r="I18" s="250">
        <v>55</v>
      </c>
      <c r="J18" s="251" t="str">
        <f t="shared" si="1"/>
        <v>0</v>
      </c>
      <c r="K18" s="251" t="str">
        <f t="shared" si="2"/>
        <v>0</v>
      </c>
      <c r="L18" s="121"/>
      <c r="M18" s="121"/>
      <c r="N18" s="124" t="s">
        <v>108</v>
      </c>
      <c r="O18" s="314"/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249">
        <v>14139</v>
      </c>
      <c r="C19" s="17" t="s">
        <v>144</v>
      </c>
      <c r="D19" s="193" t="s">
        <v>145</v>
      </c>
      <c r="E19" s="171" t="s">
        <v>106</v>
      </c>
      <c r="F19" s="57">
        <v>1205</v>
      </c>
      <c r="G19" s="112" t="s">
        <v>131</v>
      </c>
      <c r="H19" s="114">
        <v>115</v>
      </c>
      <c r="I19" s="250"/>
      <c r="J19" s="251" t="str">
        <f t="shared" si="1"/>
        <v>0</v>
      </c>
      <c r="K19" s="251" t="str">
        <f t="shared" si="2"/>
        <v>0</v>
      </c>
      <c r="L19" s="121"/>
      <c r="M19" s="121"/>
      <c r="N19" s="124" t="s">
        <v>98</v>
      </c>
      <c r="O19" s="314" t="s">
        <v>146</v>
      </c>
      <c r="P19" s="315"/>
      <c r="Q19" s="315"/>
      <c r="R19" s="84" t="s">
        <v>45</v>
      </c>
      <c r="S19" s="85">
        <f>COUNT(L5:M29,L37:M61,L69:M93)</f>
        <v>2</v>
      </c>
      <c r="T19" s="107">
        <f>SUM(L5:M29,L37:M61,L69:M93)</f>
        <v>775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262">
        <v>14140</v>
      </c>
      <c r="C20" s="17" t="s">
        <v>147</v>
      </c>
      <c r="D20" s="193" t="s">
        <v>148</v>
      </c>
      <c r="E20" s="171" t="s">
        <v>106</v>
      </c>
      <c r="F20" s="57">
        <v>1325</v>
      </c>
      <c r="G20" s="112" t="s">
        <v>111</v>
      </c>
      <c r="H20" s="114"/>
      <c r="I20" s="209">
        <v>120</v>
      </c>
      <c r="J20" s="251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22" t="s">
        <v>149</v>
      </c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249">
        <v>14141</v>
      </c>
      <c r="C21" s="17" t="s">
        <v>150</v>
      </c>
      <c r="D21" s="193" t="s">
        <v>151</v>
      </c>
      <c r="E21" s="171" t="s">
        <v>101</v>
      </c>
      <c r="F21" s="57">
        <v>1330</v>
      </c>
      <c r="G21" s="19" t="s">
        <v>102</v>
      </c>
      <c r="H21" s="114"/>
      <c r="I21" s="250"/>
      <c r="J21" s="251" t="str">
        <f t="shared" si="1"/>
        <v>0</v>
      </c>
      <c r="K21" s="251">
        <v>79</v>
      </c>
      <c r="L21" s="121"/>
      <c r="M21" s="121"/>
      <c r="N21" s="124" t="s">
        <v>108</v>
      </c>
      <c r="O21" s="314" t="s">
        <v>152</v>
      </c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262">
        <v>14142</v>
      </c>
      <c r="C22" s="21" t="s">
        <v>153</v>
      </c>
      <c r="D22" s="196" t="s">
        <v>154</v>
      </c>
      <c r="E22" s="171" t="s">
        <v>101</v>
      </c>
      <c r="F22" s="165">
        <v>1400</v>
      </c>
      <c r="G22" s="204" t="s">
        <v>141</v>
      </c>
      <c r="H22" s="80"/>
      <c r="I22" s="271">
        <v>65</v>
      </c>
      <c r="J22" s="251" t="str">
        <f t="shared" si="1"/>
        <v>0</v>
      </c>
      <c r="K22" s="251" t="str">
        <f t="shared" si="2"/>
        <v>0</v>
      </c>
      <c r="L22" s="60"/>
      <c r="M22" s="60"/>
      <c r="N22" s="124" t="s">
        <v>108</v>
      </c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249">
        <v>14143</v>
      </c>
      <c r="C23" s="126" t="s">
        <v>155</v>
      </c>
      <c r="D23" s="197" t="s">
        <v>156</v>
      </c>
      <c r="E23" s="171" t="s">
        <v>106</v>
      </c>
      <c r="F23" s="166">
        <v>1415</v>
      </c>
      <c r="G23" s="155" t="s">
        <v>115</v>
      </c>
      <c r="H23" s="80"/>
      <c r="I23" s="271">
        <v>55</v>
      </c>
      <c r="J23" s="251" t="str">
        <f t="shared" si="1"/>
        <v>0</v>
      </c>
      <c r="K23" s="251" t="str">
        <f t="shared" si="2"/>
        <v>0</v>
      </c>
      <c r="L23" s="117"/>
      <c r="M23" s="117"/>
      <c r="N23" s="117" t="s">
        <v>98</v>
      </c>
      <c r="O23" s="153"/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262">
        <v>14144</v>
      </c>
      <c r="C24" s="21" t="s">
        <v>157</v>
      </c>
      <c r="D24" s="196" t="s">
        <v>158</v>
      </c>
      <c r="E24" s="171" t="s">
        <v>106</v>
      </c>
      <c r="F24" s="165">
        <v>1420</v>
      </c>
      <c r="G24" s="204" t="s">
        <v>159</v>
      </c>
      <c r="H24" s="80"/>
      <c r="I24" s="271"/>
      <c r="J24" s="251" t="str">
        <f t="shared" si="1"/>
        <v>0</v>
      </c>
      <c r="K24" s="251">
        <v>63</v>
      </c>
      <c r="L24" s="60"/>
      <c r="M24" s="60"/>
      <c r="N24" s="124" t="s">
        <v>98</v>
      </c>
      <c r="O24" s="314" t="s">
        <v>160</v>
      </c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249">
        <v>14145</v>
      </c>
      <c r="C25" s="122" t="s">
        <v>161</v>
      </c>
      <c r="D25" s="198" t="s">
        <v>162</v>
      </c>
      <c r="E25" s="171" t="s">
        <v>101</v>
      </c>
      <c r="F25" s="165">
        <v>1500</v>
      </c>
      <c r="G25" s="204" t="s">
        <v>111</v>
      </c>
      <c r="H25" s="81"/>
      <c r="I25" s="81">
        <v>95</v>
      </c>
      <c r="J25" s="251" t="str">
        <f t="shared" si="1"/>
        <v>0</v>
      </c>
      <c r="K25" s="251" t="str">
        <f t="shared" si="2"/>
        <v>0</v>
      </c>
      <c r="L25" s="60"/>
      <c r="M25" s="60"/>
      <c r="N25" s="124" t="s">
        <v>119</v>
      </c>
      <c r="O25" s="314"/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1660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262"/>
      <c r="C26" s="26"/>
      <c r="D26" s="199"/>
      <c r="E26" s="171"/>
      <c r="F26" s="167"/>
      <c r="G26" s="19"/>
      <c r="H26" s="80"/>
      <c r="I26" s="271"/>
      <c r="J26" s="251" t="str">
        <f t="shared" si="1"/>
        <v>0</v>
      </c>
      <c r="K26" s="251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249"/>
      <c r="C27" s="26"/>
      <c r="D27" s="199"/>
      <c r="E27" s="171"/>
      <c r="F27" s="167"/>
      <c r="G27" s="19"/>
      <c r="H27" s="80"/>
      <c r="I27" s="271"/>
      <c r="J27" s="251" t="str">
        <f t="shared" si="1"/>
        <v>0</v>
      </c>
      <c r="K27" s="251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262"/>
      <c r="C28" s="26"/>
      <c r="D28" s="199"/>
      <c r="E28" s="171"/>
      <c r="F28" s="167"/>
      <c r="G28" s="19"/>
      <c r="H28" s="80"/>
      <c r="I28" s="271"/>
      <c r="J28" s="251" t="str">
        <f t="shared" si="1"/>
        <v>0</v>
      </c>
      <c r="K28" s="251" t="str">
        <f t="shared" si="2"/>
        <v>0</v>
      </c>
      <c r="L28" s="60"/>
      <c r="M28" s="60"/>
      <c r="N28" s="124"/>
      <c r="O28" s="314"/>
      <c r="P28" s="315"/>
      <c r="Q28" s="316"/>
      <c r="R28" s="326"/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249"/>
      <c r="C29" s="33"/>
      <c r="D29" s="200"/>
      <c r="E29" s="172"/>
      <c r="F29" s="167"/>
      <c r="G29" s="19"/>
      <c r="H29" s="80"/>
      <c r="I29" s="80"/>
      <c r="J29" s="251" t="str">
        <f t="shared" si="1"/>
        <v>0</v>
      </c>
      <c r="K29" s="251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285</v>
      </c>
      <c r="I30" s="96">
        <f>SUM(I5:I29)</f>
        <v>950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425</v>
      </c>
      <c r="L30" s="97">
        <f t="shared" si="3"/>
        <v>300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285</v>
      </c>
      <c r="I31" s="94">
        <f t="shared" si="4"/>
        <v>950</v>
      </c>
      <c r="J31" s="94">
        <f t="shared" si="4"/>
        <v>0</v>
      </c>
      <c r="K31" s="94">
        <f>K30+K62+K94</f>
        <v>425</v>
      </c>
      <c r="L31" s="88">
        <f>L30+L62+L94</f>
        <v>300</v>
      </c>
      <c r="M31" s="88">
        <f>M30+M62+M94</f>
        <v>475</v>
      </c>
      <c r="N31" s="207">
        <f>COUNT(H5:H29,H37:H61,H69:H93)</f>
        <v>3</v>
      </c>
      <c r="O31" s="95">
        <f>COUNT(I5:I29,I37:I61,I69:I93)</f>
        <v>12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585</v>
      </c>
      <c r="T31" s="341">
        <f>H31+I31+L31+M31</f>
        <v>2010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1660</v>
      </c>
      <c r="D32" s="186"/>
      <c r="E32" s="98"/>
      <c r="F32" s="331" t="s">
        <v>53</v>
      </c>
      <c r="G32" s="331"/>
      <c r="H32" s="100">
        <f>COUNT(B5:B29,B37:B61,B69:B93)</f>
        <v>21</v>
      </c>
      <c r="I32" s="332" t="s">
        <v>54</v>
      </c>
      <c r="J32" s="332"/>
      <c r="K32" s="99">
        <f>C32/H32</f>
        <v>79.047619047619051</v>
      </c>
      <c r="L32" s="208"/>
      <c r="M32" s="208"/>
      <c r="N32" s="208">
        <f>H31/C32</f>
        <v>0.1716867469879518</v>
      </c>
      <c r="O32" s="208">
        <f>I31/C32</f>
        <v>0.57228915662650603</v>
      </c>
      <c r="P32" s="208">
        <f>K31/C32</f>
        <v>0.25602409638554219</v>
      </c>
      <c r="Q32" s="101">
        <f>J31/C32</f>
        <v>0</v>
      </c>
      <c r="R32" s="90" t="s">
        <v>82</v>
      </c>
      <c r="S32" s="203">
        <f>I31+M31</f>
        <v>1425</v>
      </c>
      <c r="T32" s="343"/>
      <c r="U32" s="344"/>
      <c r="V32" s="39"/>
      <c r="W32" s="39"/>
      <c r="X32" s="48" t="s">
        <v>27</v>
      </c>
      <c r="Y32" s="48"/>
      <c r="Z32" s="47">
        <f>I31</f>
        <v>950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-1795</v>
      </c>
      <c r="AG33" s="35"/>
    </row>
    <row r="34" spans="1:33" ht="17.25" thickBot="1" x14ac:dyDescent="0.35">
      <c r="A34" s="296">
        <f>A2</f>
        <v>44991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5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250"/>
      <c r="J37" s="251" t="str">
        <f>IF(G37="RSL","55","0")</f>
        <v>0</v>
      </c>
      <c r="K37" s="251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250"/>
      <c r="J38" s="251" t="str">
        <f t="shared" ref="J38:J61" si="6">IF(G38="RSL","55","0")</f>
        <v>0</v>
      </c>
      <c r="K38" s="251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250"/>
      <c r="J39" s="251" t="str">
        <f t="shared" si="6"/>
        <v>0</v>
      </c>
      <c r="K39" s="251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251" t="str">
        <f t="shared" si="6"/>
        <v>0</v>
      </c>
      <c r="K40" s="251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251" t="str">
        <f t="shared" si="6"/>
        <v>0</v>
      </c>
      <c r="K41" s="251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263"/>
      <c r="J42" s="251" t="str">
        <f t="shared" si="6"/>
        <v>0</v>
      </c>
      <c r="K42" s="251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250"/>
      <c r="J43" s="251" t="str">
        <f t="shared" si="6"/>
        <v>0</v>
      </c>
      <c r="K43" s="251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263"/>
      <c r="J44" s="251" t="str">
        <f t="shared" si="6"/>
        <v>0</v>
      </c>
      <c r="K44" s="251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263"/>
      <c r="J45" s="251" t="str">
        <f t="shared" si="6"/>
        <v>0</v>
      </c>
      <c r="K45" s="251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250"/>
      <c r="J46" s="251" t="str">
        <f t="shared" si="6"/>
        <v>0</v>
      </c>
      <c r="K46" s="251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250"/>
      <c r="J47" s="251" t="str">
        <f t="shared" si="6"/>
        <v>0</v>
      </c>
      <c r="K47" s="251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250"/>
      <c r="J48" s="251" t="str">
        <f t="shared" si="6"/>
        <v>0</v>
      </c>
      <c r="K48" s="251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250"/>
      <c r="J49" s="251" t="str">
        <f t="shared" si="6"/>
        <v>0</v>
      </c>
      <c r="K49" s="251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250"/>
      <c r="J50" s="251" t="str">
        <f t="shared" si="6"/>
        <v>0</v>
      </c>
      <c r="K50" s="251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250"/>
      <c r="J51" s="251" t="str">
        <f t="shared" si="6"/>
        <v>0</v>
      </c>
      <c r="K51" s="251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250"/>
      <c r="J52" s="251" t="str">
        <f t="shared" si="6"/>
        <v>0</v>
      </c>
      <c r="K52" s="251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271"/>
      <c r="J53" s="251" t="str">
        <f t="shared" si="6"/>
        <v>0</v>
      </c>
      <c r="K53" s="251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271"/>
      <c r="J54" s="251" t="str">
        <f t="shared" si="6"/>
        <v>0</v>
      </c>
      <c r="K54" s="251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271"/>
      <c r="J55" s="251" t="str">
        <f t="shared" si="6"/>
        <v>0</v>
      </c>
      <c r="K55" s="251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251" t="str">
        <f t="shared" si="6"/>
        <v>0</v>
      </c>
      <c r="K56" s="251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271"/>
      <c r="J57" s="251" t="str">
        <f t="shared" si="6"/>
        <v>0</v>
      </c>
      <c r="K57" s="251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271"/>
      <c r="J58" s="251" t="str">
        <f t="shared" si="6"/>
        <v>0</v>
      </c>
      <c r="K58" s="251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271"/>
      <c r="J59" s="251" t="str">
        <f t="shared" si="6"/>
        <v>0</v>
      </c>
      <c r="K59" s="251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251" t="str">
        <f t="shared" si="6"/>
        <v>0</v>
      </c>
      <c r="K60" s="251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251" t="str">
        <f t="shared" si="6"/>
        <v>0</v>
      </c>
      <c r="K61" s="251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44991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5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250"/>
      <c r="J69" s="251" t="str">
        <f>IF(G69="RSL","55","0")</f>
        <v>0</v>
      </c>
      <c r="K69" s="251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250"/>
      <c r="J70" s="251" t="str">
        <f t="shared" ref="J70:J93" si="10">IF(G70="RSL","55","0")</f>
        <v>0</v>
      </c>
      <c r="K70" s="251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250"/>
      <c r="J71" s="251" t="str">
        <f t="shared" si="10"/>
        <v>0</v>
      </c>
      <c r="K71" s="251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251" t="str">
        <f t="shared" si="10"/>
        <v>0</v>
      </c>
      <c r="K72" s="251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251" t="str">
        <f t="shared" si="10"/>
        <v>0</v>
      </c>
      <c r="K73" s="251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263"/>
      <c r="J74" s="251" t="str">
        <f t="shared" si="10"/>
        <v>0</v>
      </c>
      <c r="K74" s="251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250"/>
      <c r="J75" s="251" t="str">
        <f t="shared" si="10"/>
        <v>0</v>
      </c>
      <c r="K75" s="251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263"/>
      <c r="J76" s="251" t="str">
        <f t="shared" si="10"/>
        <v>0</v>
      </c>
      <c r="K76" s="251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263"/>
      <c r="J77" s="251" t="str">
        <f t="shared" si="10"/>
        <v>0</v>
      </c>
      <c r="K77" s="251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250"/>
      <c r="J78" s="251" t="str">
        <f t="shared" si="10"/>
        <v>0</v>
      </c>
      <c r="K78" s="251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250"/>
      <c r="J79" s="251" t="str">
        <f t="shared" si="10"/>
        <v>0</v>
      </c>
      <c r="K79" s="251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250"/>
      <c r="J80" s="251" t="str">
        <f t="shared" si="10"/>
        <v>0</v>
      </c>
      <c r="K80" s="251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250"/>
      <c r="J81" s="251" t="str">
        <f t="shared" si="10"/>
        <v>0</v>
      </c>
      <c r="K81" s="251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250"/>
      <c r="J82" s="251" t="str">
        <f t="shared" si="10"/>
        <v>0</v>
      </c>
      <c r="K82" s="251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250"/>
      <c r="J83" s="251" t="str">
        <f t="shared" si="10"/>
        <v>0</v>
      </c>
      <c r="K83" s="251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250"/>
      <c r="J84" s="251" t="str">
        <f t="shared" si="10"/>
        <v>0</v>
      </c>
      <c r="K84" s="251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271"/>
      <c r="J85" s="251" t="str">
        <f t="shared" si="10"/>
        <v>0</v>
      </c>
      <c r="K85" s="251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271"/>
      <c r="J86" s="251" t="str">
        <f t="shared" si="10"/>
        <v>0</v>
      </c>
      <c r="K86" s="251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271"/>
      <c r="J87" s="251" t="str">
        <f t="shared" si="10"/>
        <v>0</v>
      </c>
      <c r="K87" s="251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251" t="str">
        <f t="shared" si="10"/>
        <v>0</v>
      </c>
      <c r="K88" s="251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271"/>
      <c r="J89" s="251" t="str">
        <f t="shared" si="10"/>
        <v>0</v>
      </c>
      <c r="K89" s="251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271"/>
      <c r="J90" s="251" t="str">
        <f t="shared" si="10"/>
        <v>0</v>
      </c>
      <c r="K90" s="251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271"/>
      <c r="J91" s="251" t="str">
        <f t="shared" si="10"/>
        <v>0</v>
      </c>
      <c r="K91" s="251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251" t="str">
        <f t="shared" si="10"/>
        <v>0</v>
      </c>
      <c r="K92" s="251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251" t="str">
        <f t="shared" si="10"/>
        <v>0</v>
      </c>
      <c r="K93" s="251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1">
    <dataValidation type="list" allowBlank="1" showInputMessage="1" showErrorMessage="1" sqref="X7 W5 E69:E93 E37:E61 E5:E29" xr:uid="{54C645CA-AC65-46D7-9211-7DBCC0A372D2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D18" sqref="D1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1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8.37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45110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4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14146</v>
      </c>
      <c r="C5" s="59" t="s">
        <v>163</v>
      </c>
      <c r="D5" s="190" t="s">
        <v>164</v>
      </c>
      <c r="E5" s="171" t="s">
        <v>106</v>
      </c>
      <c r="F5" s="160">
        <v>915</v>
      </c>
      <c r="G5" s="109" t="s">
        <v>115</v>
      </c>
      <c r="H5" s="82"/>
      <c r="I5" s="115">
        <v>55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08"/>
      <c r="P5" s="309"/>
      <c r="Q5" s="310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14147</v>
      </c>
      <c r="C6" s="58" t="s">
        <v>165</v>
      </c>
      <c r="D6" s="190" t="s">
        <v>166</v>
      </c>
      <c r="E6" s="171" t="s">
        <v>101</v>
      </c>
      <c r="F6" s="161">
        <v>950</v>
      </c>
      <c r="G6" s="109" t="s">
        <v>102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98</v>
      </c>
      <c r="O6" s="358" t="s">
        <v>167</v>
      </c>
      <c r="P6" s="359"/>
      <c r="Q6" s="360"/>
      <c r="R6" s="122" t="s">
        <v>116</v>
      </c>
      <c r="S6" s="30">
        <v>0.35416666666666669</v>
      </c>
      <c r="T6" s="31">
        <v>0.48958333333333331</v>
      </c>
      <c r="U6" s="83">
        <f t="shared" si="0"/>
        <v>3.2499999999999991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14148</v>
      </c>
      <c r="C7" s="58" t="s">
        <v>168</v>
      </c>
      <c r="D7" s="190" t="s">
        <v>169</v>
      </c>
      <c r="E7" s="171" t="s">
        <v>106</v>
      </c>
      <c r="F7" s="161">
        <v>1000</v>
      </c>
      <c r="G7" s="109" t="s">
        <v>111</v>
      </c>
      <c r="H7" s="82">
        <v>75</v>
      </c>
      <c r="I7" s="115"/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98</v>
      </c>
      <c r="O7" s="314"/>
      <c r="P7" s="315"/>
      <c r="Q7" s="316"/>
      <c r="R7" s="124"/>
      <c r="S7" s="30">
        <v>0.53125</v>
      </c>
      <c r="T7" s="31">
        <v>0.625</v>
      </c>
      <c r="U7" s="83">
        <f t="shared" si="0"/>
        <v>2.25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14149</v>
      </c>
      <c r="C8" s="26" t="s">
        <v>170</v>
      </c>
      <c r="D8" s="190" t="s">
        <v>171</v>
      </c>
      <c r="E8" s="171" t="s">
        <v>106</v>
      </c>
      <c r="F8" s="161">
        <v>1140</v>
      </c>
      <c r="G8" s="109" t="s">
        <v>111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17"/>
      <c r="P8" s="318"/>
      <c r="Q8" s="319"/>
      <c r="R8" s="25" t="s">
        <v>112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14150</v>
      </c>
      <c r="C9" s="54" t="s">
        <v>172</v>
      </c>
      <c r="D9" s="191" t="s">
        <v>173</v>
      </c>
      <c r="E9" s="171" t="s">
        <v>101</v>
      </c>
      <c r="F9" s="162">
        <v>1145</v>
      </c>
      <c r="G9" s="110" t="s">
        <v>159</v>
      </c>
      <c r="H9" s="82"/>
      <c r="I9" s="82"/>
      <c r="J9" s="120" t="str">
        <f t="shared" si="1"/>
        <v>0</v>
      </c>
      <c r="K9" s="120">
        <v>62.5</v>
      </c>
      <c r="L9" s="121"/>
      <c r="M9" s="121"/>
      <c r="N9" s="124" t="s">
        <v>98</v>
      </c>
      <c r="O9" s="317" t="s">
        <v>174</v>
      </c>
      <c r="P9" s="318"/>
      <c r="Q9" s="319"/>
      <c r="R9" s="25" t="s">
        <v>119</v>
      </c>
      <c r="S9" s="30">
        <v>0.4375</v>
      </c>
      <c r="T9" s="31">
        <v>0.70833333333333337</v>
      </c>
      <c r="U9" s="83">
        <f t="shared" si="0"/>
        <v>6.5000000000000009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14151</v>
      </c>
      <c r="C10" s="27" t="s">
        <v>175</v>
      </c>
      <c r="D10" s="192" t="s">
        <v>176</v>
      </c>
      <c r="E10" s="171" t="s">
        <v>101</v>
      </c>
      <c r="F10" s="163">
        <v>1200</v>
      </c>
      <c r="G10" s="111" t="s">
        <v>115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04"/>
      <c r="P10" s="305"/>
      <c r="Q10" s="306"/>
      <c r="R10" s="25" t="s">
        <v>195</v>
      </c>
      <c r="S10" s="30">
        <v>0.625</v>
      </c>
      <c r="T10" s="31">
        <v>0.70833333333333337</v>
      </c>
      <c r="U10" s="83">
        <f t="shared" si="0"/>
        <v>2.0000000000000009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14152</v>
      </c>
      <c r="C11" s="17" t="s">
        <v>177</v>
      </c>
      <c r="D11" s="193" t="s">
        <v>178</v>
      </c>
      <c r="E11" s="171" t="s">
        <v>101</v>
      </c>
      <c r="F11" s="57">
        <v>1200</v>
      </c>
      <c r="G11" s="112" t="s">
        <v>102</v>
      </c>
      <c r="H11" s="114"/>
      <c r="I11" s="115"/>
      <c r="J11" s="120" t="str">
        <f t="shared" si="1"/>
        <v>0</v>
      </c>
      <c r="K11" s="120">
        <v>79.16</v>
      </c>
      <c r="L11" s="121"/>
      <c r="M11" s="121"/>
      <c r="N11" s="124" t="s">
        <v>98</v>
      </c>
      <c r="O11" s="314" t="s">
        <v>179</v>
      </c>
      <c r="P11" s="315"/>
      <c r="Q11" s="316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14153</v>
      </c>
      <c r="C12" s="55" t="s">
        <v>180</v>
      </c>
      <c r="D12" s="194" t="s">
        <v>181</v>
      </c>
      <c r="E12" s="171" t="s">
        <v>106</v>
      </c>
      <c r="F12" s="163">
        <v>1235</v>
      </c>
      <c r="G12" s="110" t="s">
        <v>182</v>
      </c>
      <c r="H12" s="114"/>
      <c r="I12" s="116">
        <v>200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4"/>
      <c r="P12" s="315"/>
      <c r="Q12" s="31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14154</v>
      </c>
      <c r="C13" s="55" t="s">
        <v>183</v>
      </c>
      <c r="D13" s="194" t="s">
        <v>184</v>
      </c>
      <c r="E13" s="171" t="s">
        <v>106</v>
      </c>
      <c r="F13" s="163">
        <v>1240</v>
      </c>
      <c r="G13" s="110" t="s">
        <v>102</v>
      </c>
      <c r="H13" s="159"/>
      <c r="I13" s="158"/>
      <c r="J13" s="120" t="str">
        <f t="shared" si="1"/>
        <v>0</v>
      </c>
      <c r="K13" s="120">
        <v>79.16</v>
      </c>
      <c r="L13" s="121"/>
      <c r="M13" s="121"/>
      <c r="N13" s="124" t="s">
        <v>98</v>
      </c>
      <c r="O13" s="314" t="s">
        <v>185</v>
      </c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281">
        <v>10</v>
      </c>
      <c r="B14" s="287">
        <v>14155</v>
      </c>
      <c r="C14" s="290" t="s">
        <v>186</v>
      </c>
      <c r="D14" s="291" t="s">
        <v>187</v>
      </c>
      <c r="E14" s="285" t="s">
        <v>106</v>
      </c>
      <c r="F14" s="292">
        <v>1245</v>
      </c>
      <c r="G14" s="282" t="s">
        <v>111</v>
      </c>
      <c r="H14" s="288"/>
      <c r="I14" s="288">
        <v>75</v>
      </c>
      <c r="J14" s="289" t="str">
        <f t="shared" si="1"/>
        <v>0</v>
      </c>
      <c r="K14" s="289" t="str">
        <f t="shared" si="2"/>
        <v>0</v>
      </c>
      <c r="L14" s="293"/>
      <c r="M14" s="293"/>
      <c r="N14" s="283" t="s">
        <v>98</v>
      </c>
      <c r="O14" s="391" t="s">
        <v>188</v>
      </c>
      <c r="P14" s="392"/>
      <c r="Q14" s="39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14156</v>
      </c>
      <c r="C15" s="56" t="s">
        <v>189</v>
      </c>
      <c r="D15" s="195" t="s">
        <v>190</v>
      </c>
      <c r="E15" s="171" t="s">
        <v>101</v>
      </c>
      <c r="F15" s="164">
        <v>1300</v>
      </c>
      <c r="G15" s="113" t="s">
        <v>102</v>
      </c>
      <c r="H15" s="114"/>
      <c r="I15" s="115"/>
      <c r="J15" s="120" t="str">
        <f t="shared" si="1"/>
        <v>0</v>
      </c>
      <c r="K15" s="120">
        <v>125</v>
      </c>
      <c r="L15" s="121"/>
      <c r="M15" s="121"/>
      <c r="N15" s="124" t="s">
        <v>98</v>
      </c>
      <c r="O15" s="314" t="s">
        <v>191</v>
      </c>
      <c r="P15" s="315"/>
      <c r="Q15" s="316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14157</v>
      </c>
      <c r="C16" s="56" t="s">
        <v>192</v>
      </c>
      <c r="D16" s="195" t="s">
        <v>193</v>
      </c>
      <c r="E16" s="171" t="s">
        <v>106</v>
      </c>
      <c r="F16" s="164">
        <v>1300</v>
      </c>
      <c r="G16" s="113" t="s">
        <v>111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4"/>
      <c r="P16" s="315"/>
      <c r="Q16" s="316"/>
      <c r="R16" s="73">
        <f>H32/U16</f>
        <v>0.5161290322580645</v>
      </c>
      <c r="S16" s="74">
        <f>H32/(U16-U5)</f>
        <v>0.72727272727272729</v>
      </c>
      <c r="T16" s="74">
        <f>C32/U16</f>
        <v>45.644516129032262</v>
      </c>
      <c r="U16" s="74">
        <f>SUM(U5:U15)</f>
        <v>31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264">
        <v>13</v>
      </c>
      <c r="B17" s="258">
        <v>14158</v>
      </c>
      <c r="C17" s="265" t="s">
        <v>197</v>
      </c>
      <c r="D17" s="266" t="s">
        <v>196</v>
      </c>
      <c r="E17" s="256" t="s">
        <v>106</v>
      </c>
      <c r="F17" s="267">
        <v>1420</v>
      </c>
      <c r="G17" s="268" t="s">
        <v>124</v>
      </c>
      <c r="H17" s="269"/>
      <c r="I17" s="259"/>
      <c r="J17" s="259" t="str">
        <f t="shared" si="1"/>
        <v>0</v>
      </c>
      <c r="K17" s="259">
        <v>0</v>
      </c>
      <c r="L17" s="260"/>
      <c r="M17" s="260">
        <v>300</v>
      </c>
      <c r="N17" s="261" t="s">
        <v>98</v>
      </c>
      <c r="O17" s="336" t="s">
        <v>198</v>
      </c>
      <c r="P17" s="337"/>
      <c r="Q17" s="33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14159</v>
      </c>
      <c r="C18" s="17" t="s">
        <v>199</v>
      </c>
      <c r="D18" s="193" t="s">
        <v>200</v>
      </c>
      <c r="E18" s="171" t="s">
        <v>106</v>
      </c>
      <c r="F18" s="57">
        <v>1445</v>
      </c>
      <c r="G18" s="19" t="s">
        <v>111</v>
      </c>
      <c r="H18" s="114"/>
      <c r="I18" s="115">
        <v>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14"/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14160</v>
      </c>
      <c r="C19" s="57">
        <v>522</v>
      </c>
      <c r="D19" s="193" t="s">
        <v>194</v>
      </c>
      <c r="E19" s="171" t="s">
        <v>101</v>
      </c>
      <c r="F19" s="57">
        <v>1450</v>
      </c>
      <c r="G19" s="112" t="s">
        <v>131</v>
      </c>
      <c r="H19" s="114">
        <v>150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14"/>
      <c r="P19" s="315"/>
      <c r="Q19" s="315"/>
      <c r="R19" s="84" t="s">
        <v>45</v>
      </c>
      <c r="S19" s="85">
        <f>COUNT(L5:M29,L37:M61,L69:M93)</f>
        <v>1</v>
      </c>
      <c r="T19" s="107">
        <f>SUM(L5:M29,L37:M61,L69:M93)</f>
        <v>300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14161</v>
      </c>
      <c r="C20" s="17" t="s">
        <v>201</v>
      </c>
      <c r="D20" s="193" t="s">
        <v>202</v>
      </c>
      <c r="E20" s="171" t="s">
        <v>106</v>
      </c>
      <c r="F20" s="57">
        <v>1510</v>
      </c>
      <c r="G20" s="112" t="s">
        <v>111</v>
      </c>
      <c r="H20" s="114">
        <v>95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22"/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14"/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4"/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4"/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1414.98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4"/>
      <c r="P28" s="315"/>
      <c r="Q28" s="316"/>
      <c r="R28" s="326"/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320</v>
      </c>
      <c r="I30" s="96">
        <f>SUM(I5:I29)</f>
        <v>670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424.98</v>
      </c>
      <c r="L30" s="97">
        <f t="shared" si="3"/>
        <v>0</v>
      </c>
      <c r="M30" s="97">
        <f t="shared" si="3"/>
        <v>300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320</v>
      </c>
      <c r="I31" s="94">
        <f t="shared" si="4"/>
        <v>670</v>
      </c>
      <c r="J31" s="94">
        <f t="shared" si="4"/>
        <v>0</v>
      </c>
      <c r="K31" s="94">
        <f>K30+K62+K94</f>
        <v>424.98</v>
      </c>
      <c r="L31" s="88">
        <f>L30+L62+L94</f>
        <v>0</v>
      </c>
      <c r="M31" s="88">
        <f>M30+M62+M94</f>
        <v>300</v>
      </c>
      <c r="N31" s="207">
        <f>COUNT(H5:H29,H37:H61,H69:H93)</f>
        <v>3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320</v>
      </c>
      <c r="T31" s="341">
        <f>H31+I31+L31+M31</f>
        <v>1290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1414.98</v>
      </c>
      <c r="D32" s="186"/>
      <c r="E32" s="98"/>
      <c r="F32" s="331" t="s">
        <v>53</v>
      </c>
      <c r="G32" s="331"/>
      <c r="H32" s="100">
        <f>COUNT(B5:B29,B37:B61,B69:B93)</f>
        <v>16</v>
      </c>
      <c r="I32" s="332" t="s">
        <v>54</v>
      </c>
      <c r="J32" s="332"/>
      <c r="K32" s="99">
        <f>C32/H32</f>
        <v>88.436250000000001</v>
      </c>
      <c r="L32" s="208"/>
      <c r="M32" s="208"/>
      <c r="N32" s="208">
        <f>H31/C32</f>
        <v>0.22615160638312909</v>
      </c>
      <c r="O32" s="208">
        <f>I31/C32</f>
        <v>0.47350492586467652</v>
      </c>
      <c r="P32" s="208">
        <f>K31/C32</f>
        <v>0.30034346775219439</v>
      </c>
      <c r="Q32" s="101">
        <f>J31/C32</f>
        <v>0</v>
      </c>
      <c r="R32" s="90" t="s">
        <v>82</v>
      </c>
      <c r="S32" s="203">
        <f>I31+M31</f>
        <v>970</v>
      </c>
      <c r="T32" s="343"/>
      <c r="U32" s="344"/>
      <c r="V32" s="39"/>
      <c r="W32" s="39"/>
      <c r="X32" s="48" t="s">
        <v>27</v>
      </c>
      <c r="Y32" s="48"/>
      <c r="Z32" s="47">
        <f>I31</f>
        <v>670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-2075</v>
      </c>
      <c r="AG33" s="35"/>
    </row>
    <row r="34" spans="1:33" ht="17.25" thickBot="1" x14ac:dyDescent="0.35">
      <c r="A34" s="296">
        <f>A2</f>
        <v>45110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4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45110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4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tabSelected="1" zoomScaleNormal="100" zoomScaleSheetLayoutView="77" workbookViewId="0">
      <selection activeCell="O7" sqref="O7:Q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9.25" style="14" customWidth="1"/>
    <col min="4" max="4" width="11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8.12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44993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5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14162</v>
      </c>
      <c r="C5" s="59" t="s">
        <v>205</v>
      </c>
      <c r="D5" s="190" t="s">
        <v>206</v>
      </c>
      <c r="E5" s="171" t="s">
        <v>101</v>
      </c>
      <c r="F5" s="160">
        <v>800</v>
      </c>
      <c r="G5" s="109" t="s">
        <v>159</v>
      </c>
      <c r="H5" s="82"/>
      <c r="I5" s="115"/>
      <c r="J5" s="120" t="str">
        <f>IF(G5="RSL","55","0")</f>
        <v>0</v>
      </c>
      <c r="K5" s="120">
        <v>125</v>
      </c>
      <c r="L5" s="121"/>
      <c r="M5" s="121"/>
      <c r="N5" s="124" t="s">
        <v>98</v>
      </c>
      <c r="O5" s="308" t="s">
        <v>207</v>
      </c>
      <c r="P5" s="309"/>
      <c r="Q5" s="310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14163</v>
      </c>
      <c r="C6" s="58" t="s">
        <v>208</v>
      </c>
      <c r="D6" s="190" t="s">
        <v>209</v>
      </c>
      <c r="E6" s="171" t="s">
        <v>106</v>
      </c>
      <c r="F6" s="161">
        <v>915</v>
      </c>
      <c r="G6" s="109" t="s">
        <v>111</v>
      </c>
      <c r="H6" s="82">
        <v>70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58" t="s">
        <v>146</v>
      </c>
      <c r="P6" s="359"/>
      <c r="Q6" s="360"/>
      <c r="R6" s="122" t="s">
        <v>203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252">
        <v>3</v>
      </c>
      <c r="B7" s="258">
        <v>14164</v>
      </c>
      <c r="C7" s="254" t="s">
        <v>210</v>
      </c>
      <c r="D7" s="255" t="s">
        <v>211</v>
      </c>
      <c r="E7" s="256" t="s">
        <v>106</v>
      </c>
      <c r="F7" s="257">
        <v>930</v>
      </c>
      <c r="G7" s="258" t="s">
        <v>124</v>
      </c>
      <c r="H7" s="259"/>
      <c r="I7" s="259"/>
      <c r="J7" s="259" t="str">
        <f t="shared" si="1"/>
        <v>0</v>
      </c>
      <c r="K7" s="259">
        <v>0</v>
      </c>
      <c r="L7" s="260"/>
      <c r="M7" s="260">
        <v>350</v>
      </c>
      <c r="N7" s="261" t="s">
        <v>203</v>
      </c>
      <c r="O7" s="336" t="s">
        <v>457</v>
      </c>
      <c r="P7" s="337"/>
      <c r="Q7" s="338"/>
      <c r="R7" s="124" t="s">
        <v>116</v>
      </c>
      <c r="S7" s="30">
        <v>0.35416666666666669</v>
      </c>
      <c r="T7" s="31">
        <v>0.625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52">
        <v>4</v>
      </c>
      <c r="B8" s="253">
        <v>14165</v>
      </c>
      <c r="C8" s="261" t="s">
        <v>212</v>
      </c>
      <c r="D8" s="255" t="s">
        <v>213</v>
      </c>
      <c r="E8" s="256" t="s">
        <v>101</v>
      </c>
      <c r="F8" s="257">
        <v>930</v>
      </c>
      <c r="G8" s="258" t="s">
        <v>102</v>
      </c>
      <c r="H8" s="259"/>
      <c r="I8" s="259"/>
      <c r="J8" s="259" t="str">
        <f t="shared" si="1"/>
        <v>0</v>
      </c>
      <c r="K8" s="259">
        <v>79.16</v>
      </c>
      <c r="L8" s="260"/>
      <c r="M8" s="260">
        <v>475</v>
      </c>
      <c r="N8" s="261" t="s">
        <v>98</v>
      </c>
      <c r="O8" s="336" t="s">
        <v>214</v>
      </c>
      <c r="P8" s="337"/>
      <c r="Q8" s="338"/>
      <c r="R8" s="25" t="s">
        <v>119</v>
      </c>
      <c r="S8" s="30">
        <v>0.42708333333333331</v>
      </c>
      <c r="T8" s="31">
        <v>0.70833333333333337</v>
      </c>
      <c r="U8" s="83">
        <f t="shared" si="0"/>
        <v>6.7500000000000018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14166</v>
      </c>
      <c r="C9" s="54" t="s">
        <v>215</v>
      </c>
      <c r="D9" s="191" t="s">
        <v>216</v>
      </c>
      <c r="E9" s="171" t="s">
        <v>101</v>
      </c>
      <c r="F9" s="162">
        <v>930</v>
      </c>
      <c r="G9" s="110" t="s">
        <v>111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203</v>
      </c>
      <c r="O9" s="317"/>
      <c r="P9" s="318"/>
      <c r="Q9" s="319"/>
      <c r="R9" s="25" t="s">
        <v>204</v>
      </c>
      <c r="S9" s="30">
        <v>0.41666666666666669</v>
      </c>
      <c r="T9" s="31">
        <v>0.70833333333333337</v>
      </c>
      <c r="U9" s="83">
        <f t="shared" si="0"/>
        <v>7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264">
        <v>6</v>
      </c>
      <c r="B10" s="253">
        <v>14167</v>
      </c>
      <c r="C10" s="272" t="s">
        <v>217</v>
      </c>
      <c r="D10" s="273" t="s">
        <v>218</v>
      </c>
      <c r="E10" s="256" t="s">
        <v>101</v>
      </c>
      <c r="F10" s="274">
        <v>930</v>
      </c>
      <c r="G10" s="275" t="s">
        <v>124</v>
      </c>
      <c r="H10" s="269"/>
      <c r="I10" s="269"/>
      <c r="J10" s="259" t="str">
        <f t="shared" si="1"/>
        <v>0</v>
      </c>
      <c r="K10" s="259">
        <v>0</v>
      </c>
      <c r="L10" s="260"/>
      <c r="M10" s="260">
        <v>350</v>
      </c>
      <c r="N10" s="261" t="s">
        <v>203</v>
      </c>
      <c r="O10" s="336" t="s">
        <v>219</v>
      </c>
      <c r="P10" s="337"/>
      <c r="Q10" s="338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14168</v>
      </c>
      <c r="C11" s="17" t="s">
        <v>220</v>
      </c>
      <c r="D11" s="193" t="s">
        <v>221</v>
      </c>
      <c r="E11" s="171" t="s">
        <v>101</v>
      </c>
      <c r="F11" s="57">
        <v>1030</v>
      </c>
      <c r="G11" s="112" t="s">
        <v>222</v>
      </c>
      <c r="H11" s="114"/>
      <c r="I11" s="115">
        <v>250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203</v>
      </c>
      <c r="O11" s="314"/>
      <c r="P11" s="315"/>
      <c r="Q11" s="316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14169</v>
      </c>
      <c r="C12" s="55" t="s">
        <v>223</v>
      </c>
      <c r="D12" s="194" t="s">
        <v>224</v>
      </c>
      <c r="E12" s="171" t="s">
        <v>106</v>
      </c>
      <c r="F12" s="163">
        <v>1030</v>
      </c>
      <c r="G12" s="110" t="s">
        <v>225</v>
      </c>
      <c r="H12" s="114">
        <v>295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203</v>
      </c>
      <c r="O12" s="314" t="s">
        <v>226</v>
      </c>
      <c r="P12" s="315"/>
      <c r="Q12" s="31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14170</v>
      </c>
      <c r="C13" s="55" t="s">
        <v>227</v>
      </c>
      <c r="D13" s="194" t="s">
        <v>228</v>
      </c>
      <c r="E13" s="171" t="s">
        <v>106</v>
      </c>
      <c r="F13" s="163">
        <v>1045</v>
      </c>
      <c r="G13" s="110" t="s">
        <v>102</v>
      </c>
      <c r="H13" s="159"/>
      <c r="I13" s="158"/>
      <c r="J13" s="120" t="str">
        <f t="shared" si="1"/>
        <v>0</v>
      </c>
      <c r="K13" s="120">
        <v>79.16</v>
      </c>
      <c r="L13" s="121"/>
      <c r="M13" s="121"/>
      <c r="N13" s="124" t="s">
        <v>203</v>
      </c>
      <c r="O13" s="314" t="s">
        <v>229</v>
      </c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14171</v>
      </c>
      <c r="C14" s="56" t="s">
        <v>230</v>
      </c>
      <c r="D14" s="195" t="s">
        <v>231</v>
      </c>
      <c r="E14" s="171" t="s">
        <v>106</v>
      </c>
      <c r="F14" s="164">
        <v>1045</v>
      </c>
      <c r="G14" s="113" t="s">
        <v>232</v>
      </c>
      <c r="H14" s="114">
        <v>15</v>
      </c>
      <c r="I14" s="116"/>
      <c r="J14" s="120" t="str">
        <f t="shared" si="1"/>
        <v>0</v>
      </c>
      <c r="K14" s="120">
        <v>50</v>
      </c>
      <c r="L14" s="121"/>
      <c r="M14" s="121"/>
      <c r="N14" s="124" t="s">
        <v>203</v>
      </c>
      <c r="O14" s="314" t="s">
        <v>233</v>
      </c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14172</v>
      </c>
      <c r="C15" s="56" t="s">
        <v>234</v>
      </c>
      <c r="D15" s="195" t="s">
        <v>235</v>
      </c>
      <c r="E15" s="171" t="s">
        <v>101</v>
      </c>
      <c r="F15" s="164">
        <v>1100</v>
      </c>
      <c r="G15" s="113" t="s">
        <v>102</v>
      </c>
      <c r="H15" s="114"/>
      <c r="I15" s="115"/>
      <c r="J15" s="120" t="str">
        <f t="shared" si="1"/>
        <v>0</v>
      </c>
      <c r="K15" s="120">
        <v>79.16</v>
      </c>
      <c r="L15" s="121"/>
      <c r="M15" s="121"/>
      <c r="N15" s="124" t="s">
        <v>203</v>
      </c>
      <c r="O15" s="314" t="s">
        <v>236</v>
      </c>
      <c r="P15" s="315"/>
      <c r="Q15" s="316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14173</v>
      </c>
      <c r="C16" s="56" t="s">
        <v>250</v>
      </c>
      <c r="D16" s="195" t="s">
        <v>251</v>
      </c>
      <c r="E16" s="171" t="s">
        <v>106</v>
      </c>
      <c r="F16" s="164">
        <v>1130</v>
      </c>
      <c r="G16" s="113" t="s">
        <v>115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203</v>
      </c>
      <c r="O16" s="314"/>
      <c r="P16" s="315"/>
      <c r="Q16" s="316"/>
      <c r="R16" s="73">
        <f>H32/U16</f>
        <v>0.52287581699346397</v>
      </c>
      <c r="S16" s="74">
        <f>H32/(U16-U5)</f>
        <v>0.68376068376068355</v>
      </c>
      <c r="T16" s="74">
        <f>C32/U16</f>
        <v>47.058300653594763</v>
      </c>
      <c r="U16" s="74">
        <f>SUM(U5:U15)</f>
        <v>38.250000000000007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14174</v>
      </c>
      <c r="C17" s="17" t="s">
        <v>237</v>
      </c>
      <c r="D17" s="193" t="s">
        <v>238</v>
      </c>
      <c r="E17" s="171" t="s">
        <v>106</v>
      </c>
      <c r="F17" s="57">
        <v>1130</v>
      </c>
      <c r="G17" s="112" t="s">
        <v>111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203</v>
      </c>
      <c r="O17" s="314"/>
      <c r="P17" s="315"/>
      <c r="Q17" s="316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264">
        <v>14</v>
      </c>
      <c r="B18" s="253">
        <v>14175</v>
      </c>
      <c r="C18" s="265" t="s">
        <v>247</v>
      </c>
      <c r="D18" s="266" t="s">
        <v>248</v>
      </c>
      <c r="E18" s="256" t="s">
        <v>106</v>
      </c>
      <c r="F18" s="267">
        <v>1200</v>
      </c>
      <c r="G18" s="253" t="s">
        <v>124</v>
      </c>
      <c r="H18" s="269"/>
      <c r="I18" s="259"/>
      <c r="J18" s="259" t="str">
        <f t="shared" si="1"/>
        <v>0</v>
      </c>
      <c r="K18" s="259">
        <v>0</v>
      </c>
      <c r="L18" s="260"/>
      <c r="M18" s="260">
        <v>350</v>
      </c>
      <c r="N18" s="261" t="s">
        <v>203</v>
      </c>
      <c r="O18" s="336" t="s">
        <v>249</v>
      </c>
      <c r="P18" s="337"/>
      <c r="Q18" s="338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14176</v>
      </c>
      <c r="C19" s="17" t="s">
        <v>239</v>
      </c>
      <c r="D19" s="193" t="s">
        <v>240</v>
      </c>
      <c r="E19" s="171" t="s">
        <v>106</v>
      </c>
      <c r="F19" s="57">
        <v>1200</v>
      </c>
      <c r="G19" s="112" t="s">
        <v>111</v>
      </c>
      <c r="H19" s="114"/>
      <c r="I19" s="115">
        <v>75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203</v>
      </c>
      <c r="O19" s="314"/>
      <c r="P19" s="315"/>
      <c r="Q19" s="315"/>
      <c r="R19" s="84" t="s">
        <v>45</v>
      </c>
      <c r="S19" s="85">
        <f>COUNT(L5:M29,L37:M61,L69:M93)</f>
        <v>4</v>
      </c>
      <c r="T19" s="107">
        <f>SUM(L5:M29,L37:M61,L69:M93)</f>
        <v>1525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14177</v>
      </c>
      <c r="C20" s="17" t="s">
        <v>246</v>
      </c>
      <c r="D20" s="193" t="s">
        <v>241</v>
      </c>
      <c r="E20" s="171" t="s">
        <v>106</v>
      </c>
      <c r="F20" s="57">
        <v>1230</v>
      </c>
      <c r="G20" s="112" t="s">
        <v>111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203</v>
      </c>
      <c r="O20" s="322"/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14178</v>
      </c>
      <c r="C21" s="17" t="s">
        <v>242</v>
      </c>
      <c r="D21" s="193" t="s">
        <v>243</v>
      </c>
      <c r="E21" s="171" t="s">
        <v>106</v>
      </c>
      <c r="F21" s="57">
        <v>1315</v>
      </c>
      <c r="G21" s="19" t="s">
        <v>115</v>
      </c>
      <c r="H21" s="114"/>
      <c r="I21" s="115">
        <v>55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203</v>
      </c>
      <c r="O21" s="314"/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14179</v>
      </c>
      <c r="C22" s="21" t="s">
        <v>244</v>
      </c>
      <c r="D22" s="196" t="s">
        <v>245</v>
      </c>
      <c r="E22" s="171" t="s">
        <v>106</v>
      </c>
      <c r="F22" s="165">
        <v>1330</v>
      </c>
      <c r="G22" s="204" t="s">
        <v>111</v>
      </c>
      <c r="H22" s="80">
        <v>95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203</v>
      </c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14180</v>
      </c>
      <c r="C23" s="126" t="s">
        <v>252</v>
      </c>
      <c r="D23" s="197" t="s">
        <v>253</v>
      </c>
      <c r="E23" s="171" t="s">
        <v>106</v>
      </c>
      <c r="F23" s="166">
        <v>1400</v>
      </c>
      <c r="G23" s="155" t="s">
        <v>159</v>
      </c>
      <c r="H23" s="80"/>
      <c r="I23" s="131"/>
      <c r="J23" s="120" t="str">
        <f t="shared" si="1"/>
        <v>0</v>
      </c>
      <c r="K23" s="120">
        <v>62.5</v>
      </c>
      <c r="L23" s="117"/>
      <c r="M23" s="117"/>
      <c r="N23" s="276" t="s">
        <v>203</v>
      </c>
      <c r="O23" s="153" t="s">
        <v>254</v>
      </c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123">
        <v>14181</v>
      </c>
      <c r="C24" s="21" t="s">
        <v>257</v>
      </c>
      <c r="D24" s="196" t="s">
        <v>256</v>
      </c>
      <c r="E24" s="171" t="s">
        <v>106</v>
      </c>
      <c r="F24" s="165">
        <v>1545</v>
      </c>
      <c r="G24" s="204" t="s">
        <v>131</v>
      </c>
      <c r="H24" s="80"/>
      <c r="I24" s="131">
        <v>130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203</v>
      </c>
      <c r="O24" s="314"/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4"/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1799.98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4"/>
      <c r="P28" s="315"/>
      <c r="Q28" s="316"/>
      <c r="R28" s="326" t="s">
        <v>255</v>
      </c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475</v>
      </c>
      <c r="I30" s="96">
        <f>SUM(I5:I29)</f>
        <v>850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474.98</v>
      </c>
      <c r="L30" s="97">
        <f t="shared" si="3"/>
        <v>0</v>
      </c>
      <c r="M30" s="97">
        <f t="shared" si="3"/>
        <v>1525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475</v>
      </c>
      <c r="I31" s="94">
        <f t="shared" si="4"/>
        <v>850</v>
      </c>
      <c r="J31" s="94">
        <f t="shared" si="4"/>
        <v>0</v>
      </c>
      <c r="K31" s="94">
        <f>K30+K62+K94</f>
        <v>474.98</v>
      </c>
      <c r="L31" s="88">
        <f>L30+L62+L94</f>
        <v>0</v>
      </c>
      <c r="M31" s="88">
        <f>M30+M62+M94</f>
        <v>1525</v>
      </c>
      <c r="N31" s="207">
        <f>COUNT(H5:H29,H37:H61,H69:H93)</f>
        <v>4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8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475</v>
      </c>
      <c r="T31" s="341">
        <f>H31+I31+L31+M31</f>
        <v>2850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1799.98</v>
      </c>
      <c r="D32" s="186"/>
      <c r="E32" s="98"/>
      <c r="F32" s="331" t="s">
        <v>53</v>
      </c>
      <c r="G32" s="331"/>
      <c r="H32" s="100">
        <f>COUNT(B5:B29,B37:B61,B69:B93)</f>
        <v>20</v>
      </c>
      <c r="I32" s="332" t="s">
        <v>54</v>
      </c>
      <c r="J32" s="332"/>
      <c r="K32" s="99">
        <f>C32/H32</f>
        <v>89.998999999999995</v>
      </c>
      <c r="L32" s="208"/>
      <c r="M32" s="208"/>
      <c r="N32" s="208">
        <f>H31/C32</f>
        <v>0.26389182102023356</v>
      </c>
      <c r="O32" s="208">
        <f>I31/C32</f>
        <v>0.47222746919410213</v>
      </c>
      <c r="P32" s="208">
        <f>K31/C32</f>
        <v>0.2638807097856643</v>
      </c>
      <c r="Q32" s="101">
        <f>J31/C32</f>
        <v>0</v>
      </c>
      <c r="R32" s="90" t="s">
        <v>82</v>
      </c>
      <c r="S32" s="203">
        <f>I31+M31</f>
        <v>2375</v>
      </c>
      <c r="T32" s="343"/>
      <c r="U32" s="344"/>
      <c r="V32" s="39"/>
      <c r="W32" s="39"/>
      <c r="X32" s="48" t="s">
        <v>27</v>
      </c>
      <c r="Y32" s="48"/>
      <c r="Z32" s="47">
        <f>I31</f>
        <v>850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-1895</v>
      </c>
      <c r="AG33" s="35"/>
    </row>
    <row r="34" spans="1:33" ht="17.25" thickBot="1" x14ac:dyDescent="0.35">
      <c r="A34" s="296">
        <f>A2</f>
        <v>44993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5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44993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5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O12" sqref="O12:Q12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87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44994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6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14182</v>
      </c>
      <c r="C5" s="59" t="s">
        <v>261</v>
      </c>
      <c r="D5" s="190" t="s">
        <v>262</v>
      </c>
      <c r="E5" s="171" t="s">
        <v>106</v>
      </c>
      <c r="F5" s="160">
        <v>900</v>
      </c>
      <c r="G5" s="109" t="s">
        <v>159</v>
      </c>
      <c r="H5" s="82"/>
      <c r="I5" s="115"/>
      <c r="J5" s="120" t="str">
        <f>IF(G5="RSL","55","0")</f>
        <v>0</v>
      </c>
      <c r="K5" s="120">
        <v>62.5</v>
      </c>
      <c r="L5" s="121"/>
      <c r="M5" s="121"/>
      <c r="N5" s="124" t="s">
        <v>98</v>
      </c>
      <c r="O5" s="308" t="s">
        <v>263</v>
      </c>
      <c r="P5" s="309"/>
      <c r="Q5" s="310"/>
      <c r="R5" s="32" t="s">
        <v>98</v>
      </c>
      <c r="S5" s="30">
        <v>0.33333333333333331</v>
      </c>
      <c r="T5" s="31">
        <v>0.77083333333333337</v>
      </c>
      <c r="U5" s="83">
        <f t="shared" ref="U5:U15" si="0">(T5-S5)*24</f>
        <v>10.500000000000002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14183</v>
      </c>
      <c r="C6" s="58" t="s">
        <v>264</v>
      </c>
      <c r="D6" s="190" t="s">
        <v>265</v>
      </c>
      <c r="E6" s="171" t="s">
        <v>101</v>
      </c>
      <c r="F6" s="161">
        <v>910</v>
      </c>
      <c r="G6" s="109" t="s">
        <v>131</v>
      </c>
      <c r="H6" s="82">
        <v>150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58" t="s">
        <v>266</v>
      </c>
      <c r="P6" s="359"/>
      <c r="Q6" s="360"/>
      <c r="R6" s="122" t="s">
        <v>203</v>
      </c>
      <c r="S6" s="30">
        <v>0.375</v>
      </c>
      <c r="T6" s="31">
        <v>0.70833333333333337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14184</v>
      </c>
      <c r="C7" s="58" t="s">
        <v>267</v>
      </c>
      <c r="D7" s="190" t="s">
        <v>268</v>
      </c>
      <c r="E7" s="171" t="s">
        <v>106</v>
      </c>
      <c r="F7" s="161">
        <v>920</v>
      </c>
      <c r="G7" s="109" t="s">
        <v>115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203</v>
      </c>
      <c r="O7" s="314"/>
      <c r="P7" s="315"/>
      <c r="Q7" s="316"/>
      <c r="R7" s="124" t="s">
        <v>116</v>
      </c>
      <c r="S7" s="30">
        <v>0.35416666666666669</v>
      </c>
      <c r="T7" s="31">
        <v>0.66666666666666663</v>
      </c>
      <c r="U7" s="83">
        <f t="shared" si="0"/>
        <v>7.4999999999999982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52">
        <v>4</v>
      </c>
      <c r="B8" s="253">
        <v>14185</v>
      </c>
      <c r="C8" s="261" t="s">
        <v>301</v>
      </c>
      <c r="D8" s="255" t="s">
        <v>302</v>
      </c>
      <c r="E8" s="256" t="s">
        <v>101</v>
      </c>
      <c r="F8" s="257">
        <v>1000</v>
      </c>
      <c r="G8" s="258" t="s">
        <v>124</v>
      </c>
      <c r="H8" s="259"/>
      <c r="I8" s="259"/>
      <c r="J8" s="259" t="str">
        <f t="shared" si="1"/>
        <v>0</v>
      </c>
      <c r="K8" s="259">
        <v>0</v>
      </c>
      <c r="L8" s="260">
        <v>350</v>
      </c>
      <c r="M8" s="260"/>
      <c r="N8" s="261" t="s">
        <v>203</v>
      </c>
      <c r="O8" s="336" t="s">
        <v>303</v>
      </c>
      <c r="P8" s="337"/>
      <c r="Q8" s="338"/>
      <c r="R8" s="25" t="s">
        <v>258</v>
      </c>
      <c r="S8" s="30">
        <v>0.41666666666666669</v>
      </c>
      <c r="T8" s="31">
        <v>0.64583333333333337</v>
      </c>
      <c r="U8" s="83">
        <f t="shared" si="0"/>
        <v>5.5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14186</v>
      </c>
      <c r="C9" s="54" t="s">
        <v>269</v>
      </c>
      <c r="D9" s="191" t="s">
        <v>270</v>
      </c>
      <c r="E9" s="171" t="s">
        <v>106</v>
      </c>
      <c r="F9" s="162">
        <v>1015</v>
      </c>
      <c r="G9" s="110" t="s">
        <v>111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203</v>
      </c>
      <c r="O9" s="317"/>
      <c r="P9" s="318"/>
      <c r="Q9" s="319"/>
      <c r="R9" s="25" t="s">
        <v>259</v>
      </c>
      <c r="S9" s="30">
        <v>0.54166666666666663</v>
      </c>
      <c r="T9" s="31">
        <v>0.70833333333333337</v>
      </c>
      <c r="U9" s="83">
        <f t="shared" si="0"/>
        <v>4.0000000000000018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14187</v>
      </c>
      <c r="C10" s="27" t="s">
        <v>271</v>
      </c>
      <c r="D10" s="192" t="s">
        <v>272</v>
      </c>
      <c r="E10" s="171" t="s">
        <v>106</v>
      </c>
      <c r="F10" s="163">
        <v>1030</v>
      </c>
      <c r="G10" s="111" t="s">
        <v>115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203</v>
      </c>
      <c r="O10" s="304"/>
      <c r="P10" s="305"/>
      <c r="Q10" s="306"/>
      <c r="R10" s="277" t="s">
        <v>260</v>
      </c>
      <c r="S10" s="30">
        <v>0.5</v>
      </c>
      <c r="T10" s="31">
        <v>0.70833333333333337</v>
      </c>
      <c r="U10" s="83">
        <f t="shared" si="0"/>
        <v>5.0000000000000009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14188</v>
      </c>
      <c r="C11" s="17">
        <v>13013</v>
      </c>
      <c r="D11" s="193" t="s">
        <v>273</v>
      </c>
      <c r="E11" s="171" t="s">
        <v>106</v>
      </c>
      <c r="F11" s="57">
        <v>1100</v>
      </c>
      <c r="G11" s="112" t="s">
        <v>111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203</v>
      </c>
      <c r="O11" s="314"/>
      <c r="P11" s="315"/>
      <c r="Q11" s="316"/>
      <c r="R11" s="277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264">
        <v>8</v>
      </c>
      <c r="B12" s="253">
        <v>14189</v>
      </c>
      <c r="C12" s="272" t="s">
        <v>274</v>
      </c>
      <c r="D12" s="273" t="s">
        <v>275</v>
      </c>
      <c r="E12" s="256" t="s">
        <v>106</v>
      </c>
      <c r="F12" s="274">
        <v>1115</v>
      </c>
      <c r="G12" s="253" t="s">
        <v>102</v>
      </c>
      <c r="H12" s="269"/>
      <c r="I12" s="269"/>
      <c r="J12" s="259" t="str">
        <f t="shared" si="1"/>
        <v>0</v>
      </c>
      <c r="K12" s="259">
        <v>108.33</v>
      </c>
      <c r="L12" s="260">
        <v>650</v>
      </c>
      <c r="M12" s="260"/>
      <c r="N12" s="261" t="s">
        <v>203</v>
      </c>
      <c r="O12" s="336" t="s">
        <v>276</v>
      </c>
      <c r="P12" s="337"/>
      <c r="Q12" s="33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14190</v>
      </c>
      <c r="C13" s="55" t="s">
        <v>277</v>
      </c>
      <c r="D13" s="194" t="s">
        <v>278</v>
      </c>
      <c r="E13" s="171" t="s">
        <v>101</v>
      </c>
      <c r="F13" s="163">
        <v>1130</v>
      </c>
      <c r="G13" s="110" t="s">
        <v>159</v>
      </c>
      <c r="H13" s="159"/>
      <c r="I13" s="158"/>
      <c r="J13" s="120" t="str">
        <f t="shared" si="1"/>
        <v>0</v>
      </c>
      <c r="K13" s="120">
        <v>62.5</v>
      </c>
      <c r="L13" s="121"/>
      <c r="M13" s="121"/>
      <c r="N13" s="124" t="s">
        <v>203</v>
      </c>
      <c r="O13" s="314" t="s">
        <v>279</v>
      </c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14191</v>
      </c>
      <c r="C14" s="56" t="s">
        <v>280</v>
      </c>
      <c r="D14" s="195" t="s">
        <v>281</v>
      </c>
      <c r="E14" s="171" t="s">
        <v>101</v>
      </c>
      <c r="F14" s="164">
        <v>1130</v>
      </c>
      <c r="G14" s="113" t="s">
        <v>115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203</v>
      </c>
      <c r="O14" s="314"/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14192</v>
      </c>
      <c r="C15" s="56" t="s">
        <v>282</v>
      </c>
      <c r="D15" s="195" t="s">
        <v>283</v>
      </c>
      <c r="E15" s="171" t="s">
        <v>101</v>
      </c>
      <c r="F15" s="164">
        <v>1145</v>
      </c>
      <c r="G15" s="113" t="s">
        <v>115</v>
      </c>
      <c r="H15" s="114">
        <v>75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203</v>
      </c>
      <c r="O15" s="314"/>
      <c r="P15" s="315"/>
      <c r="Q15" s="316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14193</v>
      </c>
      <c r="C16" s="56" t="s">
        <v>284</v>
      </c>
      <c r="D16" s="195" t="s">
        <v>285</v>
      </c>
      <c r="E16" s="171" t="s">
        <v>101</v>
      </c>
      <c r="F16" s="164">
        <v>1230</v>
      </c>
      <c r="G16" s="113" t="s">
        <v>102</v>
      </c>
      <c r="H16" s="114"/>
      <c r="I16" s="115"/>
      <c r="J16" s="120" t="str">
        <f t="shared" si="1"/>
        <v>0</v>
      </c>
      <c r="K16" s="120">
        <v>79.16</v>
      </c>
      <c r="L16" s="121"/>
      <c r="M16" s="121"/>
      <c r="N16" s="124" t="s">
        <v>203</v>
      </c>
      <c r="O16" s="314" t="s">
        <v>286</v>
      </c>
      <c r="P16" s="315"/>
      <c r="Q16" s="316"/>
      <c r="R16" s="73">
        <f>H32/U16</f>
        <v>0.51851851851851849</v>
      </c>
      <c r="S16" s="74">
        <f>H32/(U16-U5)</f>
        <v>0.7</v>
      </c>
      <c r="T16" s="74">
        <f>C32/U16</f>
        <v>40.80222222222222</v>
      </c>
      <c r="U16" s="74">
        <f>SUM(U5:U15)</f>
        <v>40.5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264">
        <v>13</v>
      </c>
      <c r="B17" s="258">
        <v>14194</v>
      </c>
      <c r="C17" s="265" t="s">
        <v>287</v>
      </c>
      <c r="D17" s="266" t="s">
        <v>243</v>
      </c>
      <c r="E17" s="256" t="s">
        <v>106</v>
      </c>
      <c r="F17" s="267">
        <v>1200</v>
      </c>
      <c r="G17" s="268" t="s">
        <v>124</v>
      </c>
      <c r="H17" s="269"/>
      <c r="I17" s="259"/>
      <c r="J17" s="259" t="str">
        <f t="shared" si="1"/>
        <v>0</v>
      </c>
      <c r="K17" s="259">
        <v>0</v>
      </c>
      <c r="L17" s="260"/>
      <c r="M17" s="260">
        <v>300</v>
      </c>
      <c r="N17" s="261" t="s">
        <v>203</v>
      </c>
      <c r="O17" s="336" t="s">
        <v>456</v>
      </c>
      <c r="P17" s="337"/>
      <c r="Q17" s="338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14195</v>
      </c>
      <c r="C18" s="17" t="s">
        <v>288</v>
      </c>
      <c r="D18" s="193" t="s">
        <v>289</v>
      </c>
      <c r="E18" s="171" t="s">
        <v>101</v>
      </c>
      <c r="F18" s="57">
        <v>1300</v>
      </c>
      <c r="G18" s="19" t="s">
        <v>222</v>
      </c>
      <c r="H18" s="114"/>
      <c r="I18" s="115">
        <v>250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203</v>
      </c>
      <c r="O18" s="314"/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14196</v>
      </c>
      <c r="C19" s="17" t="s">
        <v>290</v>
      </c>
      <c r="D19" s="193" t="s">
        <v>291</v>
      </c>
      <c r="E19" s="171" t="s">
        <v>106</v>
      </c>
      <c r="F19" s="57">
        <v>1300</v>
      </c>
      <c r="G19" s="112" t="s">
        <v>111</v>
      </c>
      <c r="H19" s="114"/>
      <c r="I19" s="115">
        <v>75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203</v>
      </c>
      <c r="O19" s="314"/>
      <c r="P19" s="315"/>
      <c r="Q19" s="315"/>
      <c r="R19" s="84" t="s">
        <v>45</v>
      </c>
      <c r="S19" s="85">
        <f>COUNT(L5:M29,L37:M61,L69:M93)</f>
        <v>5</v>
      </c>
      <c r="T19" s="107">
        <f>SUM(L5:M29,L37:M61,L69:M93)</f>
        <v>1950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14197</v>
      </c>
      <c r="C20" s="17" t="s">
        <v>292</v>
      </c>
      <c r="D20" s="193" t="s">
        <v>293</v>
      </c>
      <c r="E20" s="171" t="s">
        <v>106</v>
      </c>
      <c r="F20" s="57">
        <v>1300</v>
      </c>
      <c r="G20" s="112" t="s">
        <v>115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203</v>
      </c>
      <c r="O20" s="322"/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264">
        <v>17</v>
      </c>
      <c r="B21" s="258">
        <v>14198</v>
      </c>
      <c r="C21" s="265" t="s">
        <v>294</v>
      </c>
      <c r="D21" s="266" t="s">
        <v>295</v>
      </c>
      <c r="E21" s="256" t="s">
        <v>106</v>
      </c>
      <c r="F21" s="267">
        <v>1315</v>
      </c>
      <c r="G21" s="253" t="s">
        <v>124</v>
      </c>
      <c r="H21" s="269"/>
      <c r="I21" s="259"/>
      <c r="J21" s="259" t="str">
        <f t="shared" si="1"/>
        <v>0</v>
      </c>
      <c r="K21" s="259">
        <v>125</v>
      </c>
      <c r="L21" s="260"/>
      <c r="M21" s="260">
        <v>350</v>
      </c>
      <c r="N21" s="261" t="s">
        <v>203</v>
      </c>
      <c r="O21" s="336" t="s">
        <v>296</v>
      </c>
      <c r="P21" s="337"/>
      <c r="Q21" s="337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14199</v>
      </c>
      <c r="C22" s="21" t="s">
        <v>307</v>
      </c>
      <c r="D22" s="196" t="s">
        <v>308</v>
      </c>
      <c r="E22" s="171" t="s">
        <v>106</v>
      </c>
      <c r="F22" s="165">
        <v>1330</v>
      </c>
      <c r="G22" s="204" t="s">
        <v>115</v>
      </c>
      <c r="H22" s="80"/>
      <c r="I22" s="131">
        <v>55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203</v>
      </c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14200</v>
      </c>
      <c r="C23" s="126" t="s">
        <v>298</v>
      </c>
      <c r="D23" s="197" t="s">
        <v>299</v>
      </c>
      <c r="E23" s="171" t="s">
        <v>106</v>
      </c>
      <c r="F23" s="166">
        <v>1415</v>
      </c>
      <c r="G23" s="155" t="s">
        <v>115</v>
      </c>
      <c r="H23" s="80"/>
      <c r="I23" s="131">
        <v>65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203</v>
      </c>
      <c r="O23" s="394" t="s">
        <v>300</v>
      </c>
      <c r="P23" s="395"/>
      <c r="Q23" s="396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264">
        <v>20</v>
      </c>
      <c r="B24" s="253">
        <v>14201</v>
      </c>
      <c r="C24" s="272" t="s">
        <v>304</v>
      </c>
      <c r="D24" s="273" t="s">
        <v>305</v>
      </c>
      <c r="E24" s="256" t="s">
        <v>106</v>
      </c>
      <c r="F24" s="274">
        <v>1415</v>
      </c>
      <c r="G24" s="253" t="s">
        <v>124</v>
      </c>
      <c r="H24" s="269"/>
      <c r="I24" s="269"/>
      <c r="J24" s="259" t="str">
        <f t="shared" si="1"/>
        <v>0</v>
      </c>
      <c r="K24" s="259">
        <v>0</v>
      </c>
      <c r="L24" s="259"/>
      <c r="M24" s="259">
        <v>300</v>
      </c>
      <c r="N24" s="261" t="s">
        <v>203</v>
      </c>
      <c r="O24" s="336" t="s">
        <v>306</v>
      </c>
      <c r="P24" s="337"/>
      <c r="Q24" s="33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281">
        <v>21</v>
      </c>
      <c r="B25" s="282">
        <v>14202</v>
      </c>
      <c r="C25" s="283" t="s">
        <v>309</v>
      </c>
      <c r="D25" s="284" t="s">
        <v>310</v>
      </c>
      <c r="E25" s="285" t="s">
        <v>101</v>
      </c>
      <c r="F25" s="286">
        <v>1430</v>
      </c>
      <c r="G25" s="287" t="s">
        <v>111</v>
      </c>
      <c r="H25" s="288"/>
      <c r="I25" s="288">
        <v>75</v>
      </c>
      <c r="J25" s="289" t="str">
        <f t="shared" si="1"/>
        <v>0</v>
      </c>
      <c r="K25" s="289" t="str">
        <f t="shared" si="2"/>
        <v>0</v>
      </c>
      <c r="L25" s="289"/>
      <c r="M25" s="289"/>
      <c r="N25" s="283" t="s">
        <v>203</v>
      </c>
      <c r="O25" s="391" t="s">
        <v>188</v>
      </c>
      <c r="P25" s="392"/>
      <c r="Q25" s="39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1652.49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4"/>
      <c r="P28" s="315"/>
      <c r="Q28" s="316"/>
      <c r="R28" s="326" t="s">
        <v>297</v>
      </c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375</v>
      </c>
      <c r="I30" s="96">
        <f>SUM(I5:I29)</f>
        <v>840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437.49</v>
      </c>
      <c r="L30" s="97">
        <f t="shared" si="3"/>
        <v>1000</v>
      </c>
      <c r="M30" s="97">
        <f t="shared" si="3"/>
        <v>950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375</v>
      </c>
      <c r="I31" s="94">
        <f t="shared" si="4"/>
        <v>840</v>
      </c>
      <c r="J31" s="94">
        <f t="shared" si="4"/>
        <v>0</v>
      </c>
      <c r="K31" s="94">
        <f>K30+K62+K94</f>
        <v>437.49</v>
      </c>
      <c r="L31" s="88">
        <f>L30+L62+L94</f>
        <v>1000</v>
      </c>
      <c r="M31" s="88">
        <f>M30+M62+M94</f>
        <v>950</v>
      </c>
      <c r="N31" s="207">
        <f>COUNT(H5:H29,H37:H61,H69:H93)</f>
        <v>4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8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1375</v>
      </c>
      <c r="T31" s="341">
        <f>H31+I31+L31+M31</f>
        <v>3165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1652.49</v>
      </c>
      <c r="D32" s="186"/>
      <c r="E32" s="98"/>
      <c r="F32" s="331" t="s">
        <v>53</v>
      </c>
      <c r="G32" s="331"/>
      <c r="H32" s="100">
        <f>COUNT(B5:B29,B37:B61,B69:B93)</f>
        <v>21</v>
      </c>
      <c r="I32" s="332" t="s">
        <v>54</v>
      </c>
      <c r="J32" s="332"/>
      <c r="K32" s="99">
        <f>C32/H32</f>
        <v>78.69</v>
      </c>
      <c r="L32" s="208"/>
      <c r="M32" s="208"/>
      <c r="N32" s="208">
        <f>H31/C32</f>
        <v>0.22693026886698256</v>
      </c>
      <c r="O32" s="208">
        <f>I31/C32</f>
        <v>0.50832380226204088</v>
      </c>
      <c r="P32" s="208">
        <f>K31/C32</f>
        <v>0.26474592887097653</v>
      </c>
      <c r="Q32" s="101">
        <f>J31/C32</f>
        <v>0</v>
      </c>
      <c r="R32" s="90" t="s">
        <v>82</v>
      </c>
      <c r="S32" s="203">
        <f>I31+M31</f>
        <v>1790</v>
      </c>
      <c r="T32" s="343"/>
      <c r="U32" s="344"/>
      <c r="V32" s="39"/>
      <c r="W32" s="39"/>
      <c r="X32" s="48" t="s">
        <v>27</v>
      </c>
      <c r="Y32" s="48"/>
      <c r="Z32" s="47">
        <f>I31</f>
        <v>840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-1905</v>
      </c>
      <c r="AG33" s="35"/>
    </row>
    <row r="34" spans="1:33" ht="17.25" thickBot="1" x14ac:dyDescent="0.35">
      <c r="A34" s="296">
        <f>A2</f>
        <v>44994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6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44994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6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2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J19" sqref="J1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1.37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8.12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45202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5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 t="s">
        <v>6</v>
      </c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14203</v>
      </c>
      <c r="C5" s="59" t="s">
        <v>312</v>
      </c>
      <c r="D5" s="190" t="s">
        <v>313</v>
      </c>
      <c r="E5" s="171" t="s">
        <v>106</v>
      </c>
      <c r="F5" s="160">
        <v>815</v>
      </c>
      <c r="G5" s="109" t="s">
        <v>111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08"/>
      <c r="P5" s="309"/>
      <c r="Q5" s="310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14204</v>
      </c>
      <c r="C6" s="58" t="s">
        <v>314</v>
      </c>
      <c r="D6" s="190" t="s">
        <v>315</v>
      </c>
      <c r="E6" s="171" t="s">
        <v>106</v>
      </c>
      <c r="F6" s="161">
        <v>850</v>
      </c>
      <c r="G6" s="109" t="s">
        <v>131</v>
      </c>
      <c r="H6" s="82">
        <v>120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58"/>
      <c r="P6" s="359"/>
      <c r="Q6" s="360"/>
      <c r="R6" s="122" t="s">
        <v>204</v>
      </c>
      <c r="S6" s="30">
        <v>0.375</v>
      </c>
      <c r="T6" s="31">
        <v>0.70833333333333337</v>
      </c>
      <c r="U6" s="83">
        <f t="shared" si="0"/>
        <v>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14205</v>
      </c>
      <c r="C7" s="58" t="s">
        <v>316</v>
      </c>
      <c r="D7" s="190" t="s">
        <v>317</v>
      </c>
      <c r="E7" s="171" t="s">
        <v>106</v>
      </c>
      <c r="F7" s="161">
        <v>900</v>
      </c>
      <c r="G7" s="109" t="s">
        <v>111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14"/>
      <c r="P7" s="315"/>
      <c r="Q7" s="316"/>
      <c r="R7" s="124" t="s">
        <v>311</v>
      </c>
      <c r="S7" s="30">
        <v>0.375</v>
      </c>
      <c r="T7" s="31">
        <v>0.70833333333333337</v>
      </c>
      <c r="U7" s="83">
        <f t="shared" si="0"/>
        <v>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52">
        <v>4</v>
      </c>
      <c r="B8" s="253">
        <v>14206</v>
      </c>
      <c r="C8" s="261" t="s">
        <v>318</v>
      </c>
      <c r="D8" s="255" t="s">
        <v>319</v>
      </c>
      <c r="E8" s="256" t="s">
        <v>106</v>
      </c>
      <c r="F8" s="257">
        <v>930</v>
      </c>
      <c r="G8" s="258" t="s">
        <v>102</v>
      </c>
      <c r="H8" s="259"/>
      <c r="I8" s="259"/>
      <c r="J8" s="259" t="str">
        <f t="shared" si="1"/>
        <v>0</v>
      </c>
      <c r="K8" s="259">
        <v>79.16</v>
      </c>
      <c r="L8" s="260"/>
      <c r="M8" s="260">
        <v>475</v>
      </c>
      <c r="N8" s="261" t="s">
        <v>98</v>
      </c>
      <c r="O8" s="336" t="s">
        <v>320</v>
      </c>
      <c r="P8" s="337"/>
      <c r="Q8" s="338"/>
      <c r="R8" s="25" t="s">
        <v>119</v>
      </c>
      <c r="S8" s="30">
        <v>0.41666666666666669</v>
      </c>
      <c r="T8" s="31">
        <v>0.70833333333333337</v>
      </c>
      <c r="U8" s="83">
        <f t="shared" si="0"/>
        <v>7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14207</v>
      </c>
      <c r="C9" s="54" t="s">
        <v>321</v>
      </c>
      <c r="D9" s="191" t="s">
        <v>322</v>
      </c>
      <c r="E9" s="171" t="s">
        <v>106</v>
      </c>
      <c r="F9" s="162">
        <v>930</v>
      </c>
      <c r="G9" s="110" t="s">
        <v>131</v>
      </c>
      <c r="H9" s="82"/>
      <c r="I9" s="82">
        <v>120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17"/>
      <c r="P9" s="318"/>
      <c r="Q9" s="319"/>
      <c r="R9" s="25" t="s">
        <v>258</v>
      </c>
      <c r="S9" s="30">
        <v>0.41666666666666669</v>
      </c>
      <c r="T9" s="31">
        <v>0.70833333333333337</v>
      </c>
      <c r="U9" s="83">
        <f t="shared" si="0"/>
        <v>7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14208</v>
      </c>
      <c r="C10" s="27" t="s">
        <v>323</v>
      </c>
      <c r="D10" s="192" t="s">
        <v>324</v>
      </c>
      <c r="E10" s="171" t="s">
        <v>101</v>
      </c>
      <c r="F10" s="163">
        <v>950</v>
      </c>
      <c r="G10" s="111" t="s">
        <v>115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04" t="s">
        <v>226</v>
      </c>
      <c r="P10" s="305"/>
      <c r="Q10" s="306"/>
      <c r="R10" s="294" t="s">
        <v>260</v>
      </c>
      <c r="S10" s="30">
        <v>0.54166666666666663</v>
      </c>
      <c r="T10" s="31">
        <v>0.70833333333333337</v>
      </c>
      <c r="U10" s="83">
        <f t="shared" si="0"/>
        <v>4.0000000000000018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14209</v>
      </c>
      <c r="C11" s="17" t="s">
        <v>325</v>
      </c>
      <c r="D11" s="193" t="s">
        <v>326</v>
      </c>
      <c r="E11" s="171" t="s">
        <v>106</v>
      </c>
      <c r="F11" s="57">
        <v>1015</v>
      </c>
      <c r="G11" s="112" t="s">
        <v>115</v>
      </c>
      <c r="H11" s="114">
        <v>55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4"/>
      <c r="P11" s="315"/>
      <c r="Q11" s="316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14210</v>
      </c>
      <c r="C12" s="55" t="s">
        <v>327</v>
      </c>
      <c r="D12" s="194" t="s">
        <v>209</v>
      </c>
      <c r="E12" s="171" t="s">
        <v>106</v>
      </c>
      <c r="F12" s="163">
        <v>1030</v>
      </c>
      <c r="G12" s="110" t="s">
        <v>111</v>
      </c>
      <c r="H12" s="114">
        <v>90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4" t="s">
        <v>146</v>
      </c>
      <c r="P12" s="315"/>
      <c r="Q12" s="31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14211</v>
      </c>
      <c r="C13" s="55" t="s">
        <v>328</v>
      </c>
      <c r="D13" s="194" t="s">
        <v>329</v>
      </c>
      <c r="E13" s="171" t="s">
        <v>106</v>
      </c>
      <c r="F13" s="163">
        <v>1100</v>
      </c>
      <c r="G13" s="110" t="s">
        <v>131</v>
      </c>
      <c r="H13" s="159">
        <v>120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14" t="s">
        <v>226</v>
      </c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14212</v>
      </c>
      <c r="C14" s="56" t="s">
        <v>330</v>
      </c>
      <c r="D14" s="195" t="s">
        <v>331</v>
      </c>
      <c r="E14" s="171" t="s">
        <v>106</v>
      </c>
      <c r="F14" s="164">
        <v>1115</v>
      </c>
      <c r="G14" s="113" t="s">
        <v>111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14"/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264">
        <v>11</v>
      </c>
      <c r="B15" s="258">
        <v>14213</v>
      </c>
      <c r="C15" s="278" t="s">
        <v>332</v>
      </c>
      <c r="D15" s="279" t="s">
        <v>333</v>
      </c>
      <c r="E15" s="256" t="s">
        <v>106</v>
      </c>
      <c r="F15" s="280">
        <v>1115</v>
      </c>
      <c r="G15" s="258" t="s">
        <v>124</v>
      </c>
      <c r="H15" s="269"/>
      <c r="I15" s="259"/>
      <c r="J15" s="259" t="str">
        <f t="shared" si="1"/>
        <v>0</v>
      </c>
      <c r="K15" s="259">
        <v>0</v>
      </c>
      <c r="L15" s="260">
        <v>350</v>
      </c>
      <c r="M15" s="260"/>
      <c r="N15" s="261" t="s">
        <v>119</v>
      </c>
      <c r="O15" s="336" t="s">
        <v>334</v>
      </c>
      <c r="P15" s="337"/>
      <c r="Q15" s="33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14214</v>
      </c>
      <c r="C16" s="56" t="s">
        <v>335</v>
      </c>
      <c r="D16" s="195" t="s">
        <v>336</v>
      </c>
      <c r="E16" s="171" t="s">
        <v>106</v>
      </c>
      <c r="F16" s="164">
        <v>1130</v>
      </c>
      <c r="G16" s="113" t="s">
        <v>115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4"/>
      <c r="P16" s="315"/>
      <c r="Q16" s="316"/>
      <c r="R16" s="73">
        <f>H32/U16</f>
        <v>0.44186046511627908</v>
      </c>
      <c r="S16" s="74">
        <f>H32/(U16-U5)</f>
        <v>0.55882352941176472</v>
      </c>
      <c r="T16" s="74">
        <f>C32/U16</f>
        <v>35.852558139534885</v>
      </c>
      <c r="U16" s="74">
        <f>SUM(U5:U15)</f>
        <v>43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14215</v>
      </c>
      <c r="C17" s="17" t="s">
        <v>337</v>
      </c>
      <c r="D17" s="193" t="s">
        <v>338</v>
      </c>
      <c r="E17" s="171" t="s">
        <v>106</v>
      </c>
      <c r="F17" s="57">
        <v>1145</v>
      </c>
      <c r="G17" s="112" t="s">
        <v>131</v>
      </c>
      <c r="H17" s="114"/>
      <c r="I17" s="115">
        <v>100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4"/>
      <c r="P17" s="315"/>
      <c r="Q17" s="316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14216</v>
      </c>
      <c r="C18" s="17" t="s">
        <v>339</v>
      </c>
      <c r="D18" s="193" t="s">
        <v>340</v>
      </c>
      <c r="E18" s="171" t="s">
        <v>106</v>
      </c>
      <c r="F18" s="57">
        <v>1145</v>
      </c>
      <c r="G18" s="19" t="s">
        <v>159</v>
      </c>
      <c r="H18" s="114"/>
      <c r="I18" s="115"/>
      <c r="J18" s="120" t="str">
        <f t="shared" si="1"/>
        <v>0</v>
      </c>
      <c r="K18" s="120">
        <v>62.5</v>
      </c>
      <c r="L18" s="121"/>
      <c r="M18" s="121"/>
      <c r="N18" s="124" t="s">
        <v>98</v>
      </c>
      <c r="O18" s="314" t="s">
        <v>341</v>
      </c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14217</v>
      </c>
      <c r="C19" s="17" t="s">
        <v>342</v>
      </c>
      <c r="D19" s="193" t="s">
        <v>343</v>
      </c>
      <c r="E19" s="171" t="s">
        <v>106</v>
      </c>
      <c r="F19" s="57">
        <v>1220</v>
      </c>
      <c r="G19" s="112" t="s">
        <v>111</v>
      </c>
      <c r="H19" s="114">
        <v>95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119</v>
      </c>
      <c r="O19" s="314"/>
      <c r="P19" s="315"/>
      <c r="Q19" s="315"/>
      <c r="R19" s="84" t="s">
        <v>45</v>
      </c>
      <c r="S19" s="85">
        <f>COUNT(L5:M29,L37:M61,L69:M93)</f>
        <v>2</v>
      </c>
      <c r="T19" s="107">
        <f>SUM(L5:M29,L37:M61,L69:M93)</f>
        <v>825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14218</v>
      </c>
      <c r="C20" s="17" t="s">
        <v>344</v>
      </c>
      <c r="D20" s="193" t="s">
        <v>345</v>
      </c>
      <c r="E20" s="171" t="s">
        <v>106</v>
      </c>
      <c r="F20" s="57">
        <v>1235</v>
      </c>
      <c r="G20" s="112" t="s">
        <v>346</v>
      </c>
      <c r="H20" s="114"/>
      <c r="I20" s="209"/>
      <c r="J20" s="120">
        <v>60</v>
      </c>
      <c r="K20" s="211" t="str">
        <f t="shared" si="2"/>
        <v>0</v>
      </c>
      <c r="L20" s="210"/>
      <c r="M20" s="210"/>
      <c r="N20" s="124" t="s">
        <v>98</v>
      </c>
      <c r="O20" s="397" t="s">
        <v>347</v>
      </c>
      <c r="P20" s="398"/>
      <c r="Q20" s="398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14219</v>
      </c>
      <c r="C21" s="17" t="s">
        <v>348</v>
      </c>
      <c r="D21" s="193" t="s">
        <v>349</v>
      </c>
      <c r="E21" s="171" t="s">
        <v>101</v>
      </c>
      <c r="F21" s="57">
        <v>1345</v>
      </c>
      <c r="G21" s="19" t="s">
        <v>115</v>
      </c>
      <c r="H21" s="114"/>
      <c r="I21" s="115">
        <v>55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14"/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14220</v>
      </c>
      <c r="C22" s="21" t="s">
        <v>350</v>
      </c>
      <c r="D22" s="196" t="s">
        <v>351</v>
      </c>
      <c r="E22" s="171" t="s">
        <v>106</v>
      </c>
      <c r="F22" s="165">
        <v>1510</v>
      </c>
      <c r="G22" s="204" t="s">
        <v>111</v>
      </c>
      <c r="H22" s="80"/>
      <c r="I22" s="131">
        <v>95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119</v>
      </c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14221</v>
      </c>
      <c r="C23" s="126" t="s">
        <v>352</v>
      </c>
      <c r="D23" s="197" t="s">
        <v>353</v>
      </c>
      <c r="E23" s="171" t="s">
        <v>106</v>
      </c>
      <c r="F23" s="166">
        <v>1515</v>
      </c>
      <c r="G23" s="155" t="s">
        <v>111</v>
      </c>
      <c r="H23" s="80"/>
      <c r="I23" s="131">
        <v>75</v>
      </c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98</v>
      </c>
      <c r="O23" s="153"/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4"/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4"/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1541.66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4"/>
      <c r="P28" s="315"/>
      <c r="Q28" s="316"/>
      <c r="R28" s="326"/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575</v>
      </c>
      <c r="I30" s="96">
        <f>SUM(I5:I29)</f>
        <v>765</v>
      </c>
      <c r="J30" s="96">
        <f>J5+J6+J7+J8+J9+J10+J11+J12+J13+J14+J15+J16+J18+J19+J17+J20+J22+J23+J21+J24+J25+J26+J27+J28+J29</f>
        <v>60</v>
      </c>
      <c r="K30" s="96">
        <f>K5+K6+K7+K8+K9+K10+K11+K12+K13+K14+K15+K16+K18+K19+K17+K20+K22+K23+K21+K24+K25+K26+K27+K28+K29</f>
        <v>141.66</v>
      </c>
      <c r="L30" s="97">
        <f t="shared" si="3"/>
        <v>350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575</v>
      </c>
      <c r="I31" s="94">
        <f t="shared" si="4"/>
        <v>765</v>
      </c>
      <c r="J31" s="94">
        <f t="shared" si="4"/>
        <v>60</v>
      </c>
      <c r="K31" s="94">
        <f>K30+K62+K94</f>
        <v>141.66</v>
      </c>
      <c r="L31" s="88">
        <f>L30+L62+L94</f>
        <v>350</v>
      </c>
      <c r="M31" s="88">
        <f>M30+M62+M94</f>
        <v>475</v>
      </c>
      <c r="N31" s="207">
        <f>COUNT(H5:H29,H37:H61,H69:H93)</f>
        <v>6</v>
      </c>
      <c r="O31" s="95">
        <f>COUNT(I5:I29,I37:I61,I69:I93)</f>
        <v>9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925</v>
      </c>
      <c r="T31" s="341">
        <f>H31+I31+L31+M31</f>
        <v>2165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1541.66</v>
      </c>
      <c r="D32" s="186"/>
      <c r="E32" s="98"/>
      <c r="F32" s="331" t="s">
        <v>53</v>
      </c>
      <c r="G32" s="331"/>
      <c r="H32" s="100">
        <f>COUNT(B5:B29,B37:B61,B69:B93)</f>
        <v>19</v>
      </c>
      <c r="I32" s="332" t="s">
        <v>54</v>
      </c>
      <c r="J32" s="332"/>
      <c r="K32" s="99">
        <f>C32/H32</f>
        <v>81.14</v>
      </c>
      <c r="L32" s="208"/>
      <c r="M32" s="208"/>
      <c r="N32" s="208">
        <f>H31/C32</f>
        <v>0.37297458583604681</v>
      </c>
      <c r="O32" s="208">
        <f>I31/C32</f>
        <v>0.49621836202534925</v>
      </c>
      <c r="P32" s="208">
        <f>K31/C32</f>
        <v>9.1887964920929377E-2</v>
      </c>
      <c r="Q32" s="101">
        <f>J31/C32</f>
        <v>3.8919087217674453E-2</v>
      </c>
      <c r="R32" s="90" t="s">
        <v>82</v>
      </c>
      <c r="S32" s="203">
        <f>I31+M31</f>
        <v>1240</v>
      </c>
      <c r="T32" s="343"/>
      <c r="U32" s="344"/>
      <c r="V32" s="39"/>
      <c r="W32" s="39"/>
      <c r="X32" s="48" t="s">
        <v>27</v>
      </c>
      <c r="Y32" s="48"/>
      <c r="Z32" s="47">
        <f>I31</f>
        <v>765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-1980</v>
      </c>
      <c r="AG33" s="35"/>
    </row>
    <row r="34" spans="1:33" ht="17.25" thickBot="1" x14ac:dyDescent="0.35">
      <c r="A34" s="296">
        <f>A2</f>
        <v>45202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5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45202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5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L17" sqref="L1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1.6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8.87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45233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97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7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14222</v>
      </c>
      <c r="C5" s="59" t="s">
        <v>354</v>
      </c>
      <c r="D5" s="190" t="s">
        <v>355</v>
      </c>
      <c r="E5" s="171" t="s">
        <v>106</v>
      </c>
      <c r="F5" s="160">
        <v>800</v>
      </c>
      <c r="G5" s="109" t="s">
        <v>111</v>
      </c>
      <c r="H5" s="82">
        <v>70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08"/>
      <c r="P5" s="309"/>
      <c r="Q5" s="310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14223</v>
      </c>
      <c r="C6" s="58" t="s">
        <v>356</v>
      </c>
      <c r="D6" s="190" t="s">
        <v>357</v>
      </c>
      <c r="E6" s="171" t="s">
        <v>106</v>
      </c>
      <c r="F6" s="161">
        <v>830</v>
      </c>
      <c r="G6" s="109" t="s">
        <v>111</v>
      </c>
      <c r="H6" s="82"/>
      <c r="I6" s="115">
        <v>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203</v>
      </c>
      <c r="O6" s="358"/>
      <c r="P6" s="359"/>
      <c r="Q6" s="360"/>
      <c r="R6" s="122" t="s">
        <v>203</v>
      </c>
      <c r="S6" s="30">
        <v>0.35416666666666669</v>
      </c>
      <c r="T6" s="31">
        <v>0.70833333333333337</v>
      </c>
      <c r="U6" s="83">
        <f t="shared" si="0"/>
        <v>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14224</v>
      </c>
      <c r="C7" s="58" t="s">
        <v>358</v>
      </c>
      <c r="D7" s="190" t="s">
        <v>359</v>
      </c>
      <c r="E7" s="171" t="s">
        <v>101</v>
      </c>
      <c r="F7" s="161">
        <v>900</v>
      </c>
      <c r="G7" s="109" t="s">
        <v>102</v>
      </c>
      <c r="H7" s="82"/>
      <c r="I7" s="115"/>
      <c r="J7" s="120" t="str">
        <f t="shared" si="1"/>
        <v>0</v>
      </c>
      <c r="K7" s="120">
        <v>79.16</v>
      </c>
      <c r="L7" s="121"/>
      <c r="M7" s="121"/>
      <c r="N7" s="124" t="s">
        <v>203</v>
      </c>
      <c r="O7" s="314" t="s">
        <v>360</v>
      </c>
      <c r="P7" s="315"/>
      <c r="Q7" s="316"/>
      <c r="R7" s="124" t="s">
        <v>116</v>
      </c>
      <c r="S7" s="30">
        <v>0.35416666666666669</v>
      </c>
      <c r="T7" s="31">
        <v>0.625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14225</v>
      </c>
      <c r="C8" s="26" t="s">
        <v>361</v>
      </c>
      <c r="D8" s="190" t="s">
        <v>362</v>
      </c>
      <c r="E8" s="171" t="s">
        <v>106</v>
      </c>
      <c r="F8" s="161">
        <v>910</v>
      </c>
      <c r="G8" s="109" t="s">
        <v>115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203</v>
      </c>
      <c r="O8" s="317"/>
      <c r="P8" s="318"/>
      <c r="Q8" s="319"/>
      <c r="R8" s="25" t="s">
        <v>112</v>
      </c>
      <c r="S8" s="30">
        <v>0.375</v>
      </c>
      <c r="T8" s="31">
        <v>0.70833333333333337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14226</v>
      </c>
      <c r="C9" s="54" t="s">
        <v>363</v>
      </c>
      <c r="D9" s="191" t="s">
        <v>364</v>
      </c>
      <c r="E9" s="171" t="s">
        <v>101</v>
      </c>
      <c r="F9" s="162">
        <v>1000</v>
      </c>
      <c r="G9" s="110" t="s">
        <v>102</v>
      </c>
      <c r="H9" s="82"/>
      <c r="I9" s="82"/>
      <c r="J9" s="120" t="str">
        <f t="shared" si="1"/>
        <v>0</v>
      </c>
      <c r="K9" s="120">
        <v>79.16</v>
      </c>
      <c r="L9" s="121"/>
      <c r="M9" s="121"/>
      <c r="N9" s="124" t="s">
        <v>203</v>
      </c>
      <c r="O9" s="317" t="s">
        <v>365</v>
      </c>
      <c r="P9" s="318"/>
      <c r="Q9" s="319"/>
      <c r="R9" s="25" t="s">
        <v>119</v>
      </c>
      <c r="S9" s="30">
        <v>0.46875</v>
      </c>
      <c r="T9" s="31">
        <v>0.70833333333333337</v>
      </c>
      <c r="U9" s="83">
        <f t="shared" si="0"/>
        <v>5.7500000000000009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14227</v>
      </c>
      <c r="C10" s="27" t="s">
        <v>366</v>
      </c>
      <c r="D10" s="192" t="s">
        <v>367</v>
      </c>
      <c r="E10" s="171" t="s">
        <v>101</v>
      </c>
      <c r="F10" s="163">
        <v>1000</v>
      </c>
      <c r="G10" s="111" t="s">
        <v>102</v>
      </c>
      <c r="H10" s="114"/>
      <c r="I10" s="116"/>
      <c r="J10" s="120" t="str">
        <f t="shared" si="1"/>
        <v>0</v>
      </c>
      <c r="K10" s="120">
        <v>79.16</v>
      </c>
      <c r="L10" s="121"/>
      <c r="M10" s="121"/>
      <c r="N10" s="124" t="s">
        <v>203</v>
      </c>
      <c r="O10" s="304" t="s">
        <v>368</v>
      </c>
      <c r="P10" s="305"/>
      <c r="Q10" s="306"/>
      <c r="R10" s="25" t="s">
        <v>204</v>
      </c>
      <c r="S10" s="30">
        <v>0.38541666666666669</v>
      </c>
      <c r="T10" s="31">
        <v>0.70833333333333337</v>
      </c>
      <c r="U10" s="83">
        <f t="shared" si="0"/>
        <v>7.75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14228</v>
      </c>
      <c r="C11" s="17" t="s">
        <v>369</v>
      </c>
      <c r="D11" s="193" t="s">
        <v>370</v>
      </c>
      <c r="E11" s="171" t="s">
        <v>106</v>
      </c>
      <c r="F11" s="57">
        <v>1015</v>
      </c>
      <c r="G11" s="112" t="s">
        <v>159</v>
      </c>
      <c r="H11" s="114"/>
      <c r="I11" s="115"/>
      <c r="J11" s="120" t="str">
        <f t="shared" si="1"/>
        <v>0</v>
      </c>
      <c r="K11" s="120">
        <v>100</v>
      </c>
      <c r="L11" s="121"/>
      <c r="M11" s="121"/>
      <c r="N11" s="124" t="s">
        <v>203</v>
      </c>
      <c r="O11" s="314" t="s">
        <v>375</v>
      </c>
      <c r="P11" s="315"/>
      <c r="Q11" s="316"/>
      <c r="R11" s="25" t="s">
        <v>311</v>
      </c>
      <c r="S11" s="30">
        <v>0.4375</v>
      </c>
      <c r="T11" s="31">
        <v>0.70833333333333337</v>
      </c>
      <c r="U11" s="83">
        <f t="shared" si="0"/>
        <v>6.5000000000000009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14229</v>
      </c>
      <c r="C12" s="55" t="s">
        <v>371</v>
      </c>
      <c r="D12" s="194" t="s">
        <v>372</v>
      </c>
      <c r="E12" s="171" t="s">
        <v>106</v>
      </c>
      <c r="F12" s="163">
        <v>1045</v>
      </c>
      <c r="G12" s="110" t="s">
        <v>222</v>
      </c>
      <c r="H12" s="114">
        <v>250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203</v>
      </c>
      <c r="O12" s="314"/>
      <c r="P12" s="315"/>
      <c r="Q12" s="31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14230</v>
      </c>
      <c r="C13" s="55" t="s">
        <v>373</v>
      </c>
      <c r="D13" s="194" t="s">
        <v>374</v>
      </c>
      <c r="E13" s="171" t="s">
        <v>106</v>
      </c>
      <c r="F13" s="163">
        <v>1045</v>
      </c>
      <c r="G13" s="110" t="s">
        <v>111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203</v>
      </c>
      <c r="O13" s="314"/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14231</v>
      </c>
      <c r="C14" s="56" t="s">
        <v>376</v>
      </c>
      <c r="D14" s="195" t="s">
        <v>377</v>
      </c>
      <c r="E14" s="171" t="s">
        <v>106</v>
      </c>
      <c r="F14" s="164">
        <v>1050</v>
      </c>
      <c r="G14" s="113" t="s">
        <v>141</v>
      </c>
      <c r="H14" s="114">
        <v>45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203</v>
      </c>
      <c r="O14" s="314"/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264">
        <v>11</v>
      </c>
      <c r="B15" s="258">
        <v>14232</v>
      </c>
      <c r="C15" s="278" t="s">
        <v>378</v>
      </c>
      <c r="D15" s="279" t="s">
        <v>379</v>
      </c>
      <c r="E15" s="256" t="s">
        <v>106</v>
      </c>
      <c r="F15" s="280">
        <v>1100</v>
      </c>
      <c r="G15" s="258" t="s">
        <v>124</v>
      </c>
      <c r="H15" s="269"/>
      <c r="I15" s="259"/>
      <c r="J15" s="259" t="str">
        <f t="shared" si="1"/>
        <v>0</v>
      </c>
      <c r="K15" s="259">
        <v>0</v>
      </c>
      <c r="L15" s="260"/>
      <c r="M15" s="260">
        <v>350</v>
      </c>
      <c r="N15" s="261" t="s">
        <v>203</v>
      </c>
      <c r="O15" s="336" t="s">
        <v>380</v>
      </c>
      <c r="P15" s="337"/>
      <c r="Q15" s="33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264">
        <v>12</v>
      </c>
      <c r="B16" s="253">
        <v>14233</v>
      </c>
      <c r="C16" s="278" t="s">
        <v>381</v>
      </c>
      <c r="D16" s="279" t="s">
        <v>382</v>
      </c>
      <c r="E16" s="256" t="s">
        <v>101</v>
      </c>
      <c r="F16" s="280">
        <v>1115</v>
      </c>
      <c r="G16" s="258" t="s">
        <v>124</v>
      </c>
      <c r="H16" s="269"/>
      <c r="I16" s="259"/>
      <c r="J16" s="259" t="str">
        <f t="shared" si="1"/>
        <v>0</v>
      </c>
      <c r="K16" s="259">
        <v>0</v>
      </c>
      <c r="L16" s="260"/>
      <c r="M16" s="260">
        <v>350</v>
      </c>
      <c r="N16" s="261" t="s">
        <v>203</v>
      </c>
      <c r="O16" s="336" t="s">
        <v>383</v>
      </c>
      <c r="P16" s="337"/>
      <c r="Q16" s="338"/>
      <c r="R16" s="73">
        <f>H32/U16</f>
        <v>0.55769230769230771</v>
      </c>
      <c r="S16" s="74">
        <f>H32/(U16-U5)</f>
        <v>0.67441860465116277</v>
      </c>
      <c r="T16" s="74">
        <f>C32/U16</f>
        <v>45.073076923076925</v>
      </c>
      <c r="U16" s="74">
        <f>SUM(U5:U15)</f>
        <v>52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14234</v>
      </c>
      <c r="C17" s="17" t="s">
        <v>384</v>
      </c>
      <c r="D17" s="193" t="s">
        <v>385</v>
      </c>
      <c r="E17" s="171" t="s">
        <v>106</v>
      </c>
      <c r="F17" s="57">
        <v>1135</v>
      </c>
      <c r="G17" s="112" t="s">
        <v>115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203</v>
      </c>
      <c r="O17" s="314"/>
      <c r="P17" s="315"/>
      <c r="Q17" s="316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14235</v>
      </c>
      <c r="C18" s="17" t="s">
        <v>386</v>
      </c>
      <c r="D18" s="193" t="s">
        <v>387</v>
      </c>
      <c r="E18" s="171" t="s">
        <v>101</v>
      </c>
      <c r="F18" s="57">
        <v>1130</v>
      </c>
      <c r="G18" s="19" t="s">
        <v>111</v>
      </c>
      <c r="H18" s="114">
        <v>95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203</v>
      </c>
      <c r="O18" s="314"/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14236</v>
      </c>
      <c r="C19" s="17" t="s">
        <v>388</v>
      </c>
      <c r="D19" s="193" t="s">
        <v>389</v>
      </c>
      <c r="E19" s="171" t="s">
        <v>106</v>
      </c>
      <c r="F19" s="57">
        <v>1230</v>
      </c>
      <c r="G19" s="112" t="s">
        <v>111</v>
      </c>
      <c r="H19" s="114"/>
      <c r="I19" s="115">
        <v>75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203</v>
      </c>
      <c r="O19" s="314"/>
      <c r="P19" s="315"/>
      <c r="Q19" s="315"/>
      <c r="R19" s="84" t="s">
        <v>45</v>
      </c>
      <c r="S19" s="85">
        <f>COUNT(L5:M29,L37:M61,L69:M93)</f>
        <v>4</v>
      </c>
      <c r="T19" s="107">
        <f>SUM(L5:M29,L37:M61,L69:M93)</f>
        <v>1553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14237</v>
      </c>
      <c r="C20" s="17" t="s">
        <v>394</v>
      </c>
      <c r="D20" s="193" t="s">
        <v>395</v>
      </c>
      <c r="E20" s="171" t="s">
        <v>106</v>
      </c>
      <c r="F20" s="57">
        <v>1245</v>
      </c>
      <c r="G20" s="112" t="s">
        <v>111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203</v>
      </c>
      <c r="O20" s="322"/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14238</v>
      </c>
      <c r="C21" s="17" t="s">
        <v>390</v>
      </c>
      <c r="D21" s="193" t="s">
        <v>391</v>
      </c>
      <c r="E21" s="171" t="s">
        <v>101</v>
      </c>
      <c r="F21" s="57">
        <v>1245</v>
      </c>
      <c r="G21" s="19" t="s">
        <v>115</v>
      </c>
      <c r="H21" s="114">
        <v>55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203</v>
      </c>
      <c r="O21" s="314"/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264">
        <v>18</v>
      </c>
      <c r="B22" s="253">
        <v>14239</v>
      </c>
      <c r="C22" s="272" t="s">
        <v>398</v>
      </c>
      <c r="D22" s="273" t="s">
        <v>399</v>
      </c>
      <c r="E22" s="256" t="s">
        <v>106</v>
      </c>
      <c r="F22" s="274">
        <v>1300</v>
      </c>
      <c r="G22" s="253" t="s">
        <v>159</v>
      </c>
      <c r="H22" s="269"/>
      <c r="I22" s="269"/>
      <c r="J22" s="259" t="str">
        <f t="shared" si="1"/>
        <v>0</v>
      </c>
      <c r="K22" s="259">
        <v>63</v>
      </c>
      <c r="L22" s="259"/>
      <c r="M22" s="259">
        <v>378</v>
      </c>
      <c r="N22" s="261" t="s">
        <v>203</v>
      </c>
      <c r="O22" s="336" t="s">
        <v>400</v>
      </c>
      <c r="P22" s="337"/>
      <c r="Q22" s="338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14240</v>
      </c>
      <c r="C23" s="126" t="s">
        <v>392</v>
      </c>
      <c r="D23" s="197" t="s">
        <v>393</v>
      </c>
      <c r="E23" s="171" t="s">
        <v>106</v>
      </c>
      <c r="F23" s="166">
        <v>1315</v>
      </c>
      <c r="G23" s="155" t="s">
        <v>141</v>
      </c>
      <c r="H23" s="80"/>
      <c r="I23" s="131">
        <v>65</v>
      </c>
      <c r="J23" s="120" t="str">
        <f t="shared" si="1"/>
        <v>0</v>
      </c>
      <c r="K23" s="120" t="str">
        <f t="shared" si="2"/>
        <v>0</v>
      </c>
      <c r="L23" s="117"/>
      <c r="M23" s="117"/>
      <c r="N23" s="276" t="s">
        <v>203</v>
      </c>
      <c r="O23" s="153"/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123">
        <v>14241</v>
      </c>
      <c r="C24" s="21" t="s">
        <v>396</v>
      </c>
      <c r="D24" s="196" t="s">
        <v>397</v>
      </c>
      <c r="E24" s="171" t="s">
        <v>101</v>
      </c>
      <c r="F24" s="165">
        <v>1315</v>
      </c>
      <c r="G24" s="204" t="s">
        <v>102</v>
      </c>
      <c r="H24" s="80"/>
      <c r="I24" s="131"/>
      <c r="J24" s="120" t="str">
        <f t="shared" si="1"/>
        <v>0</v>
      </c>
      <c r="K24" s="120">
        <v>79.16</v>
      </c>
      <c r="L24" s="60"/>
      <c r="M24" s="60"/>
      <c r="N24" s="124" t="s">
        <v>203</v>
      </c>
      <c r="O24" s="314" t="s">
        <v>401</v>
      </c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14242</v>
      </c>
      <c r="C25" s="122" t="s">
        <v>402</v>
      </c>
      <c r="D25" s="198" t="s">
        <v>403</v>
      </c>
      <c r="E25" s="171" t="s">
        <v>101</v>
      </c>
      <c r="F25" s="165">
        <v>1315</v>
      </c>
      <c r="G25" s="204" t="s">
        <v>111</v>
      </c>
      <c r="H25" s="81"/>
      <c r="I25" s="81">
        <v>75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203</v>
      </c>
      <c r="O25" s="314" t="s">
        <v>226</v>
      </c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2343.8000000000002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14243</v>
      </c>
      <c r="C26" s="26" t="s">
        <v>404</v>
      </c>
      <c r="D26" s="199" t="s">
        <v>405</v>
      </c>
      <c r="E26" s="171" t="s">
        <v>106</v>
      </c>
      <c r="F26" s="167">
        <v>1345</v>
      </c>
      <c r="G26" s="19" t="s">
        <v>115</v>
      </c>
      <c r="H26" s="80"/>
      <c r="I26" s="131">
        <v>55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203</v>
      </c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14244</v>
      </c>
      <c r="C27" s="26" t="s">
        <v>406</v>
      </c>
      <c r="D27" s="199" t="s">
        <v>407</v>
      </c>
      <c r="E27" s="171" t="s">
        <v>101</v>
      </c>
      <c r="F27" s="167">
        <v>1345</v>
      </c>
      <c r="G27" s="19" t="s">
        <v>102</v>
      </c>
      <c r="H27" s="80"/>
      <c r="I27" s="131"/>
      <c r="J27" s="120" t="str">
        <f t="shared" si="1"/>
        <v>0</v>
      </c>
      <c r="K27" s="120">
        <v>125</v>
      </c>
      <c r="L27" s="60"/>
      <c r="M27" s="60"/>
      <c r="N27" s="124" t="s">
        <v>203</v>
      </c>
      <c r="O27" s="314" t="s">
        <v>408</v>
      </c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264">
        <v>24</v>
      </c>
      <c r="B28" s="253">
        <v>14245</v>
      </c>
      <c r="C28" s="261" t="s">
        <v>409</v>
      </c>
      <c r="D28" s="295" t="s">
        <v>410</v>
      </c>
      <c r="E28" s="256" t="s">
        <v>101</v>
      </c>
      <c r="F28" s="274">
        <v>1400</v>
      </c>
      <c r="G28" s="253" t="s">
        <v>102</v>
      </c>
      <c r="H28" s="269"/>
      <c r="I28" s="269"/>
      <c r="J28" s="259" t="str">
        <f t="shared" si="1"/>
        <v>0</v>
      </c>
      <c r="K28" s="259">
        <v>79.16</v>
      </c>
      <c r="L28" s="259">
        <v>475</v>
      </c>
      <c r="M28" s="259"/>
      <c r="N28" s="261" t="s">
        <v>98</v>
      </c>
      <c r="O28" s="336" t="s">
        <v>411</v>
      </c>
      <c r="P28" s="337"/>
      <c r="Q28" s="338"/>
      <c r="R28" s="326"/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14246</v>
      </c>
      <c r="C29" s="33" t="s">
        <v>412</v>
      </c>
      <c r="D29" s="200" t="s">
        <v>413</v>
      </c>
      <c r="E29" s="172" t="s">
        <v>101</v>
      </c>
      <c r="F29" s="167">
        <v>1445</v>
      </c>
      <c r="G29" s="19" t="s">
        <v>131</v>
      </c>
      <c r="H29" s="80"/>
      <c r="I29" s="80">
        <v>130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203</v>
      </c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515</v>
      </c>
      <c r="I30" s="96">
        <f>SUM(I5:I29)</f>
        <v>795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683.8</v>
      </c>
      <c r="L30" s="97">
        <f t="shared" si="3"/>
        <v>475</v>
      </c>
      <c r="M30" s="97">
        <f t="shared" si="3"/>
        <v>1078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515</v>
      </c>
      <c r="I31" s="94">
        <f t="shared" si="4"/>
        <v>1020</v>
      </c>
      <c r="J31" s="94">
        <f t="shared" si="4"/>
        <v>0</v>
      </c>
      <c r="K31" s="94">
        <f>K30+K62+K94</f>
        <v>808.8</v>
      </c>
      <c r="L31" s="88">
        <f>L30+L62+L94</f>
        <v>475</v>
      </c>
      <c r="M31" s="88">
        <f>M30+M62+M94</f>
        <v>1078</v>
      </c>
      <c r="N31" s="207">
        <f>COUNT(H5:H29,H37:H61,H69:H93)</f>
        <v>5</v>
      </c>
      <c r="O31" s="95">
        <f>COUNT(I5:I29,I37:I61,I69:I93)</f>
        <v>13</v>
      </c>
      <c r="P31" s="95">
        <f>COUNTIF(G5:G29,"G*")+COUNTIF(G37:G61,"G*")+COUNTIF(G69:G93,"G*")+COUNTIF(G5:G29,"P*")+COUNTIF(G37:G61,"P*")+COUNTIF(G69:G93,"P*")</f>
        <v>11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990</v>
      </c>
      <c r="T31" s="341">
        <f>H31+I31+L31+M31</f>
        <v>3088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2343.8000000000002</v>
      </c>
      <c r="D32" s="186"/>
      <c r="E32" s="98"/>
      <c r="F32" s="331" t="s">
        <v>53</v>
      </c>
      <c r="G32" s="331"/>
      <c r="H32" s="100">
        <f>COUNT(B5:B29,B37:B61,B69:B93)</f>
        <v>29</v>
      </c>
      <c r="I32" s="332" t="s">
        <v>54</v>
      </c>
      <c r="J32" s="332"/>
      <c r="K32" s="99">
        <f>C32/H32</f>
        <v>80.820689655172416</v>
      </c>
      <c r="L32" s="208"/>
      <c r="M32" s="208"/>
      <c r="N32" s="208">
        <f>H31/C32</f>
        <v>0.21972864578888981</v>
      </c>
      <c r="O32" s="208">
        <f>I31/C32</f>
        <v>0.43519071593139341</v>
      </c>
      <c r="P32" s="208">
        <f>K31/C32</f>
        <v>0.34508063827971663</v>
      </c>
      <c r="Q32" s="101">
        <f>J31/C32</f>
        <v>0</v>
      </c>
      <c r="R32" s="90" t="s">
        <v>82</v>
      </c>
      <c r="S32" s="203">
        <f>I31+M31</f>
        <v>2098</v>
      </c>
      <c r="T32" s="343"/>
      <c r="U32" s="344"/>
      <c r="V32" s="39"/>
      <c r="W32" s="39"/>
      <c r="X32" s="48" t="s">
        <v>27</v>
      </c>
      <c r="Y32" s="48"/>
      <c r="Z32" s="47">
        <f>I31</f>
        <v>1020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-1725</v>
      </c>
      <c r="AG33" s="35"/>
    </row>
    <row r="34" spans="1:33" ht="17.25" thickBot="1" x14ac:dyDescent="0.35">
      <c r="A34" s="296">
        <f>A2</f>
        <v>45233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SUNNY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7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14247</v>
      </c>
      <c r="C37" s="59" t="s">
        <v>414</v>
      </c>
      <c r="D37" s="248" t="s">
        <v>415</v>
      </c>
      <c r="E37" s="171" t="s">
        <v>101</v>
      </c>
      <c r="F37" s="164">
        <v>1500</v>
      </c>
      <c r="G37" s="109" t="s">
        <v>111</v>
      </c>
      <c r="H37" s="82"/>
      <c r="I37" s="115">
        <v>75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203</v>
      </c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14248</v>
      </c>
      <c r="C38" s="58" t="s">
        <v>418</v>
      </c>
      <c r="D38" s="185" t="s">
        <v>419</v>
      </c>
      <c r="E38" s="171" t="s">
        <v>106</v>
      </c>
      <c r="F38" s="169">
        <v>1515</v>
      </c>
      <c r="G38" s="109" t="s">
        <v>102</v>
      </c>
      <c r="H38" s="82"/>
      <c r="I38" s="115"/>
      <c r="J38" s="120" t="str">
        <f t="shared" ref="J38:J61" si="6">IF(G38="RSL","55","0")</f>
        <v>0</v>
      </c>
      <c r="K38" s="120">
        <v>125</v>
      </c>
      <c r="L38" s="121"/>
      <c r="M38" s="121"/>
      <c r="N38" s="60" t="s">
        <v>203</v>
      </c>
      <c r="O38" s="358" t="s">
        <v>422</v>
      </c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>
        <v>14249</v>
      </c>
      <c r="C39" s="26" t="s">
        <v>416</v>
      </c>
      <c r="D39" s="173" t="s">
        <v>417</v>
      </c>
      <c r="E39" s="171" t="s">
        <v>106</v>
      </c>
      <c r="F39" s="169">
        <v>1515</v>
      </c>
      <c r="G39" s="109" t="s">
        <v>111</v>
      </c>
      <c r="H39" s="82"/>
      <c r="I39" s="115">
        <v>75</v>
      </c>
      <c r="J39" s="120" t="str">
        <f t="shared" si="6"/>
        <v>0</v>
      </c>
      <c r="K39" s="120" t="str">
        <f t="shared" si="5"/>
        <v>0</v>
      </c>
      <c r="L39" s="121"/>
      <c r="M39" s="121"/>
      <c r="N39" s="60" t="s">
        <v>203</v>
      </c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>
        <v>14250</v>
      </c>
      <c r="C40" s="54" t="s">
        <v>420</v>
      </c>
      <c r="D40" s="174" t="s">
        <v>421</v>
      </c>
      <c r="E40" s="171" t="s">
        <v>106</v>
      </c>
      <c r="F40" s="170">
        <v>1520</v>
      </c>
      <c r="G40" s="110" t="s">
        <v>111</v>
      </c>
      <c r="H40" s="82"/>
      <c r="I40" s="82">
        <v>75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203</v>
      </c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225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125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45233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SUNNY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7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D8" sqref="D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1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8.375" style="14" customWidth="1"/>
    <col min="15" max="15" width="5.37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6" t="s">
        <v>77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spans="1:44" ht="17.25" thickBot="1" x14ac:dyDescent="0.35">
      <c r="A2" s="299">
        <v>45263</v>
      </c>
      <c r="B2" s="297"/>
      <c r="C2" s="297"/>
      <c r="D2" s="297"/>
      <c r="E2" s="297"/>
      <c r="F2" s="297"/>
      <c r="G2" s="298"/>
      <c r="H2" s="300" t="s">
        <v>49</v>
      </c>
      <c r="I2" s="301"/>
      <c r="J2" s="296" t="s">
        <v>423</v>
      </c>
      <c r="K2" s="298"/>
      <c r="L2" s="301" t="s">
        <v>96</v>
      </c>
      <c r="M2" s="302"/>
      <c r="N2" s="300"/>
      <c r="O2" s="297" t="s">
        <v>98</v>
      </c>
      <c r="P2" s="297"/>
      <c r="Q2" s="298"/>
      <c r="R2" s="301" t="s">
        <v>51</v>
      </c>
      <c r="S2" s="300"/>
      <c r="T2" s="303">
        <v>4</v>
      </c>
      <c r="U2" s="303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07" t="s">
        <v>8</v>
      </c>
      <c r="P4" s="307"/>
      <c r="Q4" s="30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14251</v>
      </c>
      <c r="C5" s="59" t="s">
        <v>424</v>
      </c>
      <c r="D5" s="190" t="s">
        <v>425</v>
      </c>
      <c r="E5" s="171" t="s">
        <v>106</v>
      </c>
      <c r="F5" s="160">
        <v>850</v>
      </c>
      <c r="G5" s="109" t="s">
        <v>115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08"/>
      <c r="P5" s="309"/>
      <c r="Q5" s="310"/>
      <c r="R5" s="32" t="s">
        <v>98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14252</v>
      </c>
      <c r="C6" s="58" t="s">
        <v>426</v>
      </c>
      <c r="D6" s="190" t="s">
        <v>427</v>
      </c>
      <c r="E6" s="171" t="s">
        <v>106</v>
      </c>
      <c r="F6" s="161">
        <v>950</v>
      </c>
      <c r="G6" s="109" t="s">
        <v>115</v>
      </c>
      <c r="H6" s="82">
        <v>55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58"/>
      <c r="P6" s="359"/>
      <c r="Q6" s="360"/>
      <c r="R6" s="122" t="s">
        <v>112</v>
      </c>
      <c r="S6" s="30">
        <v>0.35416666666666669</v>
      </c>
      <c r="T6" s="31">
        <v>0.70833333333333337</v>
      </c>
      <c r="U6" s="83">
        <f t="shared" si="0"/>
        <v>8.5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14253</v>
      </c>
      <c r="C7" s="58" t="s">
        <v>428</v>
      </c>
      <c r="D7" s="190" t="s">
        <v>429</v>
      </c>
      <c r="E7" s="171" t="s">
        <v>106</v>
      </c>
      <c r="F7" s="161">
        <v>1100</v>
      </c>
      <c r="G7" s="109" t="s">
        <v>115</v>
      </c>
      <c r="H7" s="82">
        <v>55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14"/>
      <c r="P7" s="315"/>
      <c r="Q7" s="316"/>
      <c r="R7" s="124" t="s">
        <v>119</v>
      </c>
      <c r="S7" s="30">
        <v>0.375</v>
      </c>
      <c r="T7" s="31">
        <v>0.71875</v>
      </c>
      <c r="U7" s="83">
        <f t="shared" si="0"/>
        <v>8.25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252">
        <v>4</v>
      </c>
      <c r="B8" s="253">
        <v>14254</v>
      </c>
      <c r="C8" s="261" t="s">
        <v>406</v>
      </c>
      <c r="D8" s="255" t="s">
        <v>407</v>
      </c>
      <c r="E8" s="256" t="s">
        <v>101</v>
      </c>
      <c r="F8" s="257">
        <v>1100</v>
      </c>
      <c r="G8" s="258" t="s">
        <v>102</v>
      </c>
      <c r="H8" s="259"/>
      <c r="I8" s="259"/>
      <c r="J8" s="259" t="str">
        <f t="shared" si="1"/>
        <v>0</v>
      </c>
      <c r="K8" s="259">
        <v>125</v>
      </c>
      <c r="L8" s="260">
        <v>750</v>
      </c>
      <c r="M8" s="260"/>
      <c r="N8" s="261" t="s">
        <v>98</v>
      </c>
      <c r="O8" s="336" t="s">
        <v>430</v>
      </c>
      <c r="P8" s="337"/>
      <c r="Q8" s="338"/>
      <c r="R8" s="25" t="s">
        <v>204</v>
      </c>
      <c r="S8" s="30">
        <v>0.38541666666666669</v>
      </c>
      <c r="T8" s="31">
        <v>0.71875</v>
      </c>
      <c r="U8" s="83">
        <f t="shared" si="0"/>
        <v>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14255</v>
      </c>
      <c r="C9" s="54" t="s">
        <v>431</v>
      </c>
      <c r="D9" s="191" t="s">
        <v>432</v>
      </c>
      <c r="E9" s="171" t="s">
        <v>101</v>
      </c>
      <c r="F9" s="162">
        <v>1130</v>
      </c>
      <c r="G9" s="110" t="s">
        <v>111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17"/>
      <c r="P9" s="318"/>
      <c r="Q9" s="319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14256</v>
      </c>
      <c r="C10" s="27" t="s">
        <v>433</v>
      </c>
      <c r="D10" s="192" t="s">
        <v>434</v>
      </c>
      <c r="E10" s="171" t="s">
        <v>101</v>
      </c>
      <c r="F10" s="163">
        <v>1145</v>
      </c>
      <c r="G10" s="111" t="s">
        <v>115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04" t="s">
        <v>226</v>
      </c>
      <c r="P10" s="305"/>
      <c r="Q10" s="30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14257</v>
      </c>
      <c r="C11" s="17" t="s">
        <v>435</v>
      </c>
      <c r="D11" s="193" t="s">
        <v>436</v>
      </c>
      <c r="E11" s="171" t="s">
        <v>106</v>
      </c>
      <c r="F11" s="57">
        <v>1215</v>
      </c>
      <c r="G11" s="112" t="s">
        <v>111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4"/>
      <c r="P11" s="315"/>
      <c r="Q11" s="316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14258</v>
      </c>
      <c r="C12" s="55" t="s">
        <v>437</v>
      </c>
      <c r="D12" s="194" t="s">
        <v>438</v>
      </c>
      <c r="E12" s="171" t="s">
        <v>101</v>
      </c>
      <c r="F12" s="163">
        <v>1230</v>
      </c>
      <c r="G12" s="110" t="s">
        <v>115</v>
      </c>
      <c r="H12" s="114"/>
      <c r="I12" s="116">
        <v>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4"/>
      <c r="P12" s="315"/>
      <c r="Q12" s="316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14259</v>
      </c>
      <c r="C13" s="55" t="s">
        <v>439</v>
      </c>
      <c r="D13" s="194" t="s">
        <v>440</v>
      </c>
      <c r="E13" s="171" t="s">
        <v>106</v>
      </c>
      <c r="F13" s="163">
        <v>1320</v>
      </c>
      <c r="G13" s="110" t="s">
        <v>159</v>
      </c>
      <c r="H13" s="159"/>
      <c r="I13" s="158"/>
      <c r="J13" s="120" t="str">
        <f t="shared" si="1"/>
        <v>0</v>
      </c>
      <c r="K13" s="120">
        <v>125</v>
      </c>
      <c r="L13" s="121"/>
      <c r="M13" s="121"/>
      <c r="N13" s="124" t="s">
        <v>119</v>
      </c>
      <c r="O13" s="314" t="s">
        <v>441</v>
      </c>
      <c r="P13" s="315"/>
      <c r="Q13" s="316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14260</v>
      </c>
      <c r="C14" s="56" t="s">
        <v>442</v>
      </c>
      <c r="D14" s="195" t="s">
        <v>443</v>
      </c>
      <c r="E14" s="171" t="s">
        <v>106</v>
      </c>
      <c r="F14" s="164">
        <v>1320</v>
      </c>
      <c r="G14" s="113" t="s">
        <v>115</v>
      </c>
      <c r="H14" s="114"/>
      <c r="I14" s="116">
        <v>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119</v>
      </c>
      <c r="O14" s="314"/>
      <c r="P14" s="315"/>
      <c r="Q14" s="316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281">
        <v>11</v>
      </c>
      <c r="B15" s="282">
        <v>14261</v>
      </c>
      <c r="C15" s="290" t="s">
        <v>444</v>
      </c>
      <c r="D15" s="291" t="s">
        <v>445</v>
      </c>
      <c r="E15" s="285" t="s">
        <v>101</v>
      </c>
      <c r="F15" s="292">
        <v>1330</v>
      </c>
      <c r="G15" s="282" t="s">
        <v>111</v>
      </c>
      <c r="H15" s="288">
        <v>75</v>
      </c>
      <c r="I15" s="289"/>
      <c r="J15" s="289" t="str">
        <f t="shared" si="1"/>
        <v>0</v>
      </c>
      <c r="K15" s="289" t="str">
        <f t="shared" si="2"/>
        <v>0</v>
      </c>
      <c r="L15" s="293"/>
      <c r="M15" s="293"/>
      <c r="N15" s="283" t="s">
        <v>98</v>
      </c>
      <c r="O15" s="391" t="s">
        <v>188</v>
      </c>
      <c r="P15" s="392"/>
      <c r="Q15" s="39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14262</v>
      </c>
      <c r="C16" s="56" t="s">
        <v>446</v>
      </c>
      <c r="D16" s="195" t="s">
        <v>447</v>
      </c>
      <c r="E16" s="171" t="s">
        <v>106</v>
      </c>
      <c r="F16" s="164">
        <v>1345</v>
      </c>
      <c r="G16" s="113" t="s">
        <v>111</v>
      </c>
      <c r="H16" s="114"/>
      <c r="I16" s="115">
        <v>95</v>
      </c>
      <c r="J16" s="120" t="str">
        <f>IF(G16="RSL","55","0")</f>
        <v>0</v>
      </c>
      <c r="K16" s="120" t="str">
        <f>IF(G16="GVS","37.5",IF(G16="GVM","41.5",IF(G16="GVL","50",IF(G16="PCS","45.8",IF(G16="PCM","50",IF(G16="PCL","58.3","0"))))))</f>
        <v>0</v>
      </c>
      <c r="L16" s="121"/>
      <c r="M16" s="121"/>
      <c r="N16" s="124" t="s">
        <v>98</v>
      </c>
      <c r="O16" s="314"/>
      <c r="P16" s="315"/>
      <c r="Q16" s="316"/>
      <c r="R16" s="73">
        <f>H32/U16</f>
        <v>0.47058823529411764</v>
      </c>
      <c r="S16" s="74">
        <f>H32/(U16-U5)</f>
        <v>0.64646464646464652</v>
      </c>
      <c r="T16" s="74">
        <f>C32/U16</f>
        <v>38.235294117647058</v>
      </c>
      <c r="U16" s="74">
        <f>SUM(U5:U15)</f>
        <v>34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14263</v>
      </c>
      <c r="C17" s="17" t="s">
        <v>448</v>
      </c>
      <c r="D17" s="193" t="s">
        <v>449</v>
      </c>
      <c r="E17" s="171" t="s">
        <v>101</v>
      </c>
      <c r="F17" s="57">
        <v>1400</v>
      </c>
      <c r="G17" s="112" t="s">
        <v>111</v>
      </c>
      <c r="H17" s="114"/>
      <c r="I17" s="115">
        <v>75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4"/>
      <c r="P17" s="315"/>
      <c r="Q17" s="316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14264</v>
      </c>
      <c r="C18" s="17" t="s">
        <v>450</v>
      </c>
      <c r="D18" s="193" t="s">
        <v>451</v>
      </c>
      <c r="E18" s="171" t="s">
        <v>106</v>
      </c>
      <c r="F18" s="57">
        <v>1415</v>
      </c>
      <c r="G18" s="19" t="s">
        <v>115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14"/>
      <c r="P18" s="315"/>
      <c r="Q18" s="316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14265</v>
      </c>
      <c r="C19" s="17" t="s">
        <v>452</v>
      </c>
      <c r="D19" s="193" t="s">
        <v>453</v>
      </c>
      <c r="E19" s="171" t="s">
        <v>101</v>
      </c>
      <c r="F19" s="57">
        <v>1420</v>
      </c>
      <c r="G19" s="112" t="s">
        <v>111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14"/>
      <c r="P19" s="315"/>
      <c r="Q19" s="315"/>
      <c r="R19" s="84" t="s">
        <v>45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14266</v>
      </c>
      <c r="C20" s="17" t="s">
        <v>454</v>
      </c>
      <c r="D20" s="193" t="s">
        <v>455</v>
      </c>
      <c r="E20" s="171" t="s">
        <v>101</v>
      </c>
      <c r="F20" s="57">
        <v>1530</v>
      </c>
      <c r="G20" s="112" t="s">
        <v>115</v>
      </c>
      <c r="H20" s="114"/>
      <c r="I20" s="209">
        <v>75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22"/>
      <c r="P20" s="323"/>
      <c r="Q20" s="323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14"/>
      <c r="P21" s="315"/>
      <c r="Q21" s="315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4"/>
      <c r="P22" s="315"/>
      <c r="Q22" s="316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0"/>
      <c r="Y23" s="321"/>
      <c r="Z23" s="32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4"/>
      <c r="P24" s="315"/>
      <c r="Q24" s="316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4"/>
      <c r="P25" s="315"/>
      <c r="Q25" s="316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24">
        <f>((C32+(R26+S26+T26)*0.5))</f>
        <v>1300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4"/>
      <c r="P26" s="315"/>
      <c r="Q26" s="316"/>
      <c r="R26" s="103">
        <f>R25*37.5</f>
        <v>0</v>
      </c>
      <c r="S26" s="93">
        <f>S25*41.5</f>
        <v>0</v>
      </c>
      <c r="T26" s="93">
        <f>T25*50</f>
        <v>0</v>
      </c>
      <c r="U26" s="325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4"/>
      <c r="P27" s="315"/>
      <c r="Q27" s="316"/>
      <c r="R27" s="333" t="s">
        <v>56</v>
      </c>
      <c r="S27" s="334"/>
      <c r="T27" s="334"/>
      <c r="U27" s="335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4"/>
      <c r="P28" s="315"/>
      <c r="Q28" s="316"/>
      <c r="R28" s="326"/>
      <c r="S28" s="327"/>
      <c r="T28" s="328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45"/>
      <c r="P29" s="346"/>
      <c r="Q29" s="347"/>
      <c r="R29" s="348"/>
      <c r="S29" s="349"/>
      <c r="T29" s="350"/>
      <c r="U29" s="140"/>
      <c r="X29" s="14">
        <v>3</v>
      </c>
      <c r="Z29" s="45"/>
      <c r="AE29" s="39"/>
    </row>
    <row r="30" spans="1:44" ht="16.5" customHeight="1" thickBot="1" x14ac:dyDescent="0.35">
      <c r="A30" s="351" t="s">
        <v>48</v>
      </c>
      <c r="B30" s="352"/>
      <c r="C30" s="352"/>
      <c r="D30" s="352"/>
      <c r="E30" s="353"/>
      <c r="F30" s="352"/>
      <c r="G30" s="352"/>
      <c r="H30" s="201">
        <f t="shared" ref="H30:M30" si="3">SUM(H5:H29)</f>
        <v>260</v>
      </c>
      <c r="I30" s="96">
        <f>SUM(I5:I29)</f>
        <v>790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250</v>
      </c>
      <c r="L30" s="97">
        <f t="shared" si="3"/>
        <v>750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54"/>
      <c r="S30" s="354"/>
      <c r="T30" s="355"/>
      <c r="U30" s="141"/>
      <c r="X30" s="14">
        <v>4</v>
      </c>
      <c r="Z30" s="45"/>
      <c r="AD30" s="46"/>
    </row>
    <row r="31" spans="1:44" x14ac:dyDescent="0.3">
      <c r="A31" s="356" t="s">
        <v>16</v>
      </c>
      <c r="B31" s="357"/>
      <c r="C31" s="357"/>
      <c r="D31" s="357"/>
      <c r="E31" s="357"/>
      <c r="F31" s="357"/>
      <c r="G31" s="357"/>
      <c r="H31" s="202">
        <f t="shared" ref="H31:J31" si="4">H30+H62+H94</f>
        <v>260</v>
      </c>
      <c r="I31" s="94">
        <f t="shared" si="4"/>
        <v>790</v>
      </c>
      <c r="J31" s="94">
        <f t="shared" si="4"/>
        <v>0</v>
      </c>
      <c r="K31" s="94">
        <f>K30+K62+K94</f>
        <v>250</v>
      </c>
      <c r="L31" s="88">
        <f>L30+L62+L94</f>
        <v>750</v>
      </c>
      <c r="M31" s="88">
        <f>M30+M62+M94</f>
        <v>0</v>
      </c>
      <c r="N31" s="207">
        <f>COUNT(H5:H29,H37:H61,H69:H93)</f>
        <v>4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1010</v>
      </c>
      <c r="T31" s="341">
        <f>H31+I31+L31+M31</f>
        <v>1800</v>
      </c>
      <c r="U31" s="34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9" t="s">
        <v>55</v>
      </c>
      <c r="B32" s="330"/>
      <c r="C32" s="98">
        <f>H31+I31+J31+K31</f>
        <v>1300</v>
      </c>
      <c r="D32" s="186"/>
      <c r="E32" s="98"/>
      <c r="F32" s="331" t="s">
        <v>53</v>
      </c>
      <c r="G32" s="331"/>
      <c r="H32" s="100">
        <f>COUNT(B5:B29,B37:B61,B69:B93)</f>
        <v>16</v>
      </c>
      <c r="I32" s="332" t="s">
        <v>54</v>
      </c>
      <c r="J32" s="332"/>
      <c r="K32" s="99">
        <f>C32/H32</f>
        <v>81.25</v>
      </c>
      <c r="L32" s="208"/>
      <c r="M32" s="208"/>
      <c r="N32" s="208">
        <f>H31/C32</f>
        <v>0.2</v>
      </c>
      <c r="O32" s="208">
        <f>I31/C32</f>
        <v>0.60769230769230764</v>
      </c>
      <c r="P32" s="208">
        <f>K31/C32</f>
        <v>0.19230769230769232</v>
      </c>
      <c r="Q32" s="101">
        <f>J31/C32</f>
        <v>0</v>
      </c>
      <c r="R32" s="90" t="s">
        <v>82</v>
      </c>
      <c r="S32" s="203">
        <f>I31+M31</f>
        <v>790</v>
      </c>
      <c r="T32" s="343"/>
      <c r="U32" s="344"/>
      <c r="V32" s="39"/>
      <c r="W32" s="39"/>
      <c r="X32" s="48" t="s">
        <v>27</v>
      </c>
      <c r="Y32" s="48"/>
      <c r="Z32" s="47">
        <f>I31</f>
        <v>790</v>
      </c>
    </row>
    <row r="33" spans="1:33" ht="17.25" thickBot="1" x14ac:dyDescent="0.35">
      <c r="A33" s="339" t="s">
        <v>24</v>
      </c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297"/>
      <c r="U33" s="298"/>
      <c r="X33" s="49" t="s">
        <v>29</v>
      </c>
      <c r="Y33" s="49"/>
      <c r="Z33" s="50">
        <f>SUM(Z31:Z32)</f>
        <v>-1955</v>
      </c>
      <c r="AG33" s="35"/>
    </row>
    <row r="34" spans="1:33" ht="17.25" thickBot="1" x14ac:dyDescent="0.35">
      <c r="A34" s="296">
        <f>A2</f>
        <v>45263</v>
      </c>
      <c r="B34" s="297"/>
      <c r="C34" s="297"/>
      <c r="D34" s="297"/>
      <c r="E34" s="297"/>
      <c r="F34" s="297"/>
      <c r="G34" s="298"/>
      <c r="H34" s="300" t="s">
        <v>49</v>
      </c>
      <c r="I34" s="301"/>
      <c r="J34" s="296" t="str">
        <f>J2</f>
        <v>CLOUDY</v>
      </c>
      <c r="K34" s="298"/>
      <c r="L34" s="301" t="s">
        <v>50</v>
      </c>
      <c r="M34" s="302"/>
      <c r="N34" s="300"/>
      <c r="O34" s="297" t="str">
        <f>O2</f>
        <v>HENDRA</v>
      </c>
      <c r="P34" s="297"/>
      <c r="Q34" s="298"/>
      <c r="R34" s="301" t="s">
        <v>51</v>
      </c>
      <c r="S34" s="300"/>
      <c r="T34" s="303">
        <f>T2</f>
        <v>4</v>
      </c>
      <c r="U34" s="303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07" t="s">
        <v>8</v>
      </c>
      <c r="P36" s="307"/>
      <c r="Q36" s="30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4"/>
      <c r="P37" s="315"/>
      <c r="Q37" s="316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58"/>
      <c r="P38" s="359"/>
      <c r="Q38" s="36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4"/>
      <c r="P39" s="315"/>
      <c r="Q39" s="316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17"/>
      <c r="P40" s="318"/>
      <c r="Q40" s="319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17"/>
      <c r="P41" s="318"/>
      <c r="Q41" s="319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04"/>
      <c r="P42" s="305"/>
      <c r="Q42" s="30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4"/>
      <c r="P43" s="315"/>
      <c r="Q43" s="316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4"/>
      <c r="P44" s="315"/>
      <c r="Q44" s="316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4"/>
      <c r="P45" s="315"/>
      <c r="Q45" s="316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4"/>
      <c r="P46" s="315"/>
      <c r="Q46" s="316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4"/>
      <c r="P47" s="315"/>
      <c r="Q47" s="316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4"/>
      <c r="P48" s="315"/>
      <c r="Q48" s="316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4"/>
      <c r="P49" s="315"/>
      <c r="Q49" s="316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4"/>
      <c r="P50" s="315"/>
      <c r="Q50" s="316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4"/>
      <c r="P51" s="315"/>
      <c r="Q51" s="315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4"/>
      <c r="P52" s="315"/>
      <c r="Q52" s="315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61"/>
      <c r="P53" s="314"/>
      <c r="Q53" s="314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61"/>
      <c r="P54" s="314"/>
      <c r="Q54" s="314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61"/>
      <c r="P55" s="314"/>
      <c r="Q55" s="314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5"/>
      <c r="P56" s="315"/>
      <c r="Q56" s="315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4"/>
      <c r="P57" s="315"/>
      <c r="Q57" s="315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5"/>
      <c r="P58" s="315"/>
      <c r="Q58" s="315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5"/>
      <c r="P59" s="315"/>
      <c r="Q59" s="315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4"/>
      <c r="P60" s="315"/>
      <c r="Q60" s="316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62"/>
      <c r="P61" s="363"/>
      <c r="Q61" s="364"/>
      <c r="R61" s="72"/>
      <c r="S61" s="59"/>
      <c r="T61" s="59"/>
      <c r="U61" s="68"/>
    </row>
    <row r="62" spans="1:21" x14ac:dyDescent="0.3">
      <c r="A62" s="365" t="s">
        <v>48</v>
      </c>
      <c r="B62" s="366"/>
      <c r="C62" s="366"/>
      <c r="D62" s="366"/>
      <c r="E62" s="366"/>
      <c r="F62" s="366"/>
      <c r="G62" s="366"/>
      <c r="H62" s="366">
        <f t="shared" ref="H62:M62" si="8">SUM(H37:H61)</f>
        <v>0</v>
      </c>
      <c r="I62" s="371">
        <f t="shared" si="8"/>
        <v>0</v>
      </c>
      <c r="J62" s="371">
        <f>J61+J60+J59+J58+J57+J56+J55+J54+J53+J52+J51+J50+J49+J48+J47+J46+J45+J44+J43+J42+J41+J40+J39+J38+J37</f>
        <v>0</v>
      </c>
      <c r="K62" s="371">
        <f>K61+K60+K59+K58+K57+K56+K55+K54+K53+K52+K51+K50+K49+K48+K47+K46+K45+K44+K43+K42+K41+K40+K39+K38+K37</f>
        <v>0</v>
      </c>
      <c r="L62" s="374">
        <f t="shared" si="8"/>
        <v>0</v>
      </c>
      <c r="M62" s="377">
        <f t="shared" si="8"/>
        <v>0</v>
      </c>
      <c r="N62" s="380"/>
      <c r="O62" s="381"/>
      <c r="P62" s="381"/>
      <c r="Q62" s="382"/>
      <c r="R62" s="5"/>
      <c r="S62" s="6"/>
      <c r="T62" s="7"/>
      <c r="U62" s="8"/>
    </row>
    <row r="63" spans="1:21" ht="17.25" thickBot="1" x14ac:dyDescent="0.35">
      <c r="A63" s="367"/>
      <c r="B63" s="368"/>
      <c r="C63" s="368"/>
      <c r="D63" s="368"/>
      <c r="E63" s="368"/>
      <c r="F63" s="368"/>
      <c r="G63" s="368"/>
      <c r="H63" s="368"/>
      <c r="I63" s="372"/>
      <c r="J63" s="372"/>
      <c r="K63" s="372"/>
      <c r="L63" s="375"/>
      <c r="M63" s="378"/>
      <c r="N63" s="383"/>
      <c r="O63" s="384"/>
      <c r="P63" s="384"/>
      <c r="Q63" s="385"/>
      <c r="R63" s="1"/>
      <c r="S63" s="2"/>
      <c r="T63" s="3"/>
      <c r="U63" s="4"/>
    </row>
    <row r="64" spans="1:21" ht="17.25" thickBot="1" x14ac:dyDescent="0.35">
      <c r="A64" s="369"/>
      <c r="B64" s="370"/>
      <c r="C64" s="370"/>
      <c r="D64" s="370"/>
      <c r="E64" s="370"/>
      <c r="F64" s="370"/>
      <c r="G64" s="370"/>
      <c r="H64" s="370"/>
      <c r="I64" s="373"/>
      <c r="J64" s="373"/>
      <c r="K64" s="373"/>
      <c r="L64" s="376"/>
      <c r="M64" s="379"/>
      <c r="N64" s="339"/>
      <c r="O64" s="340"/>
      <c r="P64" s="340"/>
      <c r="Q64" s="386"/>
      <c r="R64" s="387" t="s">
        <v>17</v>
      </c>
      <c r="S64" s="388"/>
      <c r="T64" s="388"/>
      <c r="U64" s="389"/>
    </row>
    <row r="65" spans="1:21" ht="17.25" thickBot="1" x14ac:dyDescent="0.35">
      <c r="A65" s="296" t="s">
        <v>24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8"/>
    </row>
    <row r="66" spans="1:21" ht="17.25" thickBot="1" x14ac:dyDescent="0.35">
      <c r="A66" s="296">
        <f>A34</f>
        <v>45263</v>
      </c>
      <c r="B66" s="297"/>
      <c r="C66" s="297"/>
      <c r="D66" s="297"/>
      <c r="E66" s="297"/>
      <c r="F66" s="297"/>
      <c r="G66" s="298"/>
      <c r="H66" s="300" t="s">
        <v>49</v>
      </c>
      <c r="I66" s="301"/>
      <c r="J66" s="296" t="str">
        <f>J34</f>
        <v>CLOUDY</v>
      </c>
      <c r="K66" s="298"/>
      <c r="L66" s="301" t="s">
        <v>50</v>
      </c>
      <c r="M66" s="302"/>
      <c r="N66" s="300"/>
      <c r="O66" s="297" t="str">
        <f>O34</f>
        <v>HENDRA</v>
      </c>
      <c r="P66" s="297"/>
      <c r="Q66" s="298"/>
      <c r="R66" s="301" t="s">
        <v>51</v>
      </c>
      <c r="S66" s="300"/>
      <c r="T66" s="303">
        <f>T34</f>
        <v>4</v>
      </c>
      <c r="U66" s="303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07" t="s">
        <v>8</v>
      </c>
      <c r="P68" s="307"/>
      <c r="Q68" s="30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4"/>
      <c r="P69" s="315"/>
      <c r="Q69" s="316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58"/>
      <c r="P70" s="359"/>
      <c r="Q70" s="36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4"/>
      <c r="P71" s="315"/>
      <c r="Q71" s="316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17"/>
      <c r="P72" s="318"/>
      <c r="Q72" s="319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17"/>
      <c r="P73" s="318"/>
      <c r="Q73" s="319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04"/>
      <c r="P74" s="305"/>
      <c r="Q74" s="30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4"/>
      <c r="P75" s="315"/>
      <c r="Q75" s="316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4"/>
      <c r="P76" s="315"/>
      <c r="Q76" s="316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4"/>
      <c r="P77" s="315"/>
      <c r="Q77" s="316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4"/>
      <c r="P78" s="315"/>
      <c r="Q78" s="316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4"/>
      <c r="P79" s="315"/>
      <c r="Q79" s="316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4"/>
      <c r="P80" s="315"/>
      <c r="Q80" s="316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4"/>
      <c r="P81" s="315"/>
      <c r="Q81" s="316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4"/>
      <c r="P82" s="315"/>
      <c r="Q82" s="316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4"/>
      <c r="P83" s="315"/>
      <c r="Q83" s="315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4"/>
      <c r="P84" s="315"/>
      <c r="Q84" s="315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61"/>
      <c r="P85" s="314"/>
      <c r="Q85" s="314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61"/>
      <c r="P86" s="314"/>
      <c r="Q86" s="314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61"/>
      <c r="P87" s="314"/>
      <c r="Q87" s="314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5"/>
      <c r="P88" s="315"/>
      <c r="Q88" s="315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4"/>
      <c r="P89" s="315"/>
      <c r="Q89" s="315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5"/>
      <c r="P90" s="315"/>
      <c r="Q90" s="315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5"/>
      <c r="P91" s="315"/>
      <c r="Q91" s="315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4"/>
      <c r="P92" s="315"/>
      <c r="Q92" s="316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62"/>
      <c r="P93" s="363"/>
      <c r="Q93" s="364"/>
      <c r="R93" s="72"/>
      <c r="S93" s="59"/>
      <c r="T93" s="59"/>
      <c r="U93" s="68"/>
    </row>
    <row r="94" spans="1:21" x14ac:dyDescent="0.3">
      <c r="A94" s="365" t="s">
        <v>48</v>
      </c>
      <c r="B94" s="366"/>
      <c r="C94" s="366"/>
      <c r="D94" s="366"/>
      <c r="E94" s="390"/>
      <c r="F94" s="366"/>
      <c r="G94" s="366"/>
      <c r="H94" s="366">
        <f t="shared" ref="H94:M94" si="12">SUM(H69:H93)</f>
        <v>0</v>
      </c>
      <c r="I94" s="371">
        <f t="shared" si="12"/>
        <v>0</v>
      </c>
      <c r="J94" s="371">
        <f>J93+J92+J91+J90+J89+J88+J87+J86+J85+J84+J83+J82+J81+J80+J79+J78+J77+J76+J75+J74+J73+J72+J71+J70+J69</f>
        <v>0</v>
      </c>
      <c r="K94" s="371">
        <f>K93+K92+K91+K90+K89+K88+K87+K86+K85+K84+K83+K82+K81+K80+K79+K78+K77+K76+K75+K74+K73+K72+K71+K70+K69</f>
        <v>0</v>
      </c>
      <c r="L94" s="374">
        <f t="shared" si="12"/>
        <v>0</v>
      </c>
      <c r="M94" s="377">
        <f t="shared" si="12"/>
        <v>0</v>
      </c>
      <c r="N94" s="380"/>
      <c r="O94" s="381"/>
      <c r="P94" s="381"/>
      <c r="Q94" s="382"/>
      <c r="R94" s="5"/>
      <c r="S94" s="6"/>
      <c r="T94" s="7"/>
      <c r="U94" s="8"/>
    </row>
    <row r="95" spans="1:21" ht="17.25" thickBot="1" x14ac:dyDescent="0.35">
      <c r="A95" s="367"/>
      <c r="B95" s="368"/>
      <c r="C95" s="368"/>
      <c r="D95" s="368"/>
      <c r="E95" s="368"/>
      <c r="F95" s="368"/>
      <c r="G95" s="368"/>
      <c r="H95" s="368"/>
      <c r="I95" s="372"/>
      <c r="J95" s="372"/>
      <c r="K95" s="372"/>
      <c r="L95" s="375"/>
      <c r="M95" s="378"/>
      <c r="N95" s="383"/>
      <c r="O95" s="384"/>
      <c r="P95" s="384"/>
      <c r="Q95" s="385"/>
      <c r="R95" s="1"/>
      <c r="S95" s="2"/>
      <c r="T95" s="3"/>
      <c r="U95" s="4"/>
    </row>
    <row r="96" spans="1:21" ht="17.25" thickBot="1" x14ac:dyDescent="0.35">
      <c r="A96" s="369"/>
      <c r="B96" s="370"/>
      <c r="C96" s="370"/>
      <c r="D96" s="370"/>
      <c r="E96" s="370"/>
      <c r="F96" s="370"/>
      <c r="G96" s="370"/>
      <c r="H96" s="370"/>
      <c r="I96" s="373"/>
      <c r="J96" s="373"/>
      <c r="K96" s="373"/>
      <c r="L96" s="376"/>
      <c r="M96" s="379"/>
      <c r="N96" s="339"/>
      <c r="O96" s="340"/>
      <c r="P96" s="340"/>
      <c r="Q96" s="386"/>
      <c r="R96" s="387" t="s">
        <v>52</v>
      </c>
      <c r="S96" s="388"/>
      <c r="T96" s="388"/>
      <c r="U96" s="389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B462-C68E-4864-AE30-7665727EEFF7}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5" workbookViewId="0">
      <selection activeCell="AK27" sqref="AK27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48"/>
      <c r="B1" s="548"/>
      <c r="C1" s="548"/>
      <c r="D1" s="548"/>
      <c r="E1" s="546" t="s">
        <v>59</v>
      </c>
      <c r="F1" s="546"/>
      <c r="G1" s="546"/>
      <c r="H1" s="546" t="s">
        <v>60</v>
      </c>
      <c r="I1" s="546"/>
      <c r="J1" s="546"/>
      <c r="K1" s="546"/>
      <c r="L1" s="546" t="s">
        <v>61</v>
      </c>
      <c r="M1" s="546"/>
      <c r="N1" s="546"/>
      <c r="O1" s="546"/>
      <c r="P1" s="546"/>
      <c r="Q1" s="546" t="s">
        <v>62</v>
      </c>
      <c r="R1" s="546"/>
      <c r="S1" s="546"/>
      <c r="T1" s="546"/>
      <c r="U1" s="546"/>
      <c r="V1" s="546" t="s">
        <v>63</v>
      </c>
      <c r="W1" s="546"/>
      <c r="X1" s="546"/>
      <c r="Y1" s="546"/>
      <c r="Z1" s="546"/>
      <c r="AA1" s="546" t="s">
        <v>64</v>
      </c>
      <c r="AB1" s="546"/>
      <c r="AC1" s="546"/>
      <c r="AD1" s="546"/>
    </row>
    <row r="2" spans="1:30" ht="20.100000000000001" customHeight="1" x14ac:dyDescent="0.3">
      <c r="A2" s="465" t="s">
        <v>66</v>
      </c>
      <c r="B2" s="488" t="s">
        <v>57</v>
      </c>
      <c r="C2" s="488"/>
      <c r="D2" s="547"/>
      <c r="E2" s="547">
        <f>MON!N31</f>
        <v>3</v>
      </c>
      <c r="F2" s="547"/>
      <c r="G2" s="547"/>
      <c r="H2" s="549">
        <f>MON!S31</f>
        <v>585</v>
      </c>
      <c r="I2" s="549"/>
      <c r="J2" s="549"/>
      <c r="K2" s="549"/>
      <c r="L2" s="550">
        <f>MON!N32</f>
        <v>0.1716867469879518</v>
      </c>
      <c r="M2" s="550"/>
      <c r="N2" s="550"/>
      <c r="O2" s="550"/>
      <c r="P2" s="550"/>
      <c r="Q2" s="618">
        <f>SUM(E2:G5)</f>
        <v>21</v>
      </c>
      <c r="R2" s="619"/>
      <c r="S2" s="619"/>
      <c r="T2" s="619"/>
      <c r="U2" s="620"/>
      <c r="V2" s="560">
        <f>SUM(H2,H3,H5)</f>
        <v>2010</v>
      </c>
      <c r="W2" s="561"/>
      <c r="X2" s="561"/>
      <c r="Y2" s="561"/>
      <c r="Z2" s="562"/>
      <c r="AA2" s="569">
        <f>V2/Q2</f>
        <v>95.714285714285708</v>
      </c>
      <c r="AB2" s="570"/>
      <c r="AC2" s="570"/>
      <c r="AD2" s="571"/>
    </row>
    <row r="3" spans="1:30" ht="20.100000000000001" customHeight="1" x14ac:dyDescent="0.3">
      <c r="A3" s="466"/>
      <c r="B3" s="488" t="s">
        <v>58</v>
      </c>
      <c r="C3" s="488"/>
      <c r="D3" s="547"/>
      <c r="E3" s="547">
        <f>MON!O31</f>
        <v>12</v>
      </c>
      <c r="F3" s="547"/>
      <c r="G3" s="547"/>
      <c r="H3" s="549">
        <f>MON!S32</f>
        <v>1425</v>
      </c>
      <c r="I3" s="549"/>
      <c r="J3" s="549"/>
      <c r="K3" s="549"/>
      <c r="L3" s="550">
        <f>MON!O32</f>
        <v>0.57228915662650603</v>
      </c>
      <c r="M3" s="550"/>
      <c r="N3" s="550"/>
      <c r="O3" s="550"/>
      <c r="P3" s="550"/>
      <c r="Q3" s="621"/>
      <c r="R3" s="622"/>
      <c r="S3" s="622"/>
      <c r="T3" s="622"/>
      <c r="U3" s="623"/>
      <c r="V3" s="563"/>
      <c r="W3" s="564"/>
      <c r="X3" s="564"/>
      <c r="Y3" s="564"/>
      <c r="Z3" s="565"/>
      <c r="AA3" s="572"/>
      <c r="AB3" s="573"/>
      <c r="AC3" s="573"/>
      <c r="AD3" s="574"/>
    </row>
    <row r="4" spans="1:30" ht="20.100000000000001" customHeight="1" x14ac:dyDescent="0.3">
      <c r="A4" s="466"/>
      <c r="B4" s="488" t="s">
        <v>45</v>
      </c>
      <c r="C4" s="488"/>
      <c r="D4" s="547"/>
      <c r="E4" s="547">
        <f>MON!P31</f>
        <v>6</v>
      </c>
      <c r="F4" s="547"/>
      <c r="G4" s="547"/>
      <c r="H4" s="549">
        <f>MON!K31</f>
        <v>425</v>
      </c>
      <c r="I4" s="549"/>
      <c r="J4" s="549"/>
      <c r="K4" s="549"/>
      <c r="L4" s="550">
        <f>MON!P32</f>
        <v>0.25602409638554219</v>
      </c>
      <c r="M4" s="550"/>
      <c r="N4" s="550"/>
      <c r="O4" s="550"/>
      <c r="P4" s="550"/>
      <c r="Q4" s="621"/>
      <c r="R4" s="622"/>
      <c r="S4" s="622"/>
      <c r="T4" s="622"/>
      <c r="U4" s="623"/>
      <c r="V4" s="563"/>
      <c r="W4" s="564"/>
      <c r="X4" s="564"/>
      <c r="Y4" s="564"/>
      <c r="Z4" s="565"/>
      <c r="AA4" s="572"/>
      <c r="AB4" s="573"/>
      <c r="AC4" s="573"/>
      <c r="AD4" s="574"/>
    </row>
    <row r="5" spans="1:30" ht="20.100000000000001" customHeight="1" x14ac:dyDescent="0.3">
      <c r="A5" s="466"/>
      <c r="B5" s="486" t="s">
        <v>65</v>
      </c>
      <c r="C5" s="487"/>
      <c r="D5" s="488"/>
      <c r="E5" s="486">
        <f>MON!Q31</f>
        <v>0</v>
      </c>
      <c r="F5" s="487"/>
      <c r="G5" s="488"/>
      <c r="H5" s="606">
        <f>MON!J31</f>
        <v>0</v>
      </c>
      <c r="I5" s="607"/>
      <c r="J5" s="607"/>
      <c r="K5" s="608"/>
      <c r="L5" s="609">
        <f>MON!Q32</f>
        <v>0</v>
      </c>
      <c r="M5" s="610"/>
      <c r="N5" s="610"/>
      <c r="O5" s="610"/>
      <c r="P5" s="611"/>
      <c r="Q5" s="624"/>
      <c r="R5" s="625"/>
      <c r="S5" s="625"/>
      <c r="T5" s="625"/>
      <c r="U5" s="626"/>
      <c r="V5" s="566"/>
      <c r="W5" s="567"/>
      <c r="X5" s="567"/>
      <c r="Y5" s="567"/>
      <c r="Z5" s="568"/>
      <c r="AA5" s="575"/>
      <c r="AB5" s="576"/>
      <c r="AC5" s="576"/>
      <c r="AD5" s="577"/>
    </row>
    <row r="6" spans="1:30" ht="20.100000000000001" customHeight="1" x14ac:dyDescent="0.3">
      <c r="A6" s="467"/>
      <c r="B6" s="486" t="s">
        <v>94</v>
      </c>
      <c r="C6" s="487"/>
      <c r="D6" s="488"/>
      <c r="E6" s="486">
        <f>MON!U16</f>
        <v>38.5</v>
      </c>
      <c r="F6" s="487"/>
      <c r="G6" s="488"/>
      <c r="H6" s="606" t="s">
        <v>95</v>
      </c>
      <c r="I6" s="607"/>
      <c r="J6" s="607"/>
      <c r="K6" s="608"/>
      <c r="L6" s="666">
        <f>MON!T2</f>
        <v>5</v>
      </c>
      <c r="M6" s="667"/>
      <c r="N6" s="667"/>
      <c r="O6" s="667"/>
      <c r="P6" s="668"/>
      <c r="Q6" s="669"/>
      <c r="R6" s="670"/>
      <c r="S6" s="670"/>
      <c r="T6" s="670"/>
      <c r="U6" s="671"/>
      <c r="V6" s="436"/>
      <c r="W6" s="437"/>
      <c r="X6" s="437"/>
      <c r="Y6" s="437"/>
      <c r="Z6" s="438"/>
      <c r="AA6" s="439"/>
      <c r="AB6" s="440"/>
      <c r="AC6" s="440"/>
      <c r="AD6" s="441"/>
    </row>
    <row r="7" spans="1:30" ht="20.100000000000001" customHeight="1" x14ac:dyDescent="0.3">
      <c r="A7" s="468" t="s">
        <v>67</v>
      </c>
      <c r="B7" s="444" t="s">
        <v>57</v>
      </c>
      <c r="C7" s="444"/>
      <c r="D7" s="460"/>
      <c r="E7" s="460">
        <f>TUE!N31</f>
        <v>3</v>
      </c>
      <c r="F7" s="460"/>
      <c r="G7" s="460"/>
      <c r="H7" s="461">
        <f>TUE!S31</f>
        <v>320</v>
      </c>
      <c r="I7" s="461"/>
      <c r="J7" s="461"/>
      <c r="K7" s="461"/>
      <c r="L7" s="462">
        <f>TUE!N32</f>
        <v>0.22615160638312909</v>
      </c>
      <c r="M7" s="463"/>
      <c r="N7" s="463"/>
      <c r="O7" s="463"/>
      <c r="P7" s="464"/>
      <c r="Q7" s="648">
        <f>SUM(E7:G10)</f>
        <v>16</v>
      </c>
      <c r="R7" s="649"/>
      <c r="S7" s="649"/>
      <c r="T7" s="649"/>
      <c r="U7" s="650"/>
      <c r="V7" s="551">
        <f>SUM(H7,H8,H10)</f>
        <v>1290</v>
      </c>
      <c r="W7" s="552"/>
      <c r="X7" s="552"/>
      <c r="Y7" s="552"/>
      <c r="Z7" s="553"/>
      <c r="AA7" s="578">
        <f>V7/Q7</f>
        <v>80.625</v>
      </c>
      <c r="AB7" s="579"/>
      <c r="AC7" s="579"/>
      <c r="AD7" s="580"/>
    </row>
    <row r="8" spans="1:30" ht="20.100000000000001" customHeight="1" x14ac:dyDescent="0.3">
      <c r="A8" s="469"/>
      <c r="B8" s="444" t="s">
        <v>58</v>
      </c>
      <c r="C8" s="444"/>
      <c r="D8" s="460"/>
      <c r="E8" s="460">
        <f>TUE!O31</f>
        <v>7</v>
      </c>
      <c r="F8" s="460"/>
      <c r="G8" s="460"/>
      <c r="H8" s="461">
        <f>TUE!S32</f>
        <v>970</v>
      </c>
      <c r="I8" s="461"/>
      <c r="J8" s="461"/>
      <c r="K8" s="461"/>
      <c r="L8" s="462">
        <f>TUE!O32</f>
        <v>0.47350492586467652</v>
      </c>
      <c r="M8" s="463"/>
      <c r="N8" s="463"/>
      <c r="O8" s="463"/>
      <c r="P8" s="464"/>
      <c r="Q8" s="651"/>
      <c r="R8" s="652"/>
      <c r="S8" s="652"/>
      <c r="T8" s="652"/>
      <c r="U8" s="653"/>
      <c r="V8" s="554"/>
      <c r="W8" s="555"/>
      <c r="X8" s="555"/>
      <c r="Y8" s="555"/>
      <c r="Z8" s="556"/>
      <c r="AA8" s="581"/>
      <c r="AB8" s="582"/>
      <c r="AC8" s="582"/>
      <c r="AD8" s="583"/>
    </row>
    <row r="9" spans="1:30" ht="20.100000000000001" customHeight="1" x14ac:dyDescent="0.3">
      <c r="A9" s="469"/>
      <c r="B9" s="444" t="s">
        <v>45</v>
      </c>
      <c r="C9" s="444"/>
      <c r="D9" s="460"/>
      <c r="E9" s="460">
        <f>TUE!P31</f>
        <v>6</v>
      </c>
      <c r="F9" s="460"/>
      <c r="G9" s="460"/>
      <c r="H9" s="461">
        <f>TUE!K31</f>
        <v>424.98</v>
      </c>
      <c r="I9" s="461"/>
      <c r="J9" s="461"/>
      <c r="K9" s="461"/>
      <c r="L9" s="462">
        <f>TUE!P32</f>
        <v>0.30034346775219439</v>
      </c>
      <c r="M9" s="463"/>
      <c r="N9" s="463"/>
      <c r="O9" s="463"/>
      <c r="P9" s="464"/>
      <c r="Q9" s="651"/>
      <c r="R9" s="652"/>
      <c r="S9" s="652"/>
      <c r="T9" s="652"/>
      <c r="U9" s="653"/>
      <c r="V9" s="554"/>
      <c r="W9" s="555"/>
      <c r="X9" s="555"/>
      <c r="Y9" s="555"/>
      <c r="Z9" s="556"/>
      <c r="AA9" s="581"/>
      <c r="AB9" s="582"/>
      <c r="AC9" s="582"/>
      <c r="AD9" s="583"/>
    </row>
    <row r="10" spans="1:30" ht="20.100000000000001" customHeight="1" x14ac:dyDescent="0.3">
      <c r="A10" s="469"/>
      <c r="B10" s="442" t="s">
        <v>65</v>
      </c>
      <c r="C10" s="443"/>
      <c r="D10" s="444"/>
      <c r="E10" s="442">
        <f>TUE!Q31</f>
        <v>0</v>
      </c>
      <c r="F10" s="443"/>
      <c r="G10" s="444"/>
      <c r="H10" s="445">
        <f>TUE!J31</f>
        <v>0</v>
      </c>
      <c r="I10" s="446"/>
      <c r="J10" s="446"/>
      <c r="K10" s="447"/>
      <c r="L10" s="462">
        <f>TUE!Q32</f>
        <v>0</v>
      </c>
      <c r="M10" s="463"/>
      <c r="N10" s="463"/>
      <c r="O10" s="463"/>
      <c r="P10" s="464"/>
      <c r="Q10" s="654"/>
      <c r="R10" s="655"/>
      <c r="S10" s="655"/>
      <c r="T10" s="655"/>
      <c r="U10" s="656"/>
      <c r="V10" s="557"/>
      <c r="W10" s="558"/>
      <c r="X10" s="558"/>
      <c r="Y10" s="558"/>
      <c r="Z10" s="559"/>
      <c r="AA10" s="584"/>
      <c r="AB10" s="585"/>
      <c r="AC10" s="585"/>
      <c r="AD10" s="586"/>
    </row>
    <row r="11" spans="1:30" ht="20.100000000000001" customHeight="1" x14ac:dyDescent="0.3">
      <c r="A11" s="470"/>
      <c r="B11" s="442" t="s">
        <v>94</v>
      </c>
      <c r="C11" s="443"/>
      <c r="D11" s="444"/>
      <c r="E11" s="442">
        <f>TUE!U16</f>
        <v>31</v>
      </c>
      <c r="F11" s="443"/>
      <c r="G11" s="444"/>
      <c r="H11" s="445" t="s">
        <v>95</v>
      </c>
      <c r="I11" s="446"/>
      <c r="J11" s="446"/>
      <c r="K11" s="447"/>
      <c r="L11" s="448">
        <f>TUE!T2</f>
        <v>4</v>
      </c>
      <c r="M11" s="449"/>
      <c r="N11" s="449"/>
      <c r="O11" s="449"/>
      <c r="P11" s="450"/>
      <c r="Q11" s="451"/>
      <c r="R11" s="452"/>
      <c r="S11" s="452"/>
      <c r="T11" s="452"/>
      <c r="U11" s="453"/>
      <c r="V11" s="454"/>
      <c r="W11" s="455"/>
      <c r="X11" s="455"/>
      <c r="Y11" s="455"/>
      <c r="Z11" s="456"/>
      <c r="AA11" s="457"/>
      <c r="AB11" s="458"/>
      <c r="AC11" s="458"/>
      <c r="AD11" s="459"/>
    </row>
    <row r="12" spans="1:30" ht="20.100000000000001" customHeight="1" x14ac:dyDescent="0.3">
      <c r="A12" s="471" t="s">
        <v>68</v>
      </c>
      <c r="B12" s="491" t="s">
        <v>57</v>
      </c>
      <c r="C12" s="491"/>
      <c r="D12" s="368"/>
      <c r="E12" s="368">
        <f>WED!N31</f>
        <v>4</v>
      </c>
      <c r="F12" s="368"/>
      <c r="G12" s="368"/>
      <c r="H12" s="612">
        <f>WED!S31</f>
        <v>475</v>
      </c>
      <c r="I12" s="613"/>
      <c r="J12" s="613"/>
      <c r="K12" s="614"/>
      <c r="L12" s="615">
        <f>WED!N32</f>
        <v>0.26389182102023356</v>
      </c>
      <c r="M12" s="616"/>
      <c r="N12" s="616"/>
      <c r="O12" s="616"/>
      <c r="P12" s="617"/>
      <c r="Q12" s="627">
        <f>SUM(E12:G15)</f>
        <v>20</v>
      </c>
      <c r="R12" s="628"/>
      <c r="S12" s="628"/>
      <c r="T12" s="628"/>
      <c r="U12" s="629"/>
      <c r="V12" s="408">
        <f>SUM(H12,H13,H15)</f>
        <v>2850</v>
      </c>
      <c r="W12" s="409"/>
      <c r="X12" s="409"/>
      <c r="Y12" s="409"/>
      <c r="Z12" s="410"/>
      <c r="AA12" s="399">
        <f>V12/Q12</f>
        <v>142.5</v>
      </c>
      <c r="AB12" s="400"/>
      <c r="AC12" s="400"/>
      <c r="AD12" s="401"/>
    </row>
    <row r="13" spans="1:30" ht="20.100000000000001" customHeight="1" x14ac:dyDescent="0.3">
      <c r="A13" s="472"/>
      <c r="B13" s="491" t="s">
        <v>58</v>
      </c>
      <c r="C13" s="491"/>
      <c r="D13" s="368"/>
      <c r="E13" s="368">
        <f>WED!O31</f>
        <v>8</v>
      </c>
      <c r="F13" s="368"/>
      <c r="G13" s="368"/>
      <c r="H13" s="612">
        <f>WED!S32</f>
        <v>2375</v>
      </c>
      <c r="I13" s="613"/>
      <c r="J13" s="613"/>
      <c r="K13" s="614"/>
      <c r="L13" s="615">
        <f>WED!O32</f>
        <v>0.47222746919410213</v>
      </c>
      <c r="M13" s="616"/>
      <c r="N13" s="616"/>
      <c r="O13" s="616"/>
      <c r="P13" s="617"/>
      <c r="Q13" s="630"/>
      <c r="R13" s="631"/>
      <c r="S13" s="631"/>
      <c r="T13" s="631"/>
      <c r="U13" s="632"/>
      <c r="V13" s="411"/>
      <c r="W13" s="412"/>
      <c r="X13" s="412"/>
      <c r="Y13" s="412"/>
      <c r="Z13" s="413"/>
      <c r="AA13" s="402"/>
      <c r="AB13" s="403"/>
      <c r="AC13" s="403"/>
      <c r="AD13" s="404"/>
    </row>
    <row r="14" spans="1:30" ht="20.100000000000001" customHeight="1" x14ac:dyDescent="0.3">
      <c r="A14" s="472"/>
      <c r="B14" s="491" t="s">
        <v>45</v>
      </c>
      <c r="C14" s="491"/>
      <c r="D14" s="368"/>
      <c r="E14" s="368">
        <f>WED!P31</f>
        <v>8</v>
      </c>
      <c r="F14" s="368"/>
      <c r="G14" s="368"/>
      <c r="H14" s="612">
        <f>WED!K31</f>
        <v>474.98</v>
      </c>
      <c r="I14" s="613"/>
      <c r="J14" s="613"/>
      <c r="K14" s="614"/>
      <c r="L14" s="615">
        <f>WED!P32</f>
        <v>0.2638807097856643</v>
      </c>
      <c r="M14" s="616"/>
      <c r="N14" s="616"/>
      <c r="O14" s="616"/>
      <c r="P14" s="617"/>
      <c r="Q14" s="630"/>
      <c r="R14" s="631"/>
      <c r="S14" s="631"/>
      <c r="T14" s="631"/>
      <c r="U14" s="632"/>
      <c r="V14" s="411"/>
      <c r="W14" s="412"/>
      <c r="X14" s="412"/>
      <c r="Y14" s="412"/>
      <c r="Z14" s="413"/>
      <c r="AA14" s="402"/>
      <c r="AB14" s="403"/>
      <c r="AC14" s="403"/>
      <c r="AD14" s="404"/>
    </row>
    <row r="15" spans="1:30" ht="20.100000000000001" customHeight="1" x14ac:dyDescent="0.3">
      <c r="A15" s="472"/>
      <c r="B15" s="489" t="s">
        <v>65</v>
      </c>
      <c r="C15" s="490"/>
      <c r="D15" s="491"/>
      <c r="E15" s="489">
        <f>WED!Q31</f>
        <v>0</v>
      </c>
      <c r="F15" s="490"/>
      <c r="G15" s="491"/>
      <c r="H15" s="612">
        <f>WED!J31</f>
        <v>0</v>
      </c>
      <c r="I15" s="613"/>
      <c r="J15" s="613"/>
      <c r="K15" s="614"/>
      <c r="L15" s="615">
        <f>WED!Q32</f>
        <v>0</v>
      </c>
      <c r="M15" s="616"/>
      <c r="N15" s="616"/>
      <c r="O15" s="616"/>
      <c r="P15" s="617"/>
      <c r="Q15" s="633"/>
      <c r="R15" s="634"/>
      <c r="S15" s="634"/>
      <c r="T15" s="634"/>
      <c r="U15" s="635"/>
      <c r="V15" s="414"/>
      <c r="W15" s="415"/>
      <c r="X15" s="415"/>
      <c r="Y15" s="415"/>
      <c r="Z15" s="416"/>
      <c r="AA15" s="405"/>
      <c r="AB15" s="406"/>
      <c r="AC15" s="406"/>
      <c r="AD15" s="407"/>
    </row>
    <row r="16" spans="1:30" ht="20.100000000000001" customHeight="1" x14ac:dyDescent="0.3">
      <c r="A16" s="473"/>
      <c r="B16" s="489" t="s">
        <v>94</v>
      </c>
      <c r="C16" s="490"/>
      <c r="D16" s="491"/>
      <c r="E16" s="489">
        <f>WED!U16</f>
        <v>38.250000000000007</v>
      </c>
      <c r="F16" s="490"/>
      <c r="G16" s="491"/>
      <c r="H16" s="612" t="s">
        <v>95</v>
      </c>
      <c r="I16" s="613"/>
      <c r="J16" s="613"/>
      <c r="K16" s="614"/>
      <c r="L16" s="672">
        <f>WED!T2</f>
        <v>5</v>
      </c>
      <c r="M16" s="673"/>
      <c r="N16" s="673"/>
      <c r="O16" s="673"/>
      <c r="P16" s="674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474" t="s">
        <v>69</v>
      </c>
      <c r="B17" s="494" t="s">
        <v>57</v>
      </c>
      <c r="C17" s="494"/>
      <c r="D17" s="421"/>
      <c r="E17" s="421">
        <f>THU!N31</f>
        <v>4</v>
      </c>
      <c r="F17" s="421"/>
      <c r="G17" s="421"/>
      <c r="H17" s="420">
        <f>THU!S31</f>
        <v>1375</v>
      </c>
      <c r="I17" s="420"/>
      <c r="J17" s="420"/>
      <c r="K17" s="420"/>
      <c r="L17" s="430">
        <f>THU!N32</f>
        <v>0.22693026886698256</v>
      </c>
      <c r="M17" s="430"/>
      <c r="N17" s="430"/>
      <c r="O17" s="430"/>
      <c r="P17" s="430"/>
      <c r="Q17" s="657">
        <f>SUM(E17:G20)</f>
        <v>21</v>
      </c>
      <c r="R17" s="658"/>
      <c r="S17" s="658"/>
      <c r="T17" s="658"/>
      <c r="U17" s="659"/>
      <c r="V17" s="597">
        <f>SUM(H17,H18,H20)</f>
        <v>3165</v>
      </c>
      <c r="W17" s="598"/>
      <c r="X17" s="598"/>
      <c r="Y17" s="598"/>
      <c r="Z17" s="599"/>
      <c r="AA17" s="588">
        <f>V17/Q17</f>
        <v>150.71428571428572</v>
      </c>
      <c r="AB17" s="589"/>
      <c r="AC17" s="589"/>
      <c r="AD17" s="590"/>
    </row>
    <row r="18" spans="1:30" ht="20.100000000000001" customHeight="1" x14ac:dyDescent="0.3">
      <c r="A18" s="475"/>
      <c r="B18" s="494" t="s">
        <v>58</v>
      </c>
      <c r="C18" s="494"/>
      <c r="D18" s="421"/>
      <c r="E18" s="421">
        <f>THU!O31</f>
        <v>9</v>
      </c>
      <c r="F18" s="421"/>
      <c r="G18" s="421"/>
      <c r="H18" s="420">
        <f>THU!S32</f>
        <v>1790</v>
      </c>
      <c r="I18" s="420"/>
      <c r="J18" s="420"/>
      <c r="K18" s="420"/>
      <c r="L18" s="430">
        <f>THU!O32</f>
        <v>0.50832380226204088</v>
      </c>
      <c r="M18" s="430"/>
      <c r="N18" s="430"/>
      <c r="O18" s="430"/>
      <c r="P18" s="430"/>
      <c r="Q18" s="660"/>
      <c r="R18" s="661"/>
      <c r="S18" s="661"/>
      <c r="T18" s="661"/>
      <c r="U18" s="662"/>
      <c r="V18" s="600"/>
      <c r="W18" s="601"/>
      <c r="X18" s="601"/>
      <c r="Y18" s="601"/>
      <c r="Z18" s="602"/>
      <c r="AA18" s="591"/>
      <c r="AB18" s="592"/>
      <c r="AC18" s="592"/>
      <c r="AD18" s="593"/>
    </row>
    <row r="19" spans="1:30" ht="20.100000000000001" customHeight="1" x14ac:dyDescent="0.3">
      <c r="A19" s="475"/>
      <c r="B19" s="494" t="s">
        <v>45</v>
      </c>
      <c r="C19" s="494"/>
      <c r="D19" s="421"/>
      <c r="E19" s="421">
        <f>THU!P31</f>
        <v>8</v>
      </c>
      <c r="F19" s="421"/>
      <c r="G19" s="421"/>
      <c r="H19" s="420">
        <f>THU!K31</f>
        <v>437.49</v>
      </c>
      <c r="I19" s="420"/>
      <c r="J19" s="420"/>
      <c r="K19" s="420"/>
      <c r="L19" s="430">
        <f>THU!P32</f>
        <v>0.26474592887097653</v>
      </c>
      <c r="M19" s="430"/>
      <c r="N19" s="430"/>
      <c r="O19" s="430"/>
      <c r="P19" s="430"/>
      <c r="Q19" s="660"/>
      <c r="R19" s="661"/>
      <c r="S19" s="661"/>
      <c r="T19" s="661"/>
      <c r="U19" s="662"/>
      <c r="V19" s="600"/>
      <c r="W19" s="601"/>
      <c r="X19" s="601"/>
      <c r="Y19" s="601"/>
      <c r="Z19" s="602"/>
      <c r="AA19" s="591"/>
      <c r="AB19" s="592"/>
      <c r="AC19" s="592"/>
      <c r="AD19" s="593"/>
    </row>
    <row r="20" spans="1:30" ht="20.100000000000001" customHeight="1" x14ac:dyDescent="0.3">
      <c r="A20" s="475"/>
      <c r="B20" s="492" t="s">
        <v>65</v>
      </c>
      <c r="C20" s="493"/>
      <c r="D20" s="494"/>
      <c r="E20" s="492">
        <f>THU!Q31</f>
        <v>0</v>
      </c>
      <c r="F20" s="493"/>
      <c r="G20" s="494"/>
      <c r="H20" s="675">
        <f>THU!J31</f>
        <v>0</v>
      </c>
      <c r="I20" s="676"/>
      <c r="J20" s="676"/>
      <c r="K20" s="677"/>
      <c r="L20" s="687">
        <f>THU!Q32</f>
        <v>0</v>
      </c>
      <c r="M20" s="688"/>
      <c r="N20" s="688"/>
      <c r="O20" s="688"/>
      <c r="P20" s="689"/>
      <c r="Q20" s="663"/>
      <c r="R20" s="664"/>
      <c r="S20" s="664"/>
      <c r="T20" s="664"/>
      <c r="U20" s="665"/>
      <c r="V20" s="603"/>
      <c r="W20" s="604"/>
      <c r="X20" s="604"/>
      <c r="Y20" s="604"/>
      <c r="Z20" s="605"/>
      <c r="AA20" s="594"/>
      <c r="AB20" s="595"/>
      <c r="AC20" s="595"/>
      <c r="AD20" s="596"/>
    </row>
    <row r="21" spans="1:30" ht="20.100000000000001" customHeight="1" x14ac:dyDescent="0.3">
      <c r="A21" s="476"/>
      <c r="B21" s="492" t="s">
        <v>94</v>
      </c>
      <c r="C21" s="493"/>
      <c r="D21" s="494"/>
      <c r="E21" s="492">
        <f>THU!U16</f>
        <v>40.5</v>
      </c>
      <c r="F21" s="493"/>
      <c r="G21" s="494"/>
      <c r="H21" s="675" t="s">
        <v>95</v>
      </c>
      <c r="I21" s="676"/>
      <c r="J21" s="676"/>
      <c r="K21" s="677"/>
      <c r="L21" s="694">
        <f>THU!T2</f>
        <v>6</v>
      </c>
      <c r="M21" s="695"/>
      <c r="N21" s="695"/>
      <c r="O21" s="695"/>
      <c r="P21" s="696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477" t="s">
        <v>93</v>
      </c>
      <c r="B22" s="497" t="s">
        <v>57</v>
      </c>
      <c r="C22" s="497"/>
      <c r="D22" s="502"/>
      <c r="E22" s="502">
        <f>FRI!N31</f>
        <v>6</v>
      </c>
      <c r="F22" s="502"/>
      <c r="G22" s="502"/>
      <c r="H22" s="425">
        <f>FRI!S31</f>
        <v>925</v>
      </c>
      <c r="I22" s="425"/>
      <c r="J22" s="425"/>
      <c r="K22" s="425"/>
      <c r="L22" s="426">
        <f>FRI!N32</f>
        <v>0.37297458583604681</v>
      </c>
      <c r="M22" s="426"/>
      <c r="N22" s="426"/>
      <c r="O22" s="426"/>
      <c r="P22" s="426"/>
      <c r="Q22" s="733">
        <f>SUM(E22:G25)</f>
        <v>19</v>
      </c>
      <c r="R22" s="734"/>
      <c r="S22" s="734"/>
      <c r="T22" s="734"/>
      <c r="U22" s="735"/>
      <c r="V22" s="678">
        <f>SUM(H22,H23,H25)</f>
        <v>2225</v>
      </c>
      <c r="W22" s="679"/>
      <c r="X22" s="679"/>
      <c r="Y22" s="679"/>
      <c r="Z22" s="680"/>
      <c r="AA22" s="700">
        <f>V22/Q22</f>
        <v>117.10526315789474</v>
      </c>
      <c r="AB22" s="701"/>
      <c r="AC22" s="701"/>
      <c r="AD22" s="702"/>
    </row>
    <row r="23" spans="1:30" ht="20.100000000000001" customHeight="1" x14ac:dyDescent="0.3">
      <c r="A23" s="478"/>
      <c r="B23" s="497" t="s">
        <v>58</v>
      </c>
      <c r="C23" s="497"/>
      <c r="D23" s="502"/>
      <c r="E23" s="502">
        <f>FRI!O31</f>
        <v>9</v>
      </c>
      <c r="F23" s="502"/>
      <c r="G23" s="502"/>
      <c r="H23" s="425">
        <f>FRI!S32</f>
        <v>1240</v>
      </c>
      <c r="I23" s="425"/>
      <c r="J23" s="425"/>
      <c r="K23" s="425"/>
      <c r="L23" s="426">
        <f>FRI!O32</f>
        <v>0.49621836202534925</v>
      </c>
      <c r="M23" s="426"/>
      <c r="N23" s="426"/>
      <c r="O23" s="426"/>
      <c r="P23" s="426"/>
      <c r="Q23" s="736"/>
      <c r="R23" s="737"/>
      <c r="S23" s="737"/>
      <c r="T23" s="737"/>
      <c r="U23" s="738"/>
      <c r="V23" s="681"/>
      <c r="W23" s="682"/>
      <c r="X23" s="682"/>
      <c r="Y23" s="682"/>
      <c r="Z23" s="683"/>
      <c r="AA23" s="703"/>
      <c r="AB23" s="704"/>
      <c r="AC23" s="704"/>
      <c r="AD23" s="705"/>
    </row>
    <row r="24" spans="1:30" ht="20.100000000000001" customHeight="1" x14ac:dyDescent="0.3">
      <c r="A24" s="478"/>
      <c r="B24" s="497" t="s">
        <v>45</v>
      </c>
      <c r="C24" s="497"/>
      <c r="D24" s="502"/>
      <c r="E24" s="502">
        <f>FRI!P31</f>
        <v>3</v>
      </c>
      <c r="F24" s="502"/>
      <c r="G24" s="502"/>
      <c r="H24" s="425">
        <f>FRI!K31</f>
        <v>141.66</v>
      </c>
      <c r="I24" s="425"/>
      <c r="J24" s="425"/>
      <c r="K24" s="425"/>
      <c r="L24" s="426">
        <f>FRI!P32</f>
        <v>9.1887964920929377E-2</v>
      </c>
      <c r="M24" s="426"/>
      <c r="N24" s="426"/>
      <c r="O24" s="426"/>
      <c r="P24" s="426"/>
      <c r="Q24" s="736"/>
      <c r="R24" s="737"/>
      <c r="S24" s="737"/>
      <c r="T24" s="737"/>
      <c r="U24" s="738"/>
      <c r="V24" s="681"/>
      <c r="W24" s="682"/>
      <c r="X24" s="682"/>
      <c r="Y24" s="682"/>
      <c r="Z24" s="683"/>
      <c r="AA24" s="703"/>
      <c r="AB24" s="704"/>
      <c r="AC24" s="704"/>
      <c r="AD24" s="705"/>
    </row>
    <row r="25" spans="1:30" ht="20.100000000000001" customHeight="1" x14ac:dyDescent="0.3">
      <c r="A25" s="478"/>
      <c r="B25" s="495" t="s">
        <v>65</v>
      </c>
      <c r="C25" s="496"/>
      <c r="D25" s="497"/>
      <c r="E25" s="495">
        <f>FRI!Q31</f>
        <v>1</v>
      </c>
      <c r="F25" s="496"/>
      <c r="G25" s="497"/>
      <c r="H25" s="727">
        <f>FRI!J31</f>
        <v>60</v>
      </c>
      <c r="I25" s="728"/>
      <c r="J25" s="728"/>
      <c r="K25" s="729"/>
      <c r="L25" s="730">
        <f>FRI!Q32</f>
        <v>3.8919087217674453E-2</v>
      </c>
      <c r="M25" s="731"/>
      <c r="N25" s="731"/>
      <c r="O25" s="731"/>
      <c r="P25" s="732"/>
      <c r="Q25" s="739"/>
      <c r="R25" s="740"/>
      <c r="S25" s="740"/>
      <c r="T25" s="740"/>
      <c r="U25" s="741"/>
      <c r="V25" s="684"/>
      <c r="W25" s="685"/>
      <c r="X25" s="685"/>
      <c r="Y25" s="685"/>
      <c r="Z25" s="686"/>
      <c r="AA25" s="706"/>
      <c r="AB25" s="707"/>
      <c r="AC25" s="707"/>
      <c r="AD25" s="708"/>
    </row>
    <row r="26" spans="1:30" ht="20.100000000000001" customHeight="1" x14ac:dyDescent="0.3">
      <c r="A26" s="479"/>
      <c r="B26" s="495" t="s">
        <v>94</v>
      </c>
      <c r="C26" s="496"/>
      <c r="D26" s="497"/>
      <c r="E26" s="495">
        <f>FRI!U16</f>
        <v>43</v>
      </c>
      <c r="F26" s="496"/>
      <c r="G26" s="497"/>
      <c r="H26" s="727" t="s">
        <v>95</v>
      </c>
      <c r="I26" s="728"/>
      <c r="J26" s="728"/>
      <c r="K26" s="729"/>
      <c r="L26" s="697">
        <f>FRI!T2</f>
        <v>5</v>
      </c>
      <c r="M26" s="698"/>
      <c r="N26" s="698"/>
      <c r="O26" s="698"/>
      <c r="P26" s="699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480" t="s">
        <v>70</v>
      </c>
      <c r="B27" s="435" t="s">
        <v>57</v>
      </c>
      <c r="C27" s="435"/>
      <c r="D27" s="432"/>
      <c r="E27" s="432">
        <f>SAT!N31</f>
        <v>5</v>
      </c>
      <c r="F27" s="432"/>
      <c r="G27" s="432"/>
      <c r="H27" s="587">
        <f>SAT!S31</f>
        <v>990</v>
      </c>
      <c r="I27" s="587"/>
      <c r="J27" s="587"/>
      <c r="K27" s="587"/>
      <c r="L27" s="431">
        <f>SAT!N32</f>
        <v>0.21972864578888981</v>
      </c>
      <c r="M27" s="431"/>
      <c r="N27" s="431"/>
      <c r="O27" s="431"/>
      <c r="P27" s="431"/>
      <c r="Q27" s="636">
        <f>SUM(E27:G30)</f>
        <v>29</v>
      </c>
      <c r="R27" s="637"/>
      <c r="S27" s="637"/>
      <c r="T27" s="637"/>
      <c r="U27" s="638"/>
      <c r="V27" s="718">
        <f>SUM(H27,H28,H30)</f>
        <v>3088</v>
      </c>
      <c r="W27" s="719"/>
      <c r="X27" s="719"/>
      <c r="Y27" s="719"/>
      <c r="Z27" s="720"/>
      <c r="AA27" s="709">
        <f>V27/Q27</f>
        <v>106.48275862068965</v>
      </c>
      <c r="AB27" s="710"/>
      <c r="AC27" s="710"/>
      <c r="AD27" s="711"/>
    </row>
    <row r="28" spans="1:30" ht="20.100000000000001" customHeight="1" x14ac:dyDescent="0.3">
      <c r="A28" s="481"/>
      <c r="B28" s="435" t="s">
        <v>58</v>
      </c>
      <c r="C28" s="435"/>
      <c r="D28" s="432"/>
      <c r="E28" s="432">
        <f>SAT!O31</f>
        <v>13</v>
      </c>
      <c r="F28" s="432"/>
      <c r="G28" s="432"/>
      <c r="H28" s="587">
        <f>SAT!S32</f>
        <v>2098</v>
      </c>
      <c r="I28" s="587"/>
      <c r="J28" s="587"/>
      <c r="K28" s="587"/>
      <c r="L28" s="431">
        <f>SAT!O32</f>
        <v>0.43519071593139341</v>
      </c>
      <c r="M28" s="431"/>
      <c r="N28" s="431"/>
      <c r="O28" s="431"/>
      <c r="P28" s="431"/>
      <c r="Q28" s="639"/>
      <c r="R28" s="640"/>
      <c r="S28" s="640"/>
      <c r="T28" s="640"/>
      <c r="U28" s="641"/>
      <c r="V28" s="721"/>
      <c r="W28" s="722"/>
      <c r="X28" s="722"/>
      <c r="Y28" s="722"/>
      <c r="Z28" s="723"/>
      <c r="AA28" s="712"/>
      <c r="AB28" s="713"/>
      <c r="AC28" s="713"/>
      <c r="AD28" s="714"/>
    </row>
    <row r="29" spans="1:30" ht="20.100000000000001" customHeight="1" x14ac:dyDescent="0.3">
      <c r="A29" s="481"/>
      <c r="B29" s="435" t="s">
        <v>45</v>
      </c>
      <c r="C29" s="435"/>
      <c r="D29" s="432"/>
      <c r="E29" s="432">
        <f>SAT!P31</f>
        <v>11</v>
      </c>
      <c r="F29" s="432"/>
      <c r="G29" s="432"/>
      <c r="H29" s="587">
        <f>SAT!K31</f>
        <v>808.8</v>
      </c>
      <c r="I29" s="587"/>
      <c r="J29" s="587"/>
      <c r="K29" s="587"/>
      <c r="L29" s="431">
        <f>SAT!P32</f>
        <v>0.34508063827971663</v>
      </c>
      <c r="M29" s="431"/>
      <c r="N29" s="431"/>
      <c r="O29" s="431"/>
      <c r="P29" s="431"/>
      <c r="Q29" s="639"/>
      <c r="R29" s="640"/>
      <c r="S29" s="640"/>
      <c r="T29" s="640"/>
      <c r="U29" s="641"/>
      <c r="V29" s="721"/>
      <c r="W29" s="722"/>
      <c r="X29" s="722"/>
      <c r="Y29" s="722"/>
      <c r="Z29" s="723"/>
      <c r="AA29" s="712"/>
      <c r="AB29" s="713"/>
      <c r="AC29" s="713"/>
      <c r="AD29" s="714"/>
    </row>
    <row r="30" spans="1:30" ht="20.100000000000001" customHeight="1" x14ac:dyDescent="0.3">
      <c r="A30" s="481"/>
      <c r="B30" s="433" t="s">
        <v>65</v>
      </c>
      <c r="C30" s="434"/>
      <c r="D30" s="435"/>
      <c r="E30" s="433">
        <f>SAT!Q31</f>
        <v>0</v>
      </c>
      <c r="F30" s="434"/>
      <c r="G30" s="435"/>
      <c r="H30" s="427">
        <f>SAT!J31</f>
        <v>0</v>
      </c>
      <c r="I30" s="428"/>
      <c r="J30" s="428"/>
      <c r="K30" s="429"/>
      <c r="L30" s="645">
        <f>SAT!Q32</f>
        <v>0</v>
      </c>
      <c r="M30" s="646"/>
      <c r="N30" s="646"/>
      <c r="O30" s="646"/>
      <c r="P30" s="647"/>
      <c r="Q30" s="642"/>
      <c r="R30" s="643"/>
      <c r="S30" s="643"/>
      <c r="T30" s="643"/>
      <c r="U30" s="644"/>
      <c r="V30" s="724"/>
      <c r="W30" s="725"/>
      <c r="X30" s="725"/>
      <c r="Y30" s="725"/>
      <c r="Z30" s="726"/>
      <c r="AA30" s="715"/>
      <c r="AB30" s="716"/>
      <c r="AC30" s="716"/>
      <c r="AD30" s="717"/>
    </row>
    <row r="31" spans="1:30" ht="20.100000000000001" customHeight="1" x14ac:dyDescent="0.3">
      <c r="A31" s="482"/>
      <c r="B31" s="433" t="s">
        <v>94</v>
      </c>
      <c r="C31" s="434"/>
      <c r="D31" s="435"/>
      <c r="E31" s="433">
        <f>SAT!U16</f>
        <v>52</v>
      </c>
      <c r="F31" s="434"/>
      <c r="G31" s="435"/>
      <c r="H31" s="427" t="s">
        <v>95</v>
      </c>
      <c r="I31" s="428"/>
      <c r="J31" s="428"/>
      <c r="K31" s="429"/>
      <c r="L31" s="417">
        <f>SAT!T2</f>
        <v>7</v>
      </c>
      <c r="M31" s="418"/>
      <c r="N31" s="418"/>
      <c r="O31" s="418"/>
      <c r="P31" s="419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483" t="s">
        <v>71</v>
      </c>
      <c r="B32" s="501" t="s">
        <v>57</v>
      </c>
      <c r="C32" s="422"/>
      <c r="D32" s="422"/>
      <c r="E32" s="422">
        <f>SUN!N31</f>
        <v>4</v>
      </c>
      <c r="F32" s="422"/>
      <c r="G32" s="422"/>
      <c r="H32" s="423">
        <f>SUN!S31</f>
        <v>1010</v>
      </c>
      <c r="I32" s="423"/>
      <c r="J32" s="423"/>
      <c r="K32" s="423"/>
      <c r="L32" s="424">
        <f>SUN!N32</f>
        <v>0.2</v>
      </c>
      <c r="M32" s="424"/>
      <c r="N32" s="424"/>
      <c r="O32" s="424"/>
      <c r="P32" s="424"/>
      <c r="Q32" s="693">
        <f>SUM(E32:G35)</f>
        <v>16</v>
      </c>
      <c r="R32" s="693"/>
      <c r="S32" s="693"/>
      <c r="T32" s="693"/>
      <c r="U32" s="693"/>
      <c r="V32" s="751">
        <f>SUM(H32,H33,H35)</f>
        <v>1800</v>
      </c>
      <c r="W32" s="751"/>
      <c r="X32" s="751"/>
      <c r="Y32" s="751"/>
      <c r="Z32" s="751"/>
      <c r="AA32" s="765">
        <f>V32/Q32</f>
        <v>112.5</v>
      </c>
      <c r="AB32" s="766"/>
      <c r="AC32" s="766"/>
      <c r="AD32" s="766"/>
    </row>
    <row r="33" spans="1:30" ht="20.100000000000001" customHeight="1" x14ac:dyDescent="0.3">
      <c r="A33" s="484"/>
      <c r="B33" s="501" t="s">
        <v>58</v>
      </c>
      <c r="C33" s="422"/>
      <c r="D33" s="422"/>
      <c r="E33" s="422">
        <f>SUN!O31</f>
        <v>10</v>
      </c>
      <c r="F33" s="422"/>
      <c r="G33" s="422"/>
      <c r="H33" s="423">
        <f>SUN!S32</f>
        <v>790</v>
      </c>
      <c r="I33" s="423"/>
      <c r="J33" s="423"/>
      <c r="K33" s="423"/>
      <c r="L33" s="424">
        <f>SUN!O32</f>
        <v>0.60769230769230764</v>
      </c>
      <c r="M33" s="424"/>
      <c r="N33" s="424"/>
      <c r="O33" s="424"/>
      <c r="P33" s="424"/>
      <c r="Q33" s="693"/>
      <c r="R33" s="693"/>
      <c r="S33" s="693"/>
      <c r="T33" s="693"/>
      <c r="U33" s="693"/>
      <c r="V33" s="751"/>
      <c r="W33" s="751"/>
      <c r="X33" s="751"/>
      <c r="Y33" s="751"/>
      <c r="Z33" s="751"/>
      <c r="AA33" s="766"/>
      <c r="AB33" s="766"/>
      <c r="AC33" s="766"/>
      <c r="AD33" s="766"/>
    </row>
    <row r="34" spans="1:30" ht="20.100000000000001" customHeight="1" x14ac:dyDescent="0.3">
      <c r="A34" s="484"/>
      <c r="B34" s="501" t="s">
        <v>45</v>
      </c>
      <c r="C34" s="422"/>
      <c r="D34" s="422"/>
      <c r="E34" s="422">
        <f>SUN!P31</f>
        <v>2</v>
      </c>
      <c r="F34" s="422"/>
      <c r="G34" s="422"/>
      <c r="H34" s="423">
        <f>SUN!K31</f>
        <v>250</v>
      </c>
      <c r="I34" s="423"/>
      <c r="J34" s="423"/>
      <c r="K34" s="423"/>
      <c r="L34" s="424">
        <f>SUN!P32</f>
        <v>0.19230769230769232</v>
      </c>
      <c r="M34" s="424"/>
      <c r="N34" s="424"/>
      <c r="O34" s="424"/>
      <c r="P34" s="424"/>
      <c r="Q34" s="693"/>
      <c r="R34" s="693"/>
      <c r="S34" s="693"/>
      <c r="T34" s="693"/>
      <c r="U34" s="693"/>
      <c r="V34" s="751"/>
      <c r="W34" s="751"/>
      <c r="X34" s="751"/>
      <c r="Y34" s="751"/>
      <c r="Z34" s="751"/>
      <c r="AA34" s="766"/>
      <c r="AB34" s="766"/>
      <c r="AC34" s="766"/>
      <c r="AD34" s="766"/>
    </row>
    <row r="35" spans="1:30" ht="20.100000000000001" customHeight="1" x14ac:dyDescent="0.3">
      <c r="A35" s="484"/>
      <c r="B35" s="501" t="s">
        <v>65</v>
      </c>
      <c r="C35" s="422"/>
      <c r="D35" s="422"/>
      <c r="E35" s="422">
        <f>SUN!Q31</f>
        <v>0</v>
      </c>
      <c r="F35" s="422"/>
      <c r="G35" s="422"/>
      <c r="H35" s="423">
        <f>SUN!J31</f>
        <v>0</v>
      </c>
      <c r="I35" s="423"/>
      <c r="J35" s="423"/>
      <c r="K35" s="423"/>
      <c r="L35" s="424">
        <f>SUN!Q32</f>
        <v>0</v>
      </c>
      <c r="M35" s="424"/>
      <c r="N35" s="424"/>
      <c r="O35" s="424"/>
      <c r="P35" s="424"/>
      <c r="Q35" s="693"/>
      <c r="R35" s="693"/>
      <c r="S35" s="693"/>
      <c r="T35" s="693"/>
      <c r="U35" s="693"/>
      <c r="V35" s="751"/>
      <c r="W35" s="751"/>
      <c r="X35" s="751"/>
      <c r="Y35" s="751"/>
      <c r="Z35" s="751"/>
      <c r="AA35" s="766"/>
      <c r="AB35" s="766"/>
      <c r="AC35" s="766"/>
      <c r="AD35" s="766"/>
    </row>
    <row r="36" spans="1:30" ht="20.100000000000001" customHeight="1" thickBot="1" x14ac:dyDescent="0.35">
      <c r="A36" s="485"/>
      <c r="B36" s="498" t="s">
        <v>94</v>
      </c>
      <c r="C36" s="499"/>
      <c r="D36" s="500"/>
      <c r="E36" s="498">
        <f>SUN!U16</f>
        <v>34</v>
      </c>
      <c r="F36" s="499"/>
      <c r="G36" s="500"/>
      <c r="H36" s="498" t="s">
        <v>95</v>
      </c>
      <c r="I36" s="499"/>
      <c r="J36" s="499"/>
      <c r="K36" s="500"/>
      <c r="L36" s="767">
        <f>SUN!T2</f>
        <v>4</v>
      </c>
      <c r="M36" s="768"/>
      <c r="N36" s="768"/>
      <c r="O36" s="768"/>
      <c r="P36" s="769"/>
      <c r="Q36" s="690"/>
      <c r="R36" s="691"/>
      <c r="S36" s="691"/>
      <c r="T36" s="691"/>
      <c r="U36" s="692"/>
      <c r="V36" s="754"/>
      <c r="W36" s="755"/>
      <c r="X36" s="755"/>
      <c r="Y36" s="755"/>
      <c r="Z36" s="756"/>
      <c r="AA36" s="757"/>
      <c r="AB36" s="758"/>
      <c r="AC36" s="758"/>
      <c r="AD36" s="759"/>
    </row>
    <row r="37" spans="1:30" ht="16.5" customHeight="1" x14ac:dyDescent="0.3">
      <c r="A37" s="742" t="s">
        <v>72</v>
      </c>
      <c r="B37" s="743"/>
      <c r="C37" s="743"/>
      <c r="D37" s="743"/>
      <c r="E37" s="743" t="s">
        <v>73</v>
      </c>
      <c r="F37" s="743"/>
      <c r="G37" s="743"/>
      <c r="H37" s="743"/>
      <c r="I37" s="743"/>
      <c r="J37" s="743"/>
      <c r="K37" s="743" t="s">
        <v>74</v>
      </c>
      <c r="L37" s="743"/>
      <c r="M37" s="743"/>
      <c r="N37" s="743"/>
      <c r="O37" s="743" t="s">
        <v>65</v>
      </c>
      <c r="P37" s="743"/>
      <c r="Q37" s="743"/>
      <c r="R37" s="743"/>
      <c r="S37" s="743"/>
      <c r="T37" s="743" t="s">
        <v>75</v>
      </c>
      <c r="U37" s="743"/>
      <c r="V37" s="743"/>
      <c r="W37" s="743"/>
      <c r="X37" s="743"/>
      <c r="Y37" s="743" t="s">
        <v>76</v>
      </c>
      <c r="Z37" s="743"/>
      <c r="AA37" s="743"/>
      <c r="AB37" s="743"/>
      <c r="AC37" s="743"/>
      <c r="AD37" s="752"/>
    </row>
    <row r="38" spans="1:30" ht="16.5" customHeight="1" x14ac:dyDescent="0.3">
      <c r="A38" s="744"/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745"/>
      <c r="AB38" s="745"/>
      <c r="AC38" s="745"/>
      <c r="AD38" s="753"/>
    </row>
    <row r="39" spans="1:30" ht="16.5" customHeight="1" x14ac:dyDescent="0.3">
      <c r="A39" s="746">
        <f>SUM(Q2:U35)</f>
        <v>142</v>
      </c>
      <c r="B39" s="747"/>
      <c r="C39" s="747"/>
      <c r="D39" s="747"/>
      <c r="E39" s="750">
        <f>SUM(V2:Z35)</f>
        <v>16428</v>
      </c>
      <c r="F39" s="747"/>
      <c r="G39" s="747"/>
      <c r="H39" s="747"/>
      <c r="I39" s="747"/>
      <c r="J39" s="747"/>
      <c r="K39" s="750">
        <f>E39/A39</f>
        <v>115.69014084507042</v>
      </c>
      <c r="L39" s="747"/>
      <c r="M39" s="747"/>
      <c r="N39" s="747"/>
      <c r="O39" s="747">
        <f>SUM(MON:SUN!Q31)</f>
        <v>1</v>
      </c>
      <c r="P39" s="747"/>
      <c r="Q39" s="747"/>
      <c r="R39" s="747"/>
      <c r="S39" s="747"/>
      <c r="T39" s="747">
        <f>SUM(MON:SUN!P31)</f>
        <v>44</v>
      </c>
      <c r="U39" s="747"/>
      <c r="V39" s="747"/>
      <c r="W39" s="747"/>
      <c r="X39" s="747"/>
      <c r="Y39" s="747">
        <f>SUM(MON:SUN!S19)</f>
        <v>19</v>
      </c>
      <c r="Z39" s="747"/>
      <c r="AA39" s="747"/>
      <c r="AB39" s="747"/>
      <c r="AC39" s="747"/>
      <c r="AD39" s="762"/>
    </row>
    <row r="40" spans="1:30" ht="16.5" customHeight="1" x14ac:dyDescent="0.3">
      <c r="A40" s="746"/>
      <c r="B40" s="747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747"/>
      <c r="AD40" s="762"/>
    </row>
    <row r="41" spans="1:30" ht="16.5" customHeight="1" x14ac:dyDescent="0.3">
      <c r="A41" s="746"/>
      <c r="B41" s="747"/>
      <c r="C41" s="747"/>
      <c r="D41" s="747"/>
      <c r="E41" s="747"/>
      <c r="F41" s="747"/>
      <c r="G41" s="747"/>
      <c r="H41" s="747"/>
      <c r="I41" s="747"/>
      <c r="J41" s="747"/>
      <c r="K41" s="747"/>
      <c r="L41" s="747"/>
      <c r="M41" s="747"/>
      <c r="N41" s="747"/>
      <c r="O41" s="760">
        <f>SUM(MON:SUN!J31)</f>
        <v>60</v>
      </c>
      <c r="P41" s="760"/>
      <c r="Q41" s="760"/>
      <c r="R41" s="760"/>
      <c r="S41" s="760"/>
      <c r="T41" s="760">
        <f>SUM(MON:SUN!K31)</f>
        <v>2962.91</v>
      </c>
      <c r="U41" s="760"/>
      <c r="V41" s="760"/>
      <c r="W41" s="760"/>
      <c r="X41" s="760"/>
      <c r="Y41" s="760">
        <f>SUM(MON:SUN!T19)</f>
        <v>7678</v>
      </c>
      <c r="Z41" s="760"/>
      <c r="AA41" s="760"/>
      <c r="AB41" s="760"/>
      <c r="AC41" s="760"/>
      <c r="AD41" s="763"/>
    </row>
    <row r="42" spans="1:30" ht="16.5" customHeight="1" thickBot="1" x14ac:dyDescent="0.35">
      <c r="A42" s="748"/>
      <c r="B42" s="749"/>
      <c r="C42" s="749"/>
      <c r="D42" s="749"/>
      <c r="E42" s="749"/>
      <c r="F42" s="749"/>
      <c r="G42" s="749"/>
      <c r="H42" s="749"/>
      <c r="I42" s="749"/>
      <c r="J42" s="749"/>
      <c r="K42" s="749"/>
      <c r="L42" s="749"/>
      <c r="M42" s="749"/>
      <c r="N42" s="749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Y42" s="761"/>
      <c r="Z42" s="761"/>
      <c r="AA42" s="761"/>
      <c r="AB42" s="761"/>
      <c r="AC42" s="761"/>
      <c r="AD42" s="764"/>
    </row>
    <row r="43" spans="1:30" ht="17.45" customHeight="1" x14ac:dyDescent="0.3">
      <c r="A43" s="521" t="s">
        <v>84</v>
      </c>
      <c r="B43" s="522"/>
      <c r="C43" s="522"/>
      <c r="D43" s="522"/>
      <c r="E43" s="523"/>
      <c r="F43" s="521" t="s">
        <v>85</v>
      </c>
      <c r="G43" s="522"/>
      <c r="H43" s="522"/>
      <c r="I43" s="522"/>
      <c r="J43" s="523"/>
      <c r="K43" s="521" t="s">
        <v>86</v>
      </c>
      <c r="L43" s="522"/>
      <c r="M43" s="522"/>
      <c r="N43" s="522"/>
      <c r="O43" s="523"/>
      <c r="P43" s="521" t="s">
        <v>87</v>
      </c>
      <c r="Q43" s="522"/>
      <c r="R43" s="522"/>
      <c r="S43" s="522"/>
      <c r="T43" s="523"/>
      <c r="U43" s="521" t="s">
        <v>90</v>
      </c>
      <c r="V43" s="522"/>
      <c r="W43" s="522"/>
      <c r="X43" s="522"/>
      <c r="Y43" s="523"/>
      <c r="Z43" s="527" t="s">
        <v>95</v>
      </c>
      <c r="AA43" s="528"/>
      <c r="AB43" s="528"/>
      <c r="AC43" s="528"/>
      <c r="AD43" s="529"/>
    </row>
    <row r="44" spans="1:30" ht="17.45" customHeight="1" x14ac:dyDescent="0.3">
      <c r="A44" s="524"/>
      <c r="B44" s="525"/>
      <c r="C44" s="525"/>
      <c r="D44" s="525"/>
      <c r="E44" s="526"/>
      <c r="F44" s="524"/>
      <c r="G44" s="525"/>
      <c r="H44" s="525"/>
      <c r="I44" s="525"/>
      <c r="J44" s="526"/>
      <c r="K44" s="524"/>
      <c r="L44" s="525"/>
      <c r="M44" s="525"/>
      <c r="N44" s="525"/>
      <c r="O44" s="526"/>
      <c r="P44" s="524"/>
      <c r="Q44" s="525"/>
      <c r="R44" s="525"/>
      <c r="S44" s="525"/>
      <c r="T44" s="526"/>
      <c r="U44" s="524"/>
      <c r="V44" s="525"/>
      <c r="W44" s="525"/>
      <c r="X44" s="525"/>
      <c r="Y44" s="526"/>
      <c r="Z44" s="530"/>
      <c r="AA44" s="531"/>
      <c r="AB44" s="531"/>
      <c r="AC44" s="531"/>
      <c r="AD44" s="532"/>
    </row>
    <row r="45" spans="1:30" x14ac:dyDescent="0.3">
      <c r="A45" s="533">
        <f>SUM(H2,H7,H12,H17,H22,H27,H32)</f>
        <v>5680</v>
      </c>
      <c r="B45" s="534"/>
      <c r="C45" s="534"/>
      <c r="D45" s="534"/>
      <c r="E45" s="535"/>
      <c r="F45" s="533">
        <f>SUM(,H3,H8,H13,H18,H23,H28,H33)</f>
        <v>10688</v>
      </c>
      <c r="G45" s="534"/>
      <c r="H45" s="534"/>
      <c r="I45" s="534"/>
      <c r="J45" s="535"/>
      <c r="K45" s="533">
        <f>SUM(H5,H10,H15,H20,H25,H30,H35)</f>
        <v>60</v>
      </c>
      <c r="L45" s="534"/>
      <c r="M45" s="534"/>
      <c r="N45" s="534"/>
      <c r="O45" s="535"/>
      <c r="P45" s="533">
        <f>SUM(H4,H9,H14,H19,H24,H29,H34)</f>
        <v>2962.91</v>
      </c>
      <c r="Q45" s="534"/>
      <c r="R45" s="534"/>
      <c r="S45" s="534"/>
      <c r="T45" s="535"/>
      <c r="U45" s="542">
        <f>SUM(E6,E11,E16,E21,E26,E31,E36)</f>
        <v>277.25</v>
      </c>
      <c r="V45" s="534"/>
      <c r="W45" s="534"/>
      <c r="X45" s="534"/>
      <c r="Y45" s="535"/>
      <c r="Z45" s="542">
        <f>SUM(L6,L11,L16,L21,L26,L31,L36)</f>
        <v>36</v>
      </c>
      <c r="AA45" s="534"/>
      <c r="AB45" s="534"/>
      <c r="AC45" s="534"/>
      <c r="AD45" s="543"/>
    </row>
    <row r="46" spans="1:30" x14ac:dyDescent="0.3">
      <c r="A46" s="536"/>
      <c r="B46" s="537"/>
      <c r="C46" s="537"/>
      <c r="D46" s="537"/>
      <c r="E46" s="538"/>
      <c r="F46" s="536"/>
      <c r="G46" s="537"/>
      <c r="H46" s="537"/>
      <c r="I46" s="537"/>
      <c r="J46" s="538"/>
      <c r="K46" s="536"/>
      <c r="L46" s="537"/>
      <c r="M46" s="537"/>
      <c r="N46" s="537"/>
      <c r="O46" s="538"/>
      <c r="P46" s="536"/>
      <c r="Q46" s="537"/>
      <c r="R46" s="537"/>
      <c r="S46" s="537"/>
      <c r="T46" s="538"/>
      <c r="U46" s="536"/>
      <c r="V46" s="537"/>
      <c r="W46" s="537"/>
      <c r="X46" s="537"/>
      <c r="Y46" s="538"/>
      <c r="Z46" s="536"/>
      <c r="AA46" s="537"/>
      <c r="AB46" s="537"/>
      <c r="AC46" s="537"/>
      <c r="AD46" s="544"/>
    </row>
    <row r="47" spans="1:30" x14ac:dyDescent="0.3">
      <c r="A47" s="536"/>
      <c r="B47" s="537"/>
      <c r="C47" s="537"/>
      <c r="D47" s="537"/>
      <c r="E47" s="538"/>
      <c r="F47" s="536"/>
      <c r="G47" s="537"/>
      <c r="H47" s="537"/>
      <c r="I47" s="537"/>
      <c r="J47" s="538"/>
      <c r="K47" s="536"/>
      <c r="L47" s="537"/>
      <c r="M47" s="537"/>
      <c r="N47" s="537"/>
      <c r="O47" s="538"/>
      <c r="P47" s="536"/>
      <c r="Q47" s="537"/>
      <c r="R47" s="537"/>
      <c r="S47" s="537"/>
      <c r="T47" s="538"/>
      <c r="U47" s="536"/>
      <c r="V47" s="537"/>
      <c r="W47" s="537"/>
      <c r="X47" s="537"/>
      <c r="Y47" s="538"/>
      <c r="Z47" s="536"/>
      <c r="AA47" s="537"/>
      <c r="AB47" s="537"/>
      <c r="AC47" s="537"/>
      <c r="AD47" s="544"/>
    </row>
    <row r="48" spans="1:30" ht="17.25" thickBot="1" x14ac:dyDescent="0.35">
      <c r="A48" s="539"/>
      <c r="B48" s="540"/>
      <c r="C48" s="540"/>
      <c r="D48" s="540"/>
      <c r="E48" s="541"/>
      <c r="F48" s="539"/>
      <c r="G48" s="540"/>
      <c r="H48" s="540"/>
      <c r="I48" s="540"/>
      <c r="J48" s="541"/>
      <c r="K48" s="539"/>
      <c r="L48" s="540"/>
      <c r="M48" s="540"/>
      <c r="N48" s="540"/>
      <c r="O48" s="541"/>
      <c r="P48" s="539"/>
      <c r="Q48" s="540"/>
      <c r="R48" s="540"/>
      <c r="S48" s="540"/>
      <c r="T48" s="541"/>
      <c r="U48" s="539"/>
      <c r="V48" s="540"/>
      <c r="W48" s="540"/>
      <c r="X48" s="540"/>
      <c r="Y48" s="541"/>
      <c r="Z48" s="539"/>
      <c r="AA48" s="540"/>
      <c r="AB48" s="540"/>
      <c r="AC48" s="540"/>
      <c r="AD48" s="545"/>
    </row>
    <row r="49" spans="1:30" ht="17.45" customHeight="1" x14ac:dyDescent="0.3">
      <c r="A49" s="503">
        <f>A45/E39</f>
        <v>0.34575115656196737</v>
      </c>
      <c r="B49" s="504"/>
      <c r="C49" s="504"/>
      <c r="D49" s="504"/>
      <c r="E49" s="505"/>
      <c r="F49" s="503">
        <f>F45/E39</f>
        <v>0.65059654248843435</v>
      </c>
      <c r="G49" s="504"/>
      <c r="H49" s="504"/>
      <c r="I49" s="504"/>
      <c r="J49" s="505"/>
      <c r="K49" s="503">
        <f>K45/E39</f>
        <v>3.6523009495982471E-3</v>
      </c>
      <c r="L49" s="504"/>
      <c r="M49" s="504"/>
      <c r="N49" s="504"/>
      <c r="O49" s="505"/>
      <c r="P49" s="503">
        <f>P45/E39</f>
        <v>0.18035731677623568</v>
      </c>
      <c r="Q49" s="504"/>
      <c r="R49" s="504"/>
      <c r="S49" s="504"/>
      <c r="T49" s="505"/>
      <c r="U49" s="512">
        <f>U45/7</f>
        <v>39.607142857142854</v>
      </c>
      <c r="V49" s="513"/>
      <c r="W49" s="513"/>
      <c r="X49" s="513"/>
      <c r="Y49" s="514"/>
      <c r="Z49" s="512">
        <f>U45/Z45</f>
        <v>7.7013888888888893</v>
      </c>
      <c r="AA49" s="513"/>
      <c r="AB49" s="513"/>
      <c r="AC49" s="513"/>
      <c r="AD49" s="514"/>
    </row>
    <row r="50" spans="1:30" ht="17.45" customHeight="1" x14ac:dyDescent="0.3">
      <c r="A50" s="506"/>
      <c r="B50" s="507"/>
      <c r="C50" s="507"/>
      <c r="D50" s="507"/>
      <c r="E50" s="508"/>
      <c r="F50" s="506"/>
      <c r="G50" s="507"/>
      <c r="H50" s="507"/>
      <c r="I50" s="507"/>
      <c r="J50" s="508"/>
      <c r="K50" s="506"/>
      <c r="L50" s="507"/>
      <c r="M50" s="507"/>
      <c r="N50" s="507"/>
      <c r="O50" s="508"/>
      <c r="P50" s="506"/>
      <c r="Q50" s="507"/>
      <c r="R50" s="507"/>
      <c r="S50" s="507"/>
      <c r="T50" s="508"/>
      <c r="U50" s="515"/>
      <c r="V50" s="516"/>
      <c r="W50" s="516"/>
      <c r="X50" s="516"/>
      <c r="Y50" s="517"/>
      <c r="Z50" s="515"/>
      <c r="AA50" s="516"/>
      <c r="AB50" s="516"/>
      <c r="AC50" s="516"/>
      <c r="AD50" s="517"/>
    </row>
    <row r="51" spans="1:30" ht="17.45" customHeight="1" x14ac:dyDescent="0.3">
      <c r="A51" s="506"/>
      <c r="B51" s="507"/>
      <c r="C51" s="507"/>
      <c r="D51" s="507"/>
      <c r="E51" s="508"/>
      <c r="F51" s="506"/>
      <c r="G51" s="507"/>
      <c r="H51" s="507"/>
      <c r="I51" s="507"/>
      <c r="J51" s="508"/>
      <c r="K51" s="506"/>
      <c r="L51" s="507"/>
      <c r="M51" s="507"/>
      <c r="N51" s="507"/>
      <c r="O51" s="508"/>
      <c r="P51" s="506"/>
      <c r="Q51" s="507"/>
      <c r="R51" s="507"/>
      <c r="S51" s="507"/>
      <c r="T51" s="508"/>
      <c r="U51" s="515"/>
      <c r="V51" s="516"/>
      <c r="W51" s="516"/>
      <c r="X51" s="516"/>
      <c r="Y51" s="517"/>
      <c r="Z51" s="515"/>
      <c r="AA51" s="516"/>
      <c r="AB51" s="516"/>
      <c r="AC51" s="516"/>
      <c r="AD51" s="517"/>
    </row>
    <row r="52" spans="1:30" ht="18" customHeight="1" thickBot="1" x14ac:dyDescent="0.35">
      <c r="A52" s="509"/>
      <c r="B52" s="510"/>
      <c r="C52" s="510"/>
      <c r="D52" s="510"/>
      <c r="E52" s="511"/>
      <c r="F52" s="509"/>
      <c r="G52" s="510"/>
      <c r="H52" s="510"/>
      <c r="I52" s="510"/>
      <c r="J52" s="511"/>
      <c r="K52" s="509"/>
      <c r="L52" s="510"/>
      <c r="M52" s="510"/>
      <c r="N52" s="510"/>
      <c r="O52" s="511"/>
      <c r="P52" s="509"/>
      <c r="Q52" s="510"/>
      <c r="R52" s="510"/>
      <c r="S52" s="510"/>
      <c r="T52" s="511"/>
      <c r="U52" s="518"/>
      <c r="V52" s="519"/>
      <c r="W52" s="519"/>
      <c r="X52" s="519"/>
      <c r="Y52" s="520"/>
      <c r="Z52" s="518"/>
      <c r="AA52" s="519"/>
      <c r="AB52" s="519"/>
      <c r="AC52" s="519"/>
      <c r="AD52" s="52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CCEA4285-756E-4EF8-A878-BB314F0A38B1}"/>
</file>

<file path=customXml/itemProps2.xml><?xml version="1.0" encoding="utf-8"?>
<ds:datastoreItem xmlns:ds="http://schemas.openxmlformats.org/officeDocument/2006/customXml" ds:itemID="{8F8C8472-2601-483F-9772-9596F0ECDAA1}"/>
</file>

<file path=customXml/itemProps3.xml><?xml version="1.0" encoding="utf-8"?>
<ds:datastoreItem xmlns:ds="http://schemas.openxmlformats.org/officeDocument/2006/customXml" ds:itemID="{94E4AC1B-3500-486E-BD27-3FF2C00DB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MON</vt:lpstr>
      <vt:lpstr>TUE</vt:lpstr>
      <vt:lpstr>WED</vt:lpstr>
      <vt:lpstr>THU</vt:lpstr>
      <vt:lpstr>FRI</vt:lpstr>
      <vt:lpstr>SAT</vt:lpstr>
      <vt:lpstr>SUN</vt:lpstr>
      <vt:lpstr>Sheet1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</cp:lastModifiedBy>
  <cp:lastPrinted>2021-12-02T06:53:47Z</cp:lastPrinted>
  <dcterms:created xsi:type="dcterms:W3CDTF">2011-11-24T03:16:40Z</dcterms:created>
  <dcterms:modified xsi:type="dcterms:W3CDTF">2023-08-08T05:45:06Z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